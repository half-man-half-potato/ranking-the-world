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pivotTables/pivotTable1.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C:\Users\yurets\PycharmProjects\top10\data\"/>
    </mc:Choice>
  </mc:AlternateContent>
  <xr:revisionPtr revIDLastSave="0" documentId="13_ncr:1_{5C1BD172-704F-441A-9B3A-ECB44E6834DA}" xr6:coauthVersionLast="47" xr6:coauthVersionMax="47" xr10:uidLastSave="{00000000-0000-0000-0000-000000000000}"/>
  <bookViews>
    <workbookView xWindow="-120" yWindow="-120" windowWidth="29040" windowHeight="15840" tabRatio="695" activeTab="3" xr2:uid="{D61B83E8-8B3A-4FAD-9A8C-58CC2E6D43BD}"/>
  </bookViews>
  <sheets>
    <sheet name="data" sheetId="14" r:id="rId1"/>
    <sheet name="metadata" sheetId="11" r:id="rId2"/>
    <sheet name="metadata_old" sheetId="23" r:id="rId3"/>
    <sheet name="countries" sheetId="22" r:id="rId4"/>
    <sheet name="countries_lookup" sheetId="20" r:id="rId5"/>
    <sheet name="countries groups" sheetId="16" r:id="rId6"/>
  </sheets>
  <definedNames>
    <definedName name="_xlnm._FilterDatabase" localSheetId="5" hidden="1">'countries groups'!$A$1:$D$215</definedName>
    <definedName name="_xlnm._FilterDatabase" localSheetId="4" hidden="1">countries_lookup!$A$1:$A$216</definedName>
    <definedName name="_xlnm._FilterDatabase" localSheetId="0" hidden="1">data!$A$1:$E$5286</definedName>
    <definedName name="_xlnm._FilterDatabase" localSheetId="1" hidden="1">metadata!$A$1:$E$4</definedName>
    <definedName name="_xlnm._FilterDatabase" localSheetId="2" hidden="1">metadata_old!$A$1:$E$5</definedName>
  </definedNames>
  <calcPr calcId="191029"/>
  <pivotCaches>
    <pivotCache cacheId="5" r:id="rId7"/>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652" i="14" l="1"/>
  <c r="E3652" i="14" s="1"/>
  <c r="D3653" i="14"/>
  <c r="D3654" i="14" s="1"/>
  <c r="D3655" i="14" s="1"/>
  <c r="E3653" i="14"/>
  <c r="E3654" i="14"/>
  <c r="D3738" i="14"/>
  <c r="D3739" i="14" s="1"/>
  <c r="E3738" i="14"/>
  <c r="D3859" i="14"/>
  <c r="E3859" i="14"/>
  <c r="D3860" i="14"/>
  <c r="D3972" i="14"/>
  <c r="E3972" i="14" s="1"/>
  <c r="D4186" i="14"/>
  <c r="D4187" i="14" s="1"/>
  <c r="E4186" i="14"/>
  <c r="D4400" i="14"/>
  <c r="E4400" i="14" s="1"/>
  <c r="D4401" i="14"/>
  <c r="D4597" i="14"/>
  <c r="E4597" i="14"/>
  <c r="D4598" i="14"/>
  <c r="D4599" i="14" s="1"/>
  <c r="E4598" i="14"/>
  <c r="D4681" i="14"/>
  <c r="D4894" i="14"/>
  <c r="E4894" i="14" s="1"/>
  <c r="D4895" i="14"/>
  <c r="D5075" i="14"/>
  <c r="J3" i="11"/>
  <c r="J4" i="11"/>
  <c r="J5" i="11"/>
  <c r="J6" i="11"/>
  <c r="J7" i="11"/>
  <c r="J8" i="11"/>
  <c r="J9" i="11"/>
  <c r="J10" i="11"/>
  <c r="J11" i="11"/>
  <c r="J12" i="11"/>
  <c r="J13" i="11"/>
  <c r="J14" i="11"/>
  <c r="J15" i="11"/>
  <c r="J16" i="11"/>
  <c r="J17" i="11"/>
  <c r="J18" i="11"/>
  <c r="J19" i="11"/>
  <c r="J20" i="11"/>
  <c r="J21" i="11"/>
  <c r="J22" i="11"/>
  <c r="J23" i="11"/>
  <c r="J24" i="11"/>
  <c r="J25" i="11"/>
  <c r="J26" i="11"/>
  <c r="J27" i="11"/>
  <c r="J2" i="11"/>
  <c r="I3" i="11"/>
  <c r="I4" i="11"/>
  <c r="I5" i="11"/>
  <c r="I6" i="11"/>
  <c r="I7" i="11"/>
  <c r="I8" i="11"/>
  <c r="I9" i="11"/>
  <c r="I10" i="11"/>
  <c r="I11" i="11"/>
  <c r="I12" i="11"/>
  <c r="I13" i="11"/>
  <c r="I14" i="11"/>
  <c r="I15" i="11"/>
  <c r="I16" i="11"/>
  <c r="I17" i="11"/>
  <c r="I18" i="11"/>
  <c r="I19" i="11"/>
  <c r="I20" i="11"/>
  <c r="I21" i="11"/>
  <c r="I22" i="11"/>
  <c r="I23" i="11"/>
  <c r="I24" i="11"/>
  <c r="I25" i="11"/>
  <c r="I26" i="11"/>
  <c r="I27" i="11"/>
  <c r="I2" i="11"/>
  <c r="D3" i="14"/>
  <c r="D210" i="14"/>
  <c r="D415" i="14"/>
  <c r="E415" i="14" s="1"/>
  <c r="D416" i="14"/>
  <c r="D575" i="14"/>
  <c r="E575" i="14" s="1"/>
  <c r="D576" i="14"/>
  <c r="E576" i="14" s="1"/>
  <c r="D577" i="14"/>
  <c r="D737" i="14"/>
  <c r="D922" i="14"/>
  <c r="D1134" i="14"/>
  <c r="D1348" i="14"/>
  <c r="D1542" i="14"/>
  <c r="D1753" i="14"/>
  <c r="D1936" i="14"/>
  <c r="E1936" i="14" s="1"/>
  <c r="D1937" i="14"/>
  <c r="E1937" i="14" s="1"/>
  <c r="D1938" i="14"/>
  <c r="D2120" i="14"/>
  <c r="E2120" i="14" s="1"/>
  <c r="D2304" i="14"/>
  <c r="E2304" i="14" s="1"/>
  <c r="D2305" i="14"/>
  <c r="D2488" i="14"/>
  <c r="D2633" i="14"/>
  <c r="D2800" i="14"/>
  <c r="D3013" i="14"/>
  <c r="D3225" i="14"/>
  <c r="D3438" i="14"/>
  <c r="E3438" i="14" s="1"/>
  <c r="D2" i="14"/>
  <c r="E2" i="14" s="1"/>
  <c r="E5075" i="14" l="1"/>
  <c r="D5076" i="14"/>
  <c r="E4895" i="14"/>
  <c r="D4896" i="14"/>
  <c r="E4681" i="14"/>
  <c r="D4682" i="14"/>
  <c r="E4599" i="14"/>
  <c r="D4600" i="14"/>
  <c r="E4401" i="14"/>
  <c r="D4402" i="14"/>
  <c r="E4187" i="14"/>
  <c r="D4188" i="14"/>
  <c r="D3973" i="14"/>
  <c r="E3860" i="14"/>
  <c r="D3861" i="14"/>
  <c r="D3740" i="14"/>
  <c r="E3739" i="14"/>
  <c r="D3656" i="14"/>
  <c r="E3655" i="14"/>
  <c r="E1348" i="14"/>
  <c r="D1349" i="14"/>
  <c r="D3226" i="14"/>
  <c r="E3225" i="14"/>
  <c r="E2305" i="14"/>
  <c r="D2306" i="14"/>
  <c r="D1939" i="14"/>
  <c r="E1938" i="14"/>
  <c r="E1753" i="14"/>
  <c r="D1754" i="14"/>
  <c r="D1543" i="14"/>
  <c r="E1542" i="14"/>
  <c r="D3439" i="14"/>
  <c r="D2121" i="14"/>
  <c r="D923" i="14"/>
  <c r="E922" i="14"/>
  <c r="D578" i="14"/>
  <c r="E577" i="14"/>
  <c r="D417" i="14"/>
  <c r="E416" i="14"/>
  <c r="D211" i="14"/>
  <c r="E210" i="14"/>
  <c r="D2634" i="14"/>
  <c r="E2633" i="14"/>
  <c r="D4" i="14"/>
  <c r="E3" i="14"/>
  <c r="D1135" i="14"/>
  <c r="E1134" i="14"/>
  <c r="D3014" i="14"/>
  <c r="E3013" i="14"/>
  <c r="D2801" i="14"/>
  <c r="E2800" i="14"/>
  <c r="D2489" i="14"/>
  <c r="E2488" i="14"/>
  <c r="D738" i="14"/>
  <c r="E737" i="14"/>
  <c r="D4189" i="14" l="1"/>
  <c r="E4188" i="14"/>
  <c r="E4896" i="14"/>
  <c r="D4897" i="14"/>
  <c r="E3861" i="14"/>
  <c r="D3862" i="14"/>
  <c r="D3974" i="14"/>
  <c r="E3973" i="14"/>
  <c r="D3741" i="14"/>
  <c r="E3740" i="14"/>
  <c r="D4601" i="14"/>
  <c r="E4600" i="14"/>
  <c r="D3657" i="14"/>
  <c r="E3656" i="14"/>
  <c r="E4402" i="14"/>
  <c r="D4403" i="14"/>
  <c r="E4682" i="14"/>
  <c r="D4683" i="14"/>
  <c r="E5076" i="14"/>
  <c r="D5077" i="14"/>
  <c r="D2490" i="14"/>
  <c r="E2489" i="14"/>
  <c r="D3015" i="14"/>
  <c r="E3014" i="14"/>
  <c r="D1136" i="14"/>
  <c r="E1135" i="14"/>
  <c r="D2635" i="14"/>
  <c r="E2634" i="14"/>
  <c r="D418" i="14"/>
  <c r="E417" i="14"/>
  <c r="D924" i="14"/>
  <c r="E923" i="14"/>
  <c r="D2122" i="14"/>
  <c r="E2121" i="14"/>
  <c r="D1940" i="14"/>
  <c r="E1939" i="14"/>
  <c r="D3227" i="14"/>
  <c r="E3226" i="14"/>
  <c r="D739" i="14"/>
  <c r="E738" i="14"/>
  <c r="D2802" i="14"/>
  <c r="E2801" i="14"/>
  <c r="D5" i="14"/>
  <c r="E4" i="14"/>
  <c r="D212" i="14"/>
  <c r="E211" i="14"/>
  <c r="D579" i="14"/>
  <c r="E578" i="14"/>
  <c r="D3440" i="14"/>
  <c r="E3439" i="14"/>
  <c r="D1755" i="14"/>
  <c r="E1754" i="14"/>
  <c r="D2307" i="14"/>
  <c r="E2306" i="14"/>
  <c r="D1350" i="14"/>
  <c r="E1349" i="14"/>
  <c r="D1544" i="14"/>
  <c r="E1543" i="14"/>
  <c r="E4403" i="14" l="1"/>
  <c r="D4404" i="14"/>
  <c r="E4897" i="14"/>
  <c r="D4898" i="14"/>
  <c r="E4601" i="14"/>
  <c r="D4602" i="14"/>
  <c r="E3974" i="14"/>
  <c r="D3975" i="14"/>
  <c r="E5077" i="14"/>
  <c r="D5078" i="14"/>
  <c r="E4683" i="14"/>
  <c r="D4684" i="14"/>
  <c r="E3862" i="14"/>
  <c r="D3863" i="14"/>
  <c r="D3658" i="14"/>
  <c r="E3657" i="14"/>
  <c r="D3742" i="14"/>
  <c r="E3741" i="14"/>
  <c r="E4189" i="14"/>
  <c r="D4190" i="14"/>
  <c r="D1351" i="14"/>
  <c r="E1350" i="14"/>
  <c r="D1756" i="14"/>
  <c r="E1755" i="14"/>
  <c r="E579" i="14"/>
  <c r="D580" i="14"/>
  <c r="D6" i="14"/>
  <c r="E5" i="14"/>
  <c r="D2803" i="14"/>
  <c r="E2802" i="14"/>
  <c r="D1941" i="14"/>
  <c r="E1940" i="14"/>
  <c r="D925" i="14"/>
  <c r="E924" i="14"/>
  <c r="D2636" i="14"/>
  <c r="E2635" i="14"/>
  <c r="D3016" i="14"/>
  <c r="E3015" i="14"/>
  <c r="E1544" i="14"/>
  <c r="D1545" i="14"/>
  <c r="D2308" i="14"/>
  <c r="E2307" i="14"/>
  <c r="D3441" i="14"/>
  <c r="E3440" i="14"/>
  <c r="D213" i="14"/>
  <c r="E212" i="14"/>
  <c r="E739" i="14"/>
  <c r="D740" i="14"/>
  <c r="D3228" i="14"/>
  <c r="E3227" i="14"/>
  <c r="D2123" i="14"/>
  <c r="E2122" i="14"/>
  <c r="D419" i="14"/>
  <c r="E418" i="14"/>
  <c r="D1137" i="14"/>
  <c r="E1136" i="14"/>
  <c r="D2491" i="14"/>
  <c r="E2490" i="14"/>
  <c r="D3976" i="14" l="1"/>
  <c r="E3975" i="14"/>
  <c r="D3659" i="14"/>
  <c r="E3658" i="14"/>
  <c r="D4191" i="14"/>
  <c r="E4190" i="14"/>
  <c r="E4898" i="14"/>
  <c r="D4899" i="14"/>
  <c r="E3863" i="14"/>
  <c r="D3864" i="14"/>
  <c r="E5078" i="14"/>
  <c r="D5079" i="14"/>
  <c r="D4603" i="14"/>
  <c r="E4602" i="14"/>
  <c r="E4404" i="14"/>
  <c r="D4405" i="14"/>
  <c r="E4684" i="14"/>
  <c r="D4685" i="14"/>
  <c r="D3743" i="14"/>
  <c r="E3742" i="14"/>
  <c r="D420" i="14"/>
  <c r="E419" i="14"/>
  <c r="D3229" i="14"/>
  <c r="E3228" i="14"/>
  <c r="D2637" i="14"/>
  <c r="E2636" i="14"/>
  <c r="D1942" i="14"/>
  <c r="E1941" i="14"/>
  <c r="D1352" i="14"/>
  <c r="E1351" i="14"/>
  <c r="D741" i="14"/>
  <c r="E740" i="14"/>
  <c r="D1138" i="14"/>
  <c r="E1137" i="14"/>
  <c r="D2124" i="14"/>
  <c r="E2123" i="14"/>
  <c r="E213" i="14"/>
  <c r="D214" i="14"/>
  <c r="D2309" i="14"/>
  <c r="E2308" i="14"/>
  <c r="D3017" i="14"/>
  <c r="E3016" i="14"/>
  <c r="D926" i="14"/>
  <c r="E925" i="14"/>
  <c r="D7" i="14"/>
  <c r="E6" i="14"/>
  <c r="D1757" i="14"/>
  <c r="E1756" i="14"/>
  <c r="D2492" i="14"/>
  <c r="E2491" i="14"/>
  <c r="D3442" i="14"/>
  <c r="E3441" i="14"/>
  <c r="D2804" i="14"/>
  <c r="E2803" i="14"/>
  <c r="E1545" i="14"/>
  <c r="D1546" i="14"/>
  <c r="D581" i="14"/>
  <c r="E580" i="14"/>
  <c r="E5079" i="14" l="1"/>
  <c r="D5080" i="14"/>
  <c r="D3744" i="14"/>
  <c r="E3743" i="14"/>
  <c r="D3660" i="14"/>
  <c r="E3659" i="14"/>
  <c r="E4405" i="14"/>
  <c r="D4406" i="14"/>
  <c r="E4899" i="14"/>
  <c r="D4900" i="14"/>
  <c r="E3864" i="14"/>
  <c r="D3865" i="14"/>
  <c r="E4685" i="14"/>
  <c r="D4686" i="14"/>
  <c r="E4603" i="14"/>
  <c r="D4604" i="14"/>
  <c r="E4191" i="14"/>
  <c r="D4192" i="14"/>
  <c r="E3976" i="14"/>
  <c r="D3977" i="14"/>
  <c r="D3443" i="14"/>
  <c r="E3442" i="14"/>
  <c r="D1758" i="14"/>
  <c r="E1757" i="14"/>
  <c r="D3018" i="14"/>
  <c r="E3017" i="14"/>
  <c r="D2310" i="14"/>
  <c r="E2309" i="14"/>
  <c r="D1139" i="14"/>
  <c r="E1138" i="14"/>
  <c r="D1353" i="14"/>
  <c r="E1352" i="14"/>
  <c r="D2638" i="14"/>
  <c r="E2637" i="14"/>
  <c r="D421" i="14"/>
  <c r="E420" i="14"/>
  <c r="D1547" i="14"/>
  <c r="E1546" i="14"/>
  <c r="D215" i="14"/>
  <c r="E214" i="14"/>
  <c r="D582" i="14"/>
  <c r="E581" i="14"/>
  <c r="D2805" i="14"/>
  <c r="E2804" i="14"/>
  <c r="D2493" i="14"/>
  <c r="E2492" i="14"/>
  <c r="D8" i="14"/>
  <c r="E7" i="14"/>
  <c r="D927" i="14"/>
  <c r="E926" i="14"/>
  <c r="D2125" i="14"/>
  <c r="E2124" i="14"/>
  <c r="D742" i="14"/>
  <c r="E741" i="14"/>
  <c r="D1943" i="14"/>
  <c r="E1942" i="14"/>
  <c r="D3230" i="14"/>
  <c r="E3229" i="14"/>
  <c r="D4605" i="14" l="1"/>
  <c r="E4604" i="14"/>
  <c r="E4406" i="14"/>
  <c r="D4407" i="14"/>
  <c r="D3745" i="14"/>
  <c r="E3744" i="14"/>
  <c r="D3978" i="14"/>
  <c r="E3977" i="14"/>
  <c r="D4193" i="14"/>
  <c r="E4192" i="14"/>
  <c r="E4686" i="14"/>
  <c r="D4687" i="14"/>
  <c r="E4900" i="14"/>
  <c r="D4901" i="14"/>
  <c r="E5080" i="14"/>
  <c r="D5081" i="14"/>
  <c r="E3865" i="14"/>
  <c r="D3866" i="14"/>
  <c r="D3661" i="14"/>
  <c r="E3660" i="14"/>
  <c r="D1944" i="14"/>
  <c r="E1943" i="14"/>
  <c r="E2125" i="14"/>
  <c r="D2126" i="14"/>
  <c r="D9" i="14"/>
  <c r="E8" i="14"/>
  <c r="D2806" i="14"/>
  <c r="E2805" i="14"/>
  <c r="E2638" i="14"/>
  <c r="D2639" i="14"/>
  <c r="D1140" i="14"/>
  <c r="E1139" i="14"/>
  <c r="D2311" i="14"/>
  <c r="E2310" i="14"/>
  <c r="D3444" i="14"/>
  <c r="E3443" i="14"/>
  <c r="D3231" i="14"/>
  <c r="E3230" i="14"/>
  <c r="D743" i="14"/>
  <c r="E742" i="14"/>
  <c r="E927" i="14"/>
  <c r="D928" i="14"/>
  <c r="D2494" i="14"/>
  <c r="E2493" i="14"/>
  <c r="D583" i="14"/>
  <c r="E582" i="14"/>
  <c r="D216" i="14"/>
  <c r="E215" i="14"/>
  <c r="D1548" i="14"/>
  <c r="E1547" i="14"/>
  <c r="D422" i="14"/>
  <c r="E421" i="14"/>
  <c r="E1353" i="14"/>
  <c r="D1354" i="14"/>
  <c r="D3019" i="14"/>
  <c r="E3018" i="14"/>
  <c r="D1759" i="14"/>
  <c r="E1758" i="14"/>
  <c r="D3662" i="14" l="1"/>
  <c r="E3661" i="14"/>
  <c r="E3978" i="14"/>
  <c r="D3979" i="14"/>
  <c r="E5081" i="14"/>
  <c r="D5082" i="14"/>
  <c r="E4407" i="14"/>
  <c r="D4408" i="14"/>
  <c r="E4901" i="14"/>
  <c r="D4902" i="14"/>
  <c r="E4687" i="14"/>
  <c r="D4688" i="14"/>
  <c r="E3866" i="14"/>
  <c r="D3867" i="14"/>
  <c r="E4193" i="14"/>
  <c r="D4194" i="14"/>
  <c r="D3746" i="14"/>
  <c r="E3745" i="14"/>
  <c r="E4605" i="14"/>
  <c r="D4606" i="14"/>
  <c r="D1355" i="14"/>
  <c r="E1354" i="14"/>
  <c r="E928" i="14"/>
  <c r="D929" i="14"/>
  <c r="D1141" i="14"/>
  <c r="E1140" i="14"/>
  <c r="D1945" i="14"/>
  <c r="E1944" i="14"/>
  <c r="E2639" i="14"/>
  <c r="D2640" i="14"/>
  <c r="D2127" i="14"/>
  <c r="E2126" i="14"/>
  <c r="D3020" i="14"/>
  <c r="E3019" i="14"/>
  <c r="E1548" i="14"/>
  <c r="D1549" i="14"/>
  <c r="D584" i="14"/>
  <c r="E583" i="14"/>
  <c r="E3231" i="14"/>
  <c r="D3232" i="14"/>
  <c r="D10" i="14"/>
  <c r="E9" i="14"/>
  <c r="D1760" i="14"/>
  <c r="E1759" i="14"/>
  <c r="D423" i="14"/>
  <c r="E422" i="14"/>
  <c r="D217" i="14"/>
  <c r="E216" i="14"/>
  <c r="D2495" i="14"/>
  <c r="E2494" i="14"/>
  <c r="D744" i="14"/>
  <c r="E743" i="14"/>
  <c r="D3445" i="14"/>
  <c r="E3444" i="14"/>
  <c r="D2312" i="14"/>
  <c r="E2311" i="14"/>
  <c r="E2806" i="14"/>
  <c r="D2807" i="14"/>
  <c r="D4607" i="14" l="1"/>
  <c r="E4606" i="14"/>
  <c r="D3980" i="14"/>
  <c r="E3979" i="14"/>
  <c r="D4195" i="14"/>
  <c r="E4194" i="14"/>
  <c r="E4408" i="14"/>
  <c r="D4409" i="14"/>
  <c r="E3867" i="14"/>
  <c r="D3868" i="14"/>
  <c r="E4902" i="14"/>
  <c r="D4903" i="14"/>
  <c r="E5082" i="14"/>
  <c r="D5083" i="14"/>
  <c r="E4688" i="14"/>
  <c r="D4689" i="14"/>
  <c r="D3747" i="14"/>
  <c r="E3746" i="14"/>
  <c r="D3663" i="14"/>
  <c r="E3662" i="14"/>
  <c r="D3233" i="14"/>
  <c r="E3232" i="14"/>
  <c r="D2641" i="14"/>
  <c r="E2640" i="14"/>
  <c r="D930" i="14"/>
  <c r="E929" i="14"/>
  <c r="D2313" i="14"/>
  <c r="E2312" i="14"/>
  <c r="D745" i="14"/>
  <c r="E744" i="14"/>
  <c r="D218" i="14"/>
  <c r="E217" i="14"/>
  <c r="D1946" i="14"/>
  <c r="E1945" i="14"/>
  <c r="D1142" i="14"/>
  <c r="E1141" i="14"/>
  <c r="D2808" i="14"/>
  <c r="E2807" i="14"/>
  <c r="D1550" i="14"/>
  <c r="E1549" i="14"/>
  <c r="D3446" i="14"/>
  <c r="E3445" i="14"/>
  <c r="D2496" i="14"/>
  <c r="E2495" i="14"/>
  <c r="D424" i="14"/>
  <c r="E423" i="14"/>
  <c r="D1761" i="14"/>
  <c r="E1760" i="14"/>
  <c r="D11" i="14"/>
  <c r="E10" i="14"/>
  <c r="D585" i="14"/>
  <c r="E584" i="14"/>
  <c r="D3021" i="14"/>
  <c r="E3020" i="14"/>
  <c r="D2128" i="14"/>
  <c r="E2127" i="14"/>
  <c r="D1356" i="14"/>
  <c r="E1355" i="14"/>
  <c r="E4689" i="14" l="1"/>
  <c r="D4690" i="14"/>
  <c r="E4903" i="14"/>
  <c r="D4904" i="14"/>
  <c r="D3664" i="14"/>
  <c r="E3663" i="14"/>
  <c r="E3980" i="14"/>
  <c r="D3981" i="14"/>
  <c r="E5083" i="14"/>
  <c r="D5084" i="14"/>
  <c r="E3868" i="14"/>
  <c r="D3869" i="14"/>
  <c r="E4409" i="14"/>
  <c r="D4410" i="14"/>
  <c r="D3748" i="14"/>
  <c r="E3747" i="14"/>
  <c r="E4195" i="14"/>
  <c r="D4196" i="14"/>
  <c r="E4607" i="14"/>
  <c r="D4608" i="14"/>
  <c r="D3022" i="14"/>
  <c r="E3021" i="14"/>
  <c r="D1762" i="14"/>
  <c r="E1761" i="14"/>
  <c r="D2497" i="14"/>
  <c r="E2496" i="14"/>
  <c r="D1551" i="14"/>
  <c r="E1550" i="14"/>
  <c r="D1143" i="14"/>
  <c r="E1142" i="14"/>
  <c r="D219" i="14"/>
  <c r="E218" i="14"/>
  <c r="D2314" i="14"/>
  <c r="E2313" i="14"/>
  <c r="D2642" i="14"/>
  <c r="E2641" i="14"/>
  <c r="E1356" i="14"/>
  <c r="D1357" i="14"/>
  <c r="D2129" i="14"/>
  <c r="E2128" i="14"/>
  <c r="D586" i="14"/>
  <c r="E585" i="14"/>
  <c r="D12" i="14"/>
  <c r="E11" i="14"/>
  <c r="D425" i="14"/>
  <c r="E424" i="14"/>
  <c r="E3446" i="14"/>
  <c r="D3447" i="14"/>
  <c r="D2809" i="14"/>
  <c r="E2808" i="14"/>
  <c r="D1947" i="14"/>
  <c r="E1946" i="14"/>
  <c r="D746" i="14"/>
  <c r="E745" i="14"/>
  <c r="D931" i="14"/>
  <c r="E930" i="14"/>
  <c r="D3234" i="14"/>
  <c r="E3233" i="14"/>
  <c r="D3982" i="14" l="1"/>
  <c r="E3981" i="14"/>
  <c r="D3749" i="14"/>
  <c r="E3748" i="14"/>
  <c r="E3869" i="14"/>
  <c r="D3870" i="14"/>
  <c r="D4197" i="14"/>
  <c r="E4196" i="14"/>
  <c r="E4410" i="14"/>
  <c r="D4411" i="14"/>
  <c r="E5084" i="14"/>
  <c r="D5085" i="14"/>
  <c r="E4690" i="14"/>
  <c r="D4691" i="14"/>
  <c r="D4609" i="14"/>
  <c r="E4608" i="14"/>
  <c r="E4904" i="14"/>
  <c r="D4905" i="14"/>
  <c r="D3665" i="14"/>
  <c r="E3664" i="14"/>
  <c r="D932" i="14"/>
  <c r="E931" i="14"/>
  <c r="D1948" i="14"/>
  <c r="E1947" i="14"/>
  <c r="D426" i="14"/>
  <c r="E425" i="14"/>
  <c r="D587" i="14"/>
  <c r="E586" i="14"/>
  <c r="D2643" i="14"/>
  <c r="E2642" i="14"/>
  <c r="D220" i="14"/>
  <c r="E219" i="14"/>
  <c r="D1552" i="14"/>
  <c r="E1551" i="14"/>
  <c r="D2498" i="14"/>
  <c r="E2497" i="14"/>
  <c r="D3448" i="14"/>
  <c r="E3447" i="14"/>
  <c r="D1358" i="14"/>
  <c r="E1357" i="14"/>
  <c r="D3235" i="14"/>
  <c r="E3234" i="14"/>
  <c r="D747" i="14"/>
  <c r="E746" i="14"/>
  <c r="D2810" i="14"/>
  <c r="E2809" i="14"/>
  <c r="D13" i="14"/>
  <c r="E12" i="14"/>
  <c r="D2130" i="14"/>
  <c r="E2129" i="14"/>
  <c r="D2315" i="14"/>
  <c r="E2314" i="14"/>
  <c r="D1144" i="14"/>
  <c r="E1143" i="14"/>
  <c r="D1763" i="14"/>
  <c r="E1762" i="14"/>
  <c r="D3023" i="14"/>
  <c r="E3022" i="14"/>
  <c r="E4609" i="14" l="1"/>
  <c r="D4610" i="14"/>
  <c r="E4197" i="14"/>
  <c r="D4198" i="14"/>
  <c r="D3750" i="14"/>
  <c r="E3749" i="14"/>
  <c r="E5085" i="14"/>
  <c r="D5086" i="14"/>
  <c r="D3666" i="14"/>
  <c r="E3665" i="14"/>
  <c r="E4905" i="14"/>
  <c r="D4906" i="14"/>
  <c r="E4691" i="14"/>
  <c r="D4692" i="14"/>
  <c r="E4411" i="14"/>
  <c r="D4412" i="14"/>
  <c r="E3870" i="14"/>
  <c r="D3871" i="14"/>
  <c r="E3982" i="14"/>
  <c r="D3983" i="14"/>
  <c r="D3024" i="14"/>
  <c r="E3023" i="14"/>
  <c r="D2131" i="14"/>
  <c r="E2130" i="14"/>
  <c r="D2811" i="14"/>
  <c r="E2810" i="14"/>
  <c r="D748" i="14"/>
  <c r="E747" i="14"/>
  <c r="D1359" i="14"/>
  <c r="E1358" i="14"/>
  <c r="D2499" i="14"/>
  <c r="E2498" i="14"/>
  <c r="D2644" i="14"/>
  <c r="E2643" i="14"/>
  <c r="D588" i="14"/>
  <c r="E587" i="14"/>
  <c r="D1764" i="14"/>
  <c r="E1763" i="14"/>
  <c r="D1145" i="14"/>
  <c r="E1144" i="14"/>
  <c r="D2316" i="14"/>
  <c r="E2315" i="14"/>
  <c r="E13" i="14"/>
  <c r="D14" i="14"/>
  <c r="D3236" i="14"/>
  <c r="E3235" i="14"/>
  <c r="D3449" i="14"/>
  <c r="E3448" i="14"/>
  <c r="D1553" i="14"/>
  <c r="E1552" i="14"/>
  <c r="D221" i="14"/>
  <c r="E220" i="14"/>
  <c r="D427" i="14"/>
  <c r="E426" i="14"/>
  <c r="D1949" i="14"/>
  <c r="E1948" i="14"/>
  <c r="D933" i="14"/>
  <c r="E932" i="14"/>
  <c r="D3984" i="14" l="1"/>
  <c r="E3983" i="14"/>
  <c r="E5086" i="14"/>
  <c r="D5087" i="14"/>
  <c r="E4906" i="14"/>
  <c r="D4907" i="14"/>
  <c r="E4692" i="14"/>
  <c r="D4693" i="14"/>
  <c r="D4611" i="14"/>
  <c r="E4610" i="14"/>
  <c r="E4412" i="14"/>
  <c r="D4413" i="14"/>
  <c r="D4199" i="14"/>
  <c r="E4198" i="14"/>
  <c r="E3871" i="14"/>
  <c r="D3872" i="14"/>
  <c r="D3667" i="14"/>
  <c r="E3666" i="14"/>
  <c r="D3751" i="14"/>
  <c r="E3750" i="14"/>
  <c r="D1950" i="14"/>
  <c r="E1949" i="14"/>
  <c r="D1554" i="14"/>
  <c r="E1553" i="14"/>
  <c r="D3450" i="14"/>
  <c r="E3449" i="14"/>
  <c r="D2317" i="14"/>
  <c r="E2316" i="14"/>
  <c r="E1764" i="14"/>
  <c r="D1765" i="14"/>
  <c r="D589" i="14"/>
  <c r="E588" i="14"/>
  <c r="D749" i="14"/>
  <c r="E748" i="14"/>
  <c r="D2132" i="14"/>
  <c r="E2131" i="14"/>
  <c r="D15" i="14"/>
  <c r="E14" i="14"/>
  <c r="D934" i="14"/>
  <c r="E933" i="14"/>
  <c r="D428" i="14"/>
  <c r="E427" i="14"/>
  <c r="D222" i="14"/>
  <c r="E221" i="14"/>
  <c r="D3237" i="14"/>
  <c r="E3236" i="14"/>
  <c r="D1146" i="14"/>
  <c r="E1145" i="14"/>
  <c r="D2645" i="14"/>
  <c r="E2644" i="14"/>
  <c r="D2500" i="14"/>
  <c r="E2499" i="14"/>
  <c r="D1360" i="14"/>
  <c r="E1359" i="14"/>
  <c r="D2812" i="14"/>
  <c r="E2811" i="14"/>
  <c r="D3025" i="14"/>
  <c r="E3024" i="14"/>
  <c r="E4693" i="14" l="1"/>
  <c r="D4694" i="14"/>
  <c r="E3872" i="14"/>
  <c r="D3873" i="14"/>
  <c r="E5087" i="14"/>
  <c r="D5088" i="14"/>
  <c r="E4907" i="14"/>
  <c r="D4908" i="14"/>
  <c r="E4413" i="14"/>
  <c r="D4414" i="14"/>
  <c r="D3752" i="14"/>
  <c r="E3751" i="14"/>
  <c r="D3668" i="14"/>
  <c r="E3667" i="14"/>
  <c r="E4199" i="14"/>
  <c r="D4200" i="14"/>
  <c r="E4611" i="14"/>
  <c r="D4612" i="14"/>
  <c r="E3984" i="14"/>
  <c r="D3985" i="14"/>
  <c r="D1361" i="14"/>
  <c r="E1360" i="14"/>
  <c r="D2646" i="14"/>
  <c r="E2645" i="14"/>
  <c r="D1147" i="14"/>
  <c r="E1146" i="14"/>
  <c r="D429" i="14"/>
  <c r="E428" i="14"/>
  <c r="D750" i="14"/>
  <c r="E749" i="14"/>
  <c r="D2318" i="14"/>
  <c r="E2317" i="14"/>
  <c r="D3451" i="14"/>
  <c r="E3450" i="14"/>
  <c r="D1766" i="14"/>
  <c r="E1765" i="14"/>
  <c r="D3026" i="14"/>
  <c r="E3025" i="14"/>
  <c r="D2813" i="14"/>
  <c r="E2812" i="14"/>
  <c r="D2501" i="14"/>
  <c r="E2500" i="14"/>
  <c r="D3238" i="14"/>
  <c r="E3237" i="14"/>
  <c r="D223" i="14"/>
  <c r="E222" i="14"/>
  <c r="D935" i="14"/>
  <c r="E934" i="14"/>
  <c r="D16" i="14"/>
  <c r="E15" i="14"/>
  <c r="D2133" i="14"/>
  <c r="E2132" i="14"/>
  <c r="D590" i="14"/>
  <c r="E589" i="14"/>
  <c r="D1555" i="14"/>
  <c r="E1554" i="14"/>
  <c r="D1951" i="14"/>
  <c r="E1950" i="14"/>
  <c r="D3753" i="14" l="1"/>
  <c r="E3752" i="14"/>
  <c r="D3986" i="14"/>
  <c r="E3985" i="14"/>
  <c r="E4908" i="14"/>
  <c r="D4909" i="14"/>
  <c r="D4613" i="14"/>
  <c r="E4612" i="14"/>
  <c r="E4414" i="14"/>
  <c r="D4415" i="14"/>
  <c r="E5088" i="14"/>
  <c r="D5089" i="14"/>
  <c r="E4694" i="14"/>
  <c r="D4695" i="14"/>
  <c r="D4201" i="14"/>
  <c r="E4200" i="14"/>
  <c r="E3873" i="14"/>
  <c r="D3874" i="14"/>
  <c r="D3669" i="14"/>
  <c r="E3668" i="14"/>
  <c r="D1556" i="14"/>
  <c r="E1555" i="14"/>
  <c r="D591" i="14"/>
  <c r="E590" i="14"/>
  <c r="D2134" i="14"/>
  <c r="E2133" i="14"/>
  <c r="D936" i="14"/>
  <c r="E935" i="14"/>
  <c r="D3239" i="14"/>
  <c r="E3238" i="14"/>
  <c r="D2502" i="14"/>
  <c r="E2501" i="14"/>
  <c r="D3027" i="14"/>
  <c r="E3026" i="14"/>
  <c r="D2319" i="14"/>
  <c r="E2318" i="14"/>
  <c r="D430" i="14"/>
  <c r="E429" i="14"/>
  <c r="D1148" i="14"/>
  <c r="E1147" i="14"/>
  <c r="E1361" i="14"/>
  <c r="D1362" i="14"/>
  <c r="D1952" i="14"/>
  <c r="E1951" i="14"/>
  <c r="D17" i="14"/>
  <c r="E16" i="14"/>
  <c r="D224" i="14"/>
  <c r="E223" i="14"/>
  <c r="D2814" i="14"/>
  <c r="E2813" i="14"/>
  <c r="D1767" i="14"/>
  <c r="E1766" i="14"/>
  <c r="D3452" i="14"/>
  <c r="E3451" i="14"/>
  <c r="D751" i="14"/>
  <c r="E750" i="14"/>
  <c r="E2646" i="14"/>
  <c r="D2647" i="14"/>
  <c r="E4201" i="14" l="1"/>
  <c r="D4202" i="14"/>
  <c r="E4613" i="14"/>
  <c r="D4614" i="14"/>
  <c r="E3986" i="14"/>
  <c r="D3987" i="14"/>
  <c r="D3670" i="14"/>
  <c r="E3669" i="14"/>
  <c r="E3874" i="14"/>
  <c r="D3875" i="14"/>
  <c r="E4695" i="14"/>
  <c r="D4696" i="14"/>
  <c r="E4415" i="14"/>
  <c r="D4416" i="14"/>
  <c r="E4909" i="14"/>
  <c r="D4910" i="14"/>
  <c r="E5089" i="14"/>
  <c r="D5090" i="14"/>
  <c r="D3754" i="14"/>
  <c r="E3753" i="14"/>
  <c r="D2648" i="14"/>
  <c r="E2647" i="14"/>
  <c r="D1768" i="14"/>
  <c r="E1767" i="14"/>
  <c r="D18" i="14"/>
  <c r="E17" i="14"/>
  <c r="E430" i="14"/>
  <c r="D431" i="14"/>
  <c r="D2503" i="14"/>
  <c r="E2502" i="14"/>
  <c r="D937" i="14"/>
  <c r="E936" i="14"/>
  <c r="D592" i="14"/>
  <c r="E591" i="14"/>
  <c r="D1363" i="14"/>
  <c r="E1362" i="14"/>
  <c r="D752" i="14"/>
  <c r="E751" i="14"/>
  <c r="D3453" i="14"/>
  <c r="E3452" i="14"/>
  <c r="D2815" i="14"/>
  <c r="E2814" i="14"/>
  <c r="D225" i="14"/>
  <c r="E224" i="14"/>
  <c r="E1952" i="14"/>
  <c r="D1953" i="14"/>
  <c r="D1149" i="14"/>
  <c r="E1148" i="14"/>
  <c r="D2320" i="14"/>
  <c r="E2319" i="14"/>
  <c r="E3027" i="14"/>
  <c r="D3028" i="14"/>
  <c r="E3239" i="14"/>
  <c r="D3240" i="14"/>
  <c r="D2135" i="14"/>
  <c r="E2134" i="14"/>
  <c r="D1557" i="14"/>
  <c r="E1556" i="14"/>
  <c r="D3755" i="14" l="1"/>
  <c r="E3754" i="14"/>
  <c r="D3671" i="14"/>
  <c r="E3670" i="14"/>
  <c r="E4696" i="14"/>
  <c r="D4697" i="14"/>
  <c r="D4615" i="14"/>
  <c r="E4614" i="14"/>
  <c r="E5090" i="14"/>
  <c r="D5091" i="14"/>
  <c r="E4416" i="14"/>
  <c r="D4417" i="14"/>
  <c r="E3875" i="14"/>
  <c r="D3876" i="14"/>
  <c r="D3988" i="14"/>
  <c r="E3987" i="14"/>
  <c r="D4203" i="14"/>
  <c r="E4202" i="14"/>
  <c r="E4910" i="14"/>
  <c r="D4911" i="14"/>
  <c r="D2136" i="14"/>
  <c r="E2135" i="14"/>
  <c r="D2816" i="14"/>
  <c r="E2815" i="14"/>
  <c r="E752" i="14"/>
  <c r="D753" i="14"/>
  <c r="D938" i="14"/>
  <c r="E937" i="14"/>
  <c r="D19" i="14"/>
  <c r="E18" i="14"/>
  <c r="D1769" i="14"/>
  <c r="E1768" i="14"/>
  <c r="E431" i="14"/>
  <c r="D432" i="14"/>
  <c r="D3241" i="14"/>
  <c r="E3240" i="14"/>
  <c r="D3029" i="14"/>
  <c r="E3028" i="14"/>
  <c r="D1954" i="14"/>
  <c r="E1953" i="14"/>
  <c r="D1558" i="14"/>
  <c r="E1557" i="14"/>
  <c r="D2321" i="14"/>
  <c r="E2320" i="14"/>
  <c r="D1150" i="14"/>
  <c r="E1149" i="14"/>
  <c r="D226" i="14"/>
  <c r="E225" i="14"/>
  <c r="D3454" i="14"/>
  <c r="E3453" i="14"/>
  <c r="D1364" i="14"/>
  <c r="E1363" i="14"/>
  <c r="E592" i="14"/>
  <c r="D593" i="14"/>
  <c r="E2503" i="14"/>
  <c r="D2504" i="14"/>
  <c r="D2649" i="14"/>
  <c r="E2648" i="14"/>
  <c r="E4911" i="14" l="1"/>
  <c r="D4912" i="14"/>
  <c r="E4417" i="14"/>
  <c r="D4418" i="14"/>
  <c r="E3988" i="14"/>
  <c r="D3989" i="14"/>
  <c r="E4615" i="14"/>
  <c r="D4616" i="14"/>
  <c r="D3672" i="14"/>
  <c r="E3671" i="14"/>
  <c r="E3876" i="14"/>
  <c r="D3877" i="14"/>
  <c r="E5091" i="14"/>
  <c r="D5092" i="14"/>
  <c r="E4697" i="14"/>
  <c r="D4698" i="14"/>
  <c r="E4203" i="14"/>
  <c r="D4204" i="14"/>
  <c r="D3756" i="14"/>
  <c r="E3755" i="14"/>
  <c r="E3454" i="14"/>
  <c r="D3455" i="14"/>
  <c r="D1151" i="14"/>
  <c r="E1150" i="14"/>
  <c r="D1559" i="14"/>
  <c r="E1558" i="14"/>
  <c r="D3030" i="14"/>
  <c r="E3029" i="14"/>
  <c r="D20" i="14"/>
  <c r="E19" i="14"/>
  <c r="D939" i="14"/>
  <c r="E938" i="14"/>
  <c r="D2817" i="14"/>
  <c r="E2816" i="14"/>
  <c r="D1365" i="14"/>
  <c r="E1364" i="14"/>
  <c r="D594" i="14"/>
  <c r="E593" i="14"/>
  <c r="D433" i="14"/>
  <c r="E432" i="14"/>
  <c r="D754" i="14"/>
  <c r="E753" i="14"/>
  <c r="D2505" i="14"/>
  <c r="E2504" i="14"/>
  <c r="D2650" i="14"/>
  <c r="E2649" i="14"/>
  <c r="D227" i="14"/>
  <c r="E226" i="14"/>
  <c r="D2322" i="14"/>
  <c r="E2321" i="14"/>
  <c r="D1955" i="14"/>
  <c r="E1954" i="14"/>
  <c r="D3242" i="14"/>
  <c r="E3241" i="14"/>
  <c r="E1769" i="14"/>
  <c r="D1770" i="14"/>
  <c r="D2137" i="14"/>
  <c r="E2136" i="14"/>
  <c r="E3877" i="14" l="1"/>
  <c r="D3878" i="14"/>
  <c r="D3757" i="14"/>
  <c r="E3756" i="14"/>
  <c r="D4617" i="14"/>
  <c r="E4616" i="14"/>
  <c r="D4205" i="14"/>
  <c r="E4204" i="14"/>
  <c r="E5092" i="14"/>
  <c r="D5093" i="14"/>
  <c r="D3990" i="14"/>
  <c r="E3989" i="14"/>
  <c r="E4912" i="14"/>
  <c r="D4913" i="14"/>
  <c r="E4698" i="14"/>
  <c r="D4699" i="14"/>
  <c r="E4418" i="14"/>
  <c r="D4419" i="14"/>
  <c r="D3673" i="14"/>
  <c r="E3672" i="14"/>
  <c r="D2651" i="14"/>
  <c r="E2650" i="14"/>
  <c r="D755" i="14"/>
  <c r="E754" i="14"/>
  <c r="D595" i="14"/>
  <c r="E594" i="14"/>
  <c r="D21" i="14"/>
  <c r="E20" i="14"/>
  <c r="D1560" i="14"/>
  <c r="E1559" i="14"/>
  <c r="D3456" i="14"/>
  <c r="E3455" i="14"/>
  <c r="D1956" i="14"/>
  <c r="E1955" i="14"/>
  <c r="D1771" i="14"/>
  <c r="E1770" i="14"/>
  <c r="D228" i="14"/>
  <c r="E227" i="14"/>
  <c r="D2138" i="14"/>
  <c r="E2137" i="14"/>
  <c r="D3243" i="14"/>
  <c r="E3242" i="14"/>
  <c r="D2323" i="14"/>
  <c r="E2322" i="14"/>
  <c r="D2506" i="14"/>
  <c r="E2505" i="14"/>
  <c r="D434" i="14"/>
  <c r="E433" i="14"/>
  <c r="D1366" i="14"/>
  <c r="E1365" i="14"/>
  <c r="D2818" i="14"/>
  <c r="E2817" i="14"/>
  <c r="D940" i="14"/>
  <c r="E939" i="14"/>
  <c r="D3031" i="14"/>
  <c r="E3030" i="14"/>
  <c r="D1152" i="14"/>
  <c r="E1151" i="14"/>
  <c r="D3674" i="14" l="1"/>
  <c r="E3673" i="14"/>
  <c r="E3990" i="14"/>
  <c r="D3991" i="14"/>
  <c r="D3758" i="14"/>
  <c r="E3757" i="14"/>
  <c r="E4419" i="14"/>
  <c r="D4420" i="14"/>
  <c r="E4913" i="14"/>
  <c r="D4914" i="14"/>
  <c r="E5093" i="14"/>
  <c r="D5094" i="14"/>
  <c r="E3878" i="14"/>
  <c r="D3879" i="14"/>
  <c r="E4699" i="14"/>
  <c r="D4700" i="14"/>
  <c r="E4205" i="14"/>
  <c r="D4206" i="14"/>
  <c r="E4617" i="14"/>
  <c r="D4618" i="14"/>
  <c r="D1153" i="14"/>
  <c r="E1152" i="14"/>
  <c r="D2819" i="14"/>
  <c r="E2818" i="14"/>
  <c r="D435" i="14"/>
  <c r="E434" i="14"/>
  <c r="D2324" i="14"/>
  <c r="E2323" i="14"/>
  <c r="D229" i="14"/>
  <c r="E228" i="14"/>
  <c r="D1772" i="14"/>
  <c r="E1771" i="14"/>
  <c r="D3457" i="14"/>
  <c r="E3456" i="14"/>
  <c r="E595" i="14"/>
  <c r="D596" i="14"/>
  <c r="D2652" i="14"/>
  <c r="E2651" i="14"/>
  <c r="D3032" i="14"/>
  <c r="E3031" i="14"/>
  <c r="D941" i="14"/>
  <c r="E940" i="14"/>
  <c r="D1367" i="14"/>
  <c r="E1366" i="14"/>
  <c r="D2507" i="14"/>
  <c r="E2506" i="14"/>
  <c r="D3244" i="14"/>
  <c r="E3243" i="14"/>
  <c r="D2139" i="14"/>
  <c r="E2138" i="14"/>
  <c r="D1957" i="14"/>
  <c r="E1956" i="14"/>
  <c r="D1561" i="14"/>
  <c r="E1560" i="14"/>
  <c r="D22" i="14"/>
  <c r="E21" i="14"/>
  <c r="E755" i="14"/>
  <c r="D756" i="14"/>
  <c r="E5094" i="14" l="1"/>
  <c r="D5095" i="14"/>
  <c r="E4700" i="14"/>
  <c r="D4701" i="14"/>
  <c r="E4420" i="14"/>
  <c r="D4421" i="14"/>
  <c r="D4207" i="14"/>
  <c r="E4206" i="14"/>
  <c r="E3879" i="14"/>
  <c r="D3880" i="14"/>
  <c r="E4914" i="14"/>
  <c r="D4915" i="14"/>
  <c r="D4619" i="14"/>
  <c r="E4618" i="14"/>
  <c r="D3992" i="14"/>
  <c r="E3991" i="14"/>
  <c r="D3759" i="14"/>
  <c r="E3758" i="14"/>
  <c r="D3675" i="14"/>
  <c r="E3674" i="14"/>
  <c r="D23" i="14"/>
  <c r="E22" i="14"/>
  <c r="D1958" i="14"/>
  <c r="E1957" i="14"/>
  <c r="D2140" i="14"/>
  <c r="E2139" i="14"/>
  <c r="D1368" i="14"/>
  <c r="E1367" i="14"/>
  <c r="D3033" i="14"/>
  <c r="E3032" i="14"/>
  <c r="D2653" i="14"/>
  <c r="E2652" i="14"/>
  <c r="D3458" i="14"/>
  <c r="E3457" i="14"/>
  <c r="D230" i="14"/>
  <c r="E229" i="14"/>
  <c r="D2325" i="14"/>
  <c r="E2324" i="14"/>
  <c r="D436" i="14"/>
  <c r="E435" i="14"/>
  <c r="D597" i="14"/>
  <c r="E596" i="14"/>
  <c r="D757" i="14"/>
  <c r="E756" i="14"/>
  <c r="D1562" i="14"/>
  <c r="E1561" i="14"/>
  <c r="D3245" i="14"/>
  <c r="E3244" i="14"/>
  <c r="D2508" i="14"/>
  <c r="E2507" i="14"/>
  <c r="D942" i="14"/>
  <c r="E941" i="14"/>
  <c r="D1773" i="14"/>
  <c r="E1772" i="14"/>
  <c r="D2820" i="14"/>
  <c r="E2819" i="14"/>
  <c r="D1154" i="14"/>
  <c r="E1153" i="14"/>
  <c r="E3992" i="14" l="1"/>
  <c r="D3993" i="14"/>
  <c r="E4207" i="14"/>
  <c r="D4208" i="14"/>
  <c r="E4701" i="14"/>
  <c r="D4702" i="14"/>
  <c r="E3880" i="14"/>
  <c r="D3881" i="14"/>
  <c r="E4421" i="14"/>
  <c r="D4422" i="14"/>
  <c r="E5095" i="14"/>
  <c r="D5096" i="14"/>
  <c r="E4915" i="14"/>
  <c r="D4916" i="14"/>
  <c r="D3676" i="14"/>
  <c r="E3675" i="14"/>
  <c r="D3760" i="14"/>
  <c r="E3759" i="14"/>
  <c r="E4619" i="14"/>
  <c r="D4620" i="14"/>
  <c r="D2821" i="14"/>
  <c r="E2820" i="14"/>
  <c r="D943" i="14"/>
  <c r="E942" i="14"/>
  <c r="D3246" i="14"/>
  <c r="E3245" i="14"/>
  <c r="D1563" i="14"/>
  <c r="E1562" i="14"/>
  <c r="D598" i="14"/>
  <c r="E597" i="14"/>
  <c r="D2326" i="14"/>
  <c r="E2325" i="14"/>
  <c r="D3459" i="14"/>
  <c r="E3458" i="14"/>
  <c r="D2654" i="14"/>
  <c r="E2653" i="14"/>
  <c r="D1369" i="14"/>
  <c r="E1368" i="14"/>
  <c r="D2141" i="14"/>
  <c r="E2140" i="14"/>
  <c r="D24" i="14"/>
  <c r="E23" i="14"/>
  <c r="D1155" i="14"/>
  <c r="E1154" i="14"/>
  <c r="D1774" i="14"/>
  <c r="E1773" i="14"/>
  <c r="D2509" i="14"/>
  <c r="E2508" i="14"/>
  <c r="D758" i="14"/>
  <c r="E757" i="14"/>
  <c r="D437" i="14"/>
  <c r="E436" i="14"/>
  <c r="D231" i="14"/>
  <c r="E230" i="14"/>
  <c r="D3034" i="14"/>
  <c r="E3033" i="14"/>
  <c r="D1959" i="14"/>
  <c r="E1958" i="14"/>
  <c r="E5096" i="14" l="1"/>
  <c r="D5097" i="14"/>
  <c r="E3881" i="14"/>
  <c r="D3882" i="14"/>
  <c r="D3677" i="14"/>
  <c r="E3676" i="14"/>
  <c r="E4916" i="14"/>
  <c r="D4917" i="14"/>
  <c r="E4422" i="14"/>
  <c r="D4423" i="14"/>
  <c r="E4702" i="14"/>
  <c r="D4703" i="14"/>
  <c r="D3994" i="14"/>
  <c r="E3993" i="14"/>
  <c r="D4621" i="14"/>
  <c r="E4620" i="14"/>
  <c r="D4209" i="14"/>
  <c r="E4208" i="14"/>
  <c r="D3761" i="14"/>
  <c r="E3760" i="14"/>
  <c r="D1960" i="14"/>
  <c r="E1959" i="14"/>
  <c r="D3035" i="14"/>
  <c r="E3034" i="14"/>
  <c r="D232" i="14"/>
  <c r="E231" i="14"/>
  <c r="D759" i="14"/>
  <c r="E758" i="14"/>
  <c r="E24" i="14"/>
  <c r="D25" i="14"/>
  <c r="D1370" i="14"/>
  <c r="E1369" i="14"/>
  <c r="D3460" i="14"/>
  <c r="E3459" i="14"/>
  <c r="D599" i="14"/>
  <c r="E598" i="14"/>
  <c r="D1564" i="14"/>
  <c r="E1563" i="14"/>
  <c r="D944" i="14"/>
  <c r="E943" i="14"/>
  <c r="D438" i="14"/>
  <c r="E437" i="14"/>
  <c r="D2510" i="14"/>
  <c r="E2509" i="14"/>
  <c r="D1775" i="14"/>
  <c r="E1774" i="14"/>
  <c r="D1156" i="14"/>
  <c r="E1155" i="14"/>
  <c r="D2142" i="14"/>
  <c r="E2141" i="14"/>
  <c r="D2655" i="14"/>
  <c r="E2654" i="14"/>
  <c r="D2327" i="14"/>
  <c r="E2326" i="14"/>
  <c r="D3247" i="14"/>
  <c r="E3246" i="14"/>
  <c r="D2822" i="14"/>
  <c r="E2821" i="14"/>
  <c r="E3882" i="14" l="1"/>
  <c r="D3883" i="14"/>
  <c r="E4621" i="14"/>
  <c r="D4622" i="14"/>
  <c r="E4917" i="14"/>
  <c r="D4918" i="14"/>
  <c r="E4423" i="14"/>
  <c r="D4424" i="14"/>
  <c r="E5097" i="14"/>
  <c r="D5098" i="14"/>
  <c r="E4703" i="14"/>
  <c r="D4704" i="14"/>
  <c r="E3761" i="14"/>
  <c r="D3762" i="14"/>
  <c r="E4209" i="14"/>
  <c r="D4210" i="14"/>
  <c r="E3994" i="14"/>
  <c r="D3995" i="14"/>
  <c r="D3678" i="14"/>
  <c r="E3677" i="14"/>
  <c r="D26" i="14"/>
  <c r="E25" i="14"/>
  <c r="D2656" i="14"/>
  <c r="E2655" i="14"/>
  <c r="D1157" i="14"/>
  <c r="E1156" i="14"/>
  <c r="D2511" i="14"/>
  <c r="E2510" i="14"/>
  <c r="D439" i="14"/>
  <c r="E438" i="14"/>
  <c r="D1565" i="14"/>
  <c r="E1564" i="14"/>
  <c r="D3461" i="14"/>
  <c r="E3460" i="14"/>
  <c r="D760" i="14"/>
  <c r="E759" i="14"/>
  <c r="D3036" i="14"/>
  <c r="E3035" i="14"/>
  <c r="E2822" i="14"/>
  <c r="D2823" i="14"/>
  <c r="D3248" i="14"/>
  <c r="E3247" i="14"/>
  <c r="D2328" i="14"/>
  <c r="E2327" i="14"/>
  <c r="D2143" i="14"/>
  <c r="E2142" i="14"/>
  <c r="D1776" i="14"/>
  <c r="E1775" i="14"/>
  <c r="D945" i="14"/>
  <c r="E944" i="14"/>
  <c r="D600" i="14"/>
  <c r="E599" i="14"/>
  <c r="D1371" i="14"/>
  <c r="E1370" i="14"/>
  <c r="D233" i="14"/>
  <c r="E232" i="14"/>
  <c r="D1961" i="14"/>
  <c r="E1960" i="14"/>
  <c r="D4623" i="14" l="1"/>
  <c r="E4622" i="14"/>
  <c r="D4211" i="14"/>
  <c r="E4210" i="14"/>
  <c r="E4704" i="14"/>
  <c r="D4705" i="14"/>
  <c r="D3679" i="14"/>
  <c r="E3678" i="14"/>
  <c r="D3996" i="14"/>
  <c r="E3995" i="14"/>
  <c r="D3763" i="14"/>
  <c r="E3762" i="14"/>
  <c r="E5098" i="14"/>
  <c r="D5099" i="14"/>
  <c r="E4918" i="14"/>
  <c r="D4919" i="14"/>
  <c r="E3883" i="14"/>
  <c r="D3884" i="14"/>
  <c r="E4424" i="14"/>
  <c r="D4425" i="14"/>
  <c r="D2824" i="14"/>
  <c r="E2823" i="14"/>
  <c r="D234" i="14"/>
  <c r="E233" i="14"/>
  <c r="D1372" i="14"/>
  <c r="E1371" i="14"/>
  <c r="D946" i="14"/>
  <c r="E945" i="14"/>
  <c r="D1777" i="14"/>
  <c r="E1776" i="14"/>
  <c r="D2329" i="14"/>
  <c r="E2328" i="14"/>
  <c r="D761" i="14"/>
  <c r="E760" i="14"/>
  <c r="D3462" i="14"/>
  <c r="E3461" i="14"/>
  <c r="D440" i="14"/>
  <c r="E439" i="14"/>
  <c r="D1158" i="14"/>
  <c r="E1157" i="14"/>
  <c r="D1962" i="14"/>
  <c r="E1961" i="14"/>
  <c r="D601" i="14"/>
  <c r="E600" i="14"/>
  <c r="D2144" i="14"/>
  <c r="E2143" i="14"/>
  <c r="D3249" i="14"/>
  <c r="E3248" i="14"/>
  <c r="D3037" i="14"/>
  <c r="E3036" i="14"/>
  <c r="D1566" i="14"/>
  <c r="E1565" i="14"/>
  <c r="D2512" i="14"/>
  <c r="E2511" i="14"/>
  <c r="D2657" i="14"/>
  <c r="E2656" i="14"/>
  <c r="D27" i="14"/>
  <c r="E26" i="14"/>
  <c r="E4919" i="14" l="1"/>
  <c r="D4920" i="14"/>
  <c r="E3763" i="14"/>
  <c r="D3764" i="14"/>
  <c r="D3680" i="14"/>
  <c r="E3679" i="14"/>
  <c r="E4211" i="14"/>
  <c r="D4212" i="14"/>
  <c r="E4425" i="14"/>
  <c r="D4426" i="14"/>
  <c r="E3884" i="14"/>
  <c r="D3885" i="14"/>
  <c r="E5099" i="14"/>
  <c r="D5100" i="14"/>
  <c r="E4705" i="14"/>
  <c r="D4706" i="14"/>
  <c r="E3996" i="14"/>
  <c r="D3997" i="14"/>
  <c r="E4623" i="14"/>
  <c r="D4624" i="14"/>
  <c r="D2658" i="14"/>
  <c r="E2657" i="14"/>
  <c r="D2145" i="14"/>
  <c r="E2144" i="14"/>
  <c r="D441" i="14"/>
  <c r="E440" i="14"/>
  <c r="D3463" i="14"/>
  <c r="E3462" i="14"/>
  <c r="D1778" i="14"/>
  <c r="E1777" i="14"/>
  <c r="D947" i="14"/>
  <c r="E946" i="14"/>
  <c r="D235" i="14"/>
  <c r="E234" i="14"/>
  <c r="D28" i="14"/>
  <c r="E27" i="14"/>
  <c r="D2513" i="14"/>
  <c r="E2512" i="14"/>
  <c r="D1567" i="14"/>
  <c r="E1566" i="14"/>
  <c r="D3038" i="14"/>
  <c r="E3037" i="14"/>
  <c r="D3250" i="14"/>
  <c r="E3249" i="14"/>
  <c r="D602" i="14"/>
  <c r="E601" i="14"/>
  <c r="D1963" i="14"/>
  <c r="E1962" i="14"/>
  <c r="D1159" i="14"/>
  <c r="E1158" i="14"/>
  <c r="D762" i="14"/>
  <c r="E761" i="14"/>
  <c r="D2330" i="14"/>
  <c r="E2329" i="14"/>
  <c r="D1373" i="14"/>
  <c r="E1372" i="14"/>
  <c r="D2825" i="14"/>
  <c r="E2824" i="14"/>
  <c r="E5100" i="14" l="1"/>
  <c r="D5101" i="14"/>
  <c r="E4426" i="14"/>
  <c r="D4427" i="14"/>
  <c r="D3681" i="14"/>
  <c r="E3680" i="14"/>
  <c r="D4625" i="14"/>
  <c r="E4624" i="14"/>
  <c r="E4706" i="14"/>
  <c r="D4707" i="14"/>
  <c r="E3885" i="14"/>
  <c r="D3886" i="14"/>
  <c r="D4213" i="14"/>
  <c r="E4212" i="14"/>
  <c r="D3765" i="14"/>
  <c r="E3764" i="14"/>
  <c r="D3998" i="14"/>
  <c r="E3997" i="14"/>
  <c r="E4920" i="14"/>
  <c r="D4921" i="14"/>
  <c r="D1374" i="14"/>
  <c r="E1373" i="14"/>
  <c r="D2331" i="14"/>
  <c r="E2330" i="14"/>
  <c r="D1964" i="14"/>
  <c r="E1963" i="14"/>
  <c r="D3039" i="14"/>
  <c r="E3038" i="14"/>
  <c r="D2514" i="14"/>
  <c r="E2513" i="14"/>
  <c r="D236" i="14"/>
  <c r="E235" i="14"/>
  <c r="D1779" i="14"/>
  <c r="E1778" i="14"/>
  <c r="D3464" i="14"/>
  <c r="E3463" i="14"/>
  <c r="D2826" i="14"/>
  <c r="E2825" i="14"/>
  <c r="D763" i="14"/>
  <c r="E762" i="14"/>
  <c r="D1160" i="14"/>
  <c r="E1159" i="14"/>
  <c r="D603" i="14"/>
  <c r="E602" i="14"/>
  <c r="D3251" i="14"/>
  <c r="E3250" i="14"/>
  <c r="D1568" i="14"/>
  <c r="E1567" i="14"/>
  <c r="D29" i="14"/>
  <c r="E28" i="14"/>
  <c r="D948" i="14"/>
  <c r="E947" i="14"/>
  <c r="D442" i="14"/>
  <c r="E441" i="14"/>
  <c r="D2146" i="14"/>
  <c r="E2145" i="14"/>
  <c r="D2659" i="14"/>
  <c r="E2658" i="14"/>
  <c r="E4427" i="14" l="1"/>
  <c r="D4428" i="14"/>
  <c r="E3765" i="14"/>
  <c r="D3766" i="14"/>
  <c r="E4625" i="14"/>
  <c r="D4626" i="14"/>
  <c r="E4921" i="14"/>
  <c r="D4922" i="14"/>
  <c r="E4707" i="14"/>
  <c r="D4708" i="14"/>
  <c r="E5101" i="14"/>
  <c r="D5102" i="14"/>
  <c r="E3886" i="14"/>
  <c r="D3887" i="14"/>
  <c r="E3998" i="14"/>
  <c r="D3999" i="14"/>
  <c r="E4213" i="14"/>
  <c r="D4214" i="14"/>
  <c r="D3682" i="14"/>
  <c r="E3681" i="14"/>
  <c r="D30" i="14"/>
  <c r="E29" i="14"/>
  <c r="D3252" i="14"/>
  <c r="E3251" i="14"/>
  <c r="D1161" i="14"/>
  <c r="E1160" i="14"/>
  <c r="D3465" i="14"/>
  <c r="E3464" i="14"/>
  <c r="D237" i="14"/>
  <c r="E236" i="14"/>
  <c r="D3040" i="14"/>
  <c r="E3039" i="14"/>
  <c r="D1965" i="14"/>
  <c r="E1964" i="14"/>
  <c r="D2332" i="14"/>
  <c r="E2331" i="14"/>
  <c r="D2660" i="14"/>
  <c r="E2659" i="14"/>
  <c r="D2147" i="14"/>
  <c r="E2146" i="14"/>
  <c r="D443" i="14"/>
  <c r="E442" i="14"/>
  <c r="D949" i="14"/>
  <c r="E948" i="14"/>
  <c r="D1569" i="14"/>
  <c r="E1568" i="14"/>
  <c r="D604" i="14"/>
  <c r="E603" i="14"/>
  <c r="D764" i="14"/>
  <c r="E763" i="14"/>
  <c r="D2827" i="14"/>
  <c r="E2826" i="14"/>
  <c r="D1780" i="14"/>
  <c r="E1779" i="14"/>
  <c r="D2515" i="14"/>
  <c r="E2514" i="14"/>
  <c r="D1375" i="14"/>
  <c r="E1374" i="14"/>
  <c r="E5102" i="14" l="1"/>
  <c r="D5103" i="14"/>
  <c r="D3767" i="14"/>
  <c r="E3766" i="14"/>
  <c r="E4922" i="14"/>
  <c r="D4923" i="14"/>
  <c r="D4215" i="14"/>
  <c r="E4214" i="14"/>
  <c r="E3887" i="14"/>
  <c r="D3888" i="14"/>
  <c r="E4708" i="14"/>
  <c r="D4709" i="14"/>
  <c r="D4627" i="14"/>
  <c r="E4626" i="14"/>
  <c r="E4428" i="14"/>
  <c r="D4429" i="14"/>
  <c r="D4000" i="14"/>
  <c r="E3999" i="14"/>
  <c r="D3683" i="14"/>
  <c r="E3682" i="14"/>
  <c r="D2516" i="14"/>
  <c r="E2515" i="14"/>
  <c r="D2828" i="14"/>
  <c r="E2827" i="14"/>
  <c r="D605" i="14"/>
  <c r="E604" i="14"/>
  <c r="D950" i="14"/>
  <c r="E949" i="14"/>
  <c r="D2148" i="14"/>
  <c r="E2147" i="14"/>
  <c r="D2333" i="14"/>
  <c r="E2332" i="14"/>
  <c r="D3041" i="14"/>
  <c r="E3040" i="14"/>
  <c r="D3466" i="14"/>
  <c r="E3465" i="14"/>
  <c r="D1162" i="14"/>
  <c r="E1161" i="14"/>
  <c r="D31" i="14"/>
  <c r="E30" i="14"/>
  <c r="D1376" i="14"/>
  <c r="E1375" i="14"/>
  <c r="D1781" i="14"/>
  <c r="E1780" i="14"/>
  <c r="D765" i="14"/>
  <c r="E764" i="14"/>
  <c r="D1570" i="14"/>
  <c r="E1569" i="14"/>
  <c r="D444" i="14"/>
  <c r="E443" i="14"/>
  <c r="D2661" i="14"/>
  <c r="E2660" i="14"/>
  <c r="D1966" i="14"/>
  <c r="E1965" i="14"/>
  <c r="D238" i="14"/>
  <c r="E237" i="14"/>
  <c r="D3253" i="14"/>
  <c r="E3252" i="14"/>
  <c r="E4429" i="14" l="1"/>
  <c r="D4430" i="14"/>
  <c r="E4709" i="14"/>
  <c r="D4710" i="14"/>
  <c r="E4215" i="14"/>
  <c r="D4216" i="14"/>
  <c r="E3767" i="14"/>
  <c r="D3768" i="14"/>
  <c r="E3888" i="14"/>
  <c r="D3889" i="14"/>
  <c r="E4923" i="14"/>
  <c r="D4924" i="14"/>
  <c r="E5103" i="14"/>
  <c r="D5104" i="14"/>
  <c r="D3684" i="14"/>
  <c r="E3683" i="14"/>
  <c r="E4000" i="14"/>
  <c r="D4001" i="14"/>
  <c r="E4627" i="14"/>
  <c r="D4628" i="14"/>
  <c r="D239" i="14"/>
  <c r="E238" i="14"/>
  <c r="D2662" i="14"/>
  <c r="E2661" i="14"/>
  <c r="D1571" i="14"/>
  <c r="E1570" i="14"/>
  <c r="D1163" i="14"/>
  <c r="E1162" i="14"/>
  <c r="D3467" i="14"/>
  <c r="E3466" i="14"/>
  <c r="D2334" i="14"/>
  <c r="E2333" i="14"/>
  <c r="D951" i="14"/>
  <c r="E950" i="14"/>
  <c r="D2829" i="14"/>
  <c r="E2828" i="14"/>
  <c r="D2517" i="14"/>
  <c r="E2516" i="14"/>
  <c r="D3254" i="14"/>
  <c r="E3253" i="14"/>
  <c r="D1967" i="14"/>
  <c r="E1966" i="14"/>
  <c r="D445" i="14"/>
  <c r="E444" i="14"/>
  <c r="D766" i="14"/>
  <c r="E765" i="14"/>
  <c r="D1782" i="14"/>
  <c r="E1781" i="14"/>
  <c r="D1377" i="14"/>
  <c r="E1376" i="14"/>
  <c r="D32" i="14"/>
  <c r="E31" i="14"/>
  <c r="D3042" i="14"/>
  <c r="E3041" i="14"/>
  <c r="D2149" i="14"/>
  <c r="E2148" i="14"/>
  <c r="D606" i="14"/>
  <c r="E605" i="14"/>
  <c r="E4924" i="14" l="1"/>
  <c r="D4925" i="14"/>
  <c r="D3769" i="14"/>
  <c r="E3768" i="14"/>
  <c r="D3685" i="14"/>
  <c r="E3684" i="14"/>
  <c r="D4002" i="14"/>
  <c r="E4001" i="14"/>
  <c r="E5104" i="14"/>
  <c r="D5105" i="14"/>
  <c r="E3889" i="14"/>
  <c r="D3890" i="14"/>
  <c r="D4217" i="14"/>
  <c r="E4216" i="14"/>
  <c r="E4430" i="14"/>
  <c r="D4431" i="14"/>
  <c r="D4629" i="14"/>
  <c r="E4628" i="14"/>
  <c r="E4710" i="14"/>
  <c r="D4711" i="14"/>
  <c r="D2150" i="14"/>
  <c r="E2149" i="14"/>
  <c r="E1377" i="14"/>
  <c r="D1378" i="14"/>
  <c r="D767" i="14"/>
  <c r="E766" i="14"/>
  <c r="D1968" i="14"/>
  <c r="E1967" i="14"/>
  <c r="D3255" i="14"/>
  <c r="E3254" i="14"/>
  <c r="D2518" i="14"/>
  <c r="E2517" i="14"/>
  <c r="D952" i="14"/>
  <c r="E951" i="14"/>
  <c r="D3468" i="14"/>
  <c r="E3467" i="14"/>
  <c r="E2662" i="14"/>
  <c r="D2663" i="14"/>
  <c r="D607" i="14"/>
  <c r="E606" i="14"/>
  <c r="D3043" i="14"/>
  <c r="E3042" i="14"/>
  <c r="D33" i="14"/>
  <c r="E32" i="14"/>
  <c r="D1783" i="14"/>
  <c r="E1782" i="14"/>
  <c r="D446" i="14"/>
  <c r="E445" i="14"/>
  <c r="D2830" i="14"/>
  <c r="E2829" i="14"/>
  <c r="D2335" i="14"/>
  <c r="E2334" i="14"/>
  <c r="D1164" i="14"/>
  <c r="E1163" i="14"/>
  <c r="D1572" i="14"/>
  <c r="E1571" i="14"/>
  <c r="D240" i="14"/>
  <c r="E239" i="14"/>
  <c r="E4711" i="14" l="1"/>
  <c r="D4712" i="14"/>
  <c r="E4002" i="14"/>
  <c r="D4003" i="14"/>
  <c r="E3769" i="14"/>
  <c r="D3770" i="14"/>
  <c r="E5105" i="14"/>
  <c r="D5106" i="14"/>
  <c r="E4925" i="14"/>
  <c r="D4926" i="14"/>
  <c r="E4431" i="14"/>
  <c r="D4432" i="14"/>
  <c r="E3890" i="14"/>
  <c r="D3891" i="14"/>
  <c r="E4629" i="14"/>
  <c r="D4630" i="14"/>
  <c r="E4217" i="14"/>
  <c r="D4218" i="14"/>
  <c r="D3686" i="14"/>
  <c r="E3685" i="14"/>
  <c r="D2664" i="14"/>
  <c r="E2663" i="14"/>
  <c r="D241" i="14"/>
  <c r="E240" i="14"/>
  <c r="D2336" i="14"/>
  <c r="E2335" i="14"/>
  <c r="D447" i="14"/>
  <c r="E446" i="14"/>
  <c r="D34" i="14"/>
  <c r="E33" i="14"/>
  <c r="D608" i="14"/>
  <c r="E607" i="14"/>
  <c r="D953" i="14"/>
  <c r="E952" i="14"/>
  <c r="D3256" i="14"/>
  <c r="E3255" i="14"/>
  <c r="D768" i="14"/>
  <c r="E767" i="14"/>
  <c r="D1379" i="14"/>
  <c r="E1378" i="14"/>
  <c r="D1573" i="14"/>
  <c r="E1572" i="14"/>
  <c r="D1165" i="14"/>
  <c r="E1164" i="14"/>
  <c r="D2831" i="14"/>
  <c r="E2830" i="14"/>
  <c r="D1784" i="14"/>
  <c r="E1783" i="14"/>
  <c r="D3044" i="14"/>
  <c r="E3043" i="14"/>
  <c r="D3469" i="14"/>
  <c r="E3468" i="14"/>
  <c r="D2519" i="14"/>
  <c r="E2518" i="14"/>
  <c r="D1969" i="14"/>
  <c r="E1968" i="14"/>
  <c r="D2151" i="14"/>
  <c r="E2150" i="14"/>
  <c r="D4631" i="14" l="1"/>
  <c r="E4630" i="14"/>
  <c r="D4004" i="14"/>
  <c r="E4003" i="14"/>
  <c r="D3687" i="14"/>
  <c r="E3686" i="14"/>
  <c r="E4432" i="14"/>
  <c r="D4433" i="14"/>
  <c r="D4219" i="14"/>
  <c r="E4218" i="14"/>
  <c r="E3891" i="14"/>
  <c r="D3892" i="14"/>
  <c r="E4926" i="14"/>
  <c r="D4927" i="14"/>
  <c r="D3771" i="14"/>
  <c r="E3770" i="14"/>
  <c r="E4712" i="14"/>
  <c r="D4713" i="14"/>
  <c r="E5106" i="14"/>
  <c r="D5107" i="14"/>
  <c r="D1970" i="14"/>
  <c r="E1969" i="14"/>
  <c r="D3470" i="14"/>
  <c r="E3469" i="14"/>
  <c r="D3045" i="14"/>
  <c r="E3044" i="14"/>
  <c r="D1166" i="14"/>
  <c r="E1165" i="14"/>
  <c r="D3257" i="14"/>
  <c r="E3256" i="14"/>
  <c r="D609" i="14"/>
  <c r="E608" i="14"/>
  <c r="D448" i="14"/>
  <c r="E447" i="14"/>
  <c r="D2337" i="14"/>
  <c r="E2336" i="14"/>
  <c r="D242" i="14"/>
  <c r="E241" i="14"/>
  <c r="D2152" i="14"/>
  <c r="E2151" i="14"/>
  <c r="E2519" i="14"/>
  <c r="D2520" i="14"/>
  <c r="D1785" i="14"/>
  <c r="E1784" i="14"/>
  <c r="D2832" i="14"/>
  <c r="E2831" i="14"/>
  <c r="D1574" i="14"/>
  <c r="E1573" i="14"/>
  <c r="D1380" i="14"/>
  <c r="E1379" i="14"/>
  <c r="D769" i="14"/>
  <c r="E768" i="14"/>
  <c r="D954" i="14"/>
  <c r="E953" i="14"/>
  <c r="D35" i="14"/>
  <c r="E34" i="14"/>
  <c r="D2665" i="14"/>
  <c r="E2664" i="14"/>
  <c r="E5107" i="14" l="1"/>
  <c r="D5108" i="14"/>
  <c r="E3892" i="14"/>
  <c r="D3893" i="14"/>
  <c r="E3771" i="14"/>
  <c r="D3772" i="14"/>
  <c r="E4004" i="14"/>
  <c r="D4005" i="14"/>
  <c r="E4433" i="14"/>
  <c r="D4434" i="14"/>
  <c r="E4713" i="14"/>
  <c r="D4714" i="14"/>
  <c r="E4927" i="14"/>
  <c r="D4928" i="14"/>
  <c r="E4219" i="14"/>
  <c r="D4220" i="14"/>
  <c r="D3688" i="14"/>
  <c r="E3687" i="14"/>
  <c r="E4631" i="14"/>
  <c r="D4632" i="14"/>
  <c r="D2521" i="14"/>
  <c r="E2520" i="14"/>
  <c r="D36" i="14"/>
  <c r="E35" i="14"/>
  <c r="D955" i="14"/>
  <c r="E954" i="14"/>
  <c r="E1380" i="14"/>
  <c r="D1381" i="14"/>
  <c r="D2833" i="14"/>
  <c r="E2832" i="14"/>
  <c r="D243" i="14"/>
  <c r="E242" i="14"/>
  <c r="D449" i="14"/>
  <c r="E448" i="14"/>
  <c r="D1167" i="14"/>
  <c r="E1166" i="14"/>
  <c r="D3046" i="14"/>
  <c r="E3045" i="14"/>
  <c r="D3471" i="14"/>
  <c r="E3470" i="14"/>
  <c r="D2666" i="14"/>
  <c r="E2665" i="14"/>
  <c r="D770" i="14"/>
  <c r="E769" i="14"/>
  <c r="D1575" i="14"/>
  <c r="E1574" i="14"/>
  <c r="D1786" i="14"/>
  <c r="E1785" i="14"/>
  <c r="D2153" i="14"/>
  <c r="E2152" i="14"/>
  <c r="D2338" i="14"/>
  <c r="E2337" i="14"/>
  <c r="D610" i="14"/>
  <c r="E609" i="14"/>
  <c r="D3258" i="14"/>
  <c r="E3257" i="14"/>
  <c r="D1971" i="14"/>
  <c r="E1970" i="14"/>
  <c r="E4714" i="14" l="1"/>
  <c r="D4715" i="14"/>
  <c r="D4221" i="14"/>
  <c r="E4220" i="14"/>
  <c r="D4006" i="14"/>
  <c r="E4005" i="14"/>
  <c r="E4928" i="14"/>
  <c r="D4929" i="14"/>
  <c r="E4434" i="14"/>
  <c r="D4435" i="14"/>
  <c r="D3773" i="14"/>
  <c r="E3772" i="14"/>
  <c r="E5108" i="14"/>
  <c r="D5109" i="14"/>
  <c r="D4633" i="14"/>
  <c r="E4632" i="14"/>
  <c r="E3893" i="14"/>
  <c r="D3894" i="14"/>
  <c r="D3689" i="14"/>
  <c r="E3688" i="14"/>
  <c r="D611" i="14"/>
  <c r="E610" i="14"/>
  <c r="D2154" i="14"/>
  <c r="E2153" i="14"/>
  <c r="D1787" i="14"/>
  <c r="E1786" i="14"/>
  <c r="D771" i="14"/>
  <c r="E770" i="14"/>
  <c r="D3472" i="14"/>
  <c r="E3471" i="14"/>
  <c r="D1168" i="14"/>
  <c r="E1167" i="14"/>
  <c r="D244" i="14"/>
  <c r="E243" i="14"/>
  <c r="D2834" i="14"/>
  <c r="E2833" i="14"/>
  <c r="D956" i="14"/>
  <c r="E955" i="14"/>
  <c r="D1382" i="14"/>
  <c r="E1381" i="14"/>
  <c r="D1972" i="14"/>
  <c r="E1971" i="14"/>
  <c r="D3259" i="14"/>
  <c r="E3258" i="14"/>
  <c r="D2339" i="14"/>
  <c r="E2338" i="14"/>
  <c r="D1576" i="14"/>
  <c r="E1575" i="14"/>
  <c r="D2667" i="14"/>
  <c r="E2666" i="14"/>
  <c r="D3047" i="14"/>
  <c r="E3046" i="14"/>
  <c r="D450" i="14"/>
  <c r="E449" i="14"/>
  <c r="D37" i="14"/>
  <c r="E36" i="14"/>
  <c r="D2522" i="14"/>
  <c r="E2521" i="14"/>
  <c r="D3690" i="14" l="1"/>
  <c r="E3689" i="14"/>
  <c r="E4633" i="14"/>
  <c r="D4634" i="14"/>
  <c r="E3773" i="14"/>
  <c r="D3774" i="14"/>
  <c r="E4221" i="14"/>
  <c r="D4222" i="14"/>
  <c r="E4929" i="14"/>
  <c r="D4930" i="14"/>
  <c r="E3894" i="14"/>
  <c r="D3895" i="14"/>
  <c r="E5109" i="14"/>
  <c r="D5110" i="14"/>
  <c r="E4435" i="14"/>
  <c r="D4436" i="14"/>
  <c r="E4715" i="14"/>
  <c r="D4716" i="14"/>
  <c r="E4006" i="14"/>
  <c r="D4007" i="14"/>
  <c r="D38" i="14"/>
  <c r="E37" i="14"/>
  <c r="D451" i="14"/>
  <c r="E450" i="14"/>
  <c r="D3048" i="14"/>
  <c r="E3047" i="14"/>
  <c r="D3260" i="14"/>
  <c r="E3259" i="14"/>
  <c r="D1973" i="14"/>
  <c r="E1972" i="14"/>
  <c r="D2835" i="14"/>
  <c r="E2834" i="14"/>
  <c r="D3473" i="14"/>
  <c r="E3472" i="14"/>
  <c r="D772" i="14"/>
  <c r="E771" i="14"/>
  <c r="D2155" i="14"/>
  <c r="E2154" i="14"/>
  <c r="D2523" i="14"/>
  <c r="E2522" i="14"/>
  <c r="D2668" i="14"/>
  <c r="E2667" i="14"/>
  <c r="D1577" i="14"/>
  <c r="E1576" i="14"/>
  <c r="D2340" i="14"/>
  <c r="E2339" i="14"/>
  <c r="D1383" i="14"/>
  <c r="E1382" i="14"/>
  <c r="D957" i="14"/>
  <c r="E956" i="14"/>
  <c r="D245" i="14"/>
  <c r="E244" i="14"/>
  <c r="D1169" i="14"/>
  <c r="E1168" i="14"/>
  <c r="D1788" i="14"/>
  <c r="E1787" i="14"/>
  <c r="D612" i="14"/>
  <c r="E611" i="14"/>
  <c r="E4436" i="14" l="1"/>
  <c r="D4437" i="14"/>
  <c r="E3895" i="14"/>
  <c r="D3896" i="14"/>
  <c r="D4635" i="14"/>
  <c r="E4634" i="14"/>
  <c r="E4716" i="14"/>
  <c r="D4717" i="14"/>
  <c r="E5110" i="14"/>
  <c r="D5111" i="14"/>
  <c r="E4930" i="14"/>
  <c r="D4931" i="14"/>
  <c r="D3775" i="14"/>
  <c r="E3774" i="14"/>
  <c r="D4008" i="14"/>
  <c r="E4007" i="14"/>
  <c r="D4223" i="14"/>
  <c r="E4222" i="14"/>
  <c r="D3691" i="14"/>
  <c r="E3690" i="14"/>
  <c r="D613" i="14"/>
  <c r="E612" i="14"/>
  <c r="D246" i="14"/>
  <c r="E245" i="14"/>
  <c r="D1384" i="14"/>
  <c r="E1383" i="14"/>
  <c r="D2341" i="14"/>
  <c r="E2340" i="14"/>
  <c r="D2669" i="14"/>
  <c r="E2668" i="14"/>
  <c r="D773" i="14"/>
  <c r="E772" i="14"/>
  <c r="D3261" i="14"/>
  <c r="E3260" i="14"/>
  <c r="D452" i="14"/>
  <c r="E451" i="14"/>
  <c r="D1789" i="14"/>
  <c r="E1788" i="14"/>
  <c r="D1170" i="14"/>
  <c r="E1169" i="14"/>
  <c r="D958" i="14"/>
  <c r="E957" i="14"/>
  <c r="D1578" i="14"/>
  <c r="E1577" i="14"/>
  <c r="D2524" i="14"/>
  <c r="E2523" i="14"/>
  <c r="D2156" i="14"/>
  <c r="E2155" i="14"/>
  <c r="D3474" i="14"/>
  <c r="E3473" i="14"/>
  <c r="D2836" i="14"/>
  <c r="E2835" i="14"/>
  <c r="D1974" i="14"/>
  <c r="E1973" i="14"/>
  <c r="D3049" i="14"/>
  <c r="E3048" i="14"/>
  <c r="D39" i="14"/>
  <c r="E38" i="14"/>
  <c r="E3896" i="14" l="1"/>
  <c r="D3897" i="14"/>
  <c r="D3692" i="14"/>
  <c r="E3691" i="14"/>
  <c r="E4008" i="14"/>
  <c r="D4009" i="14"/>
  <c r="E4717" i="14"/>
  <c r="D4718" i="14"/>
  <c r="E5111" i="14"/>
  <c r="D5112" i="14"/>
  <c r="E4437" i="14"/>
  <c r="D4438" i="14"/>
  <c r="E4931" i="14"/>
  <c r="D4932" i="14"/>
  <c r="E4223" i="14"/>
  <c r="D4224" i="14"/>
  <c r="E3775" i="14"/>
  <c r="D3776" i="14"/>
  <c r="E4635" i="14"/>
  <c r="D4636" i="14"/>
  <c r="D3050" i="14"/>
  <c r="E3049" i="14"/>
  <c r="D1975" i="14"/>
  <c r="E1974" i="14"/>
  <c r="D3475" i="14"/>
  <c r="E3474" i="14"/>
  <c r="D2525" i="14"/>
  <c r="E2524" i="14"/>
  <c r="D1579" i="14"/>
  <c r="E1578" i="14"/>
  <c r="D959" i="14"/>
  <c r="E958" i="14"/>
  <c r="D1790" i="14"/>
  <c r="E1789" i="14"/>
  <c r="D453" i="14"/>
  <c r="E452" i="14"/>
  <c r="D3262" i="14"/>
  <c r="E3261" i="14"/>
  <c r="D2670" i="14"/>
  <c r="E2669" i="14"/>
  <c r="D1385" i="14"/>
  <c r="E1384" i="14"/>
  <c r="D40" i="14"/>
  <c r="E39" i="14"/>
  <c r="D2837" i="14"/>
  <c r="E2836" i="14"/>
  <c r="D2157" i="14"/>
  <c r="E2156" i="14"/>
  <c r="D1171" i="14"/>
  <c r="E1170" i="14"/>
  <c r="D774" i="14"/>
  <c r="E773" i="14"/>
  <c r="D2342" i="14"/>
  <c r="E2341" i="14"/>
  <c r="D247" i="14"/>
  <c r="E246" i="14"/>
  <c r="D614" i="14"/>
  <c r="E613" i="14"/>
  <c r="D4637" i="14" l="1"/>
  <c r="E4636" i="14"/>
  <c r="D4225" i="14"/>
  <c r="E4224" i="14"/>
  <c r="E4718" i="14"/>
  <c r="D4719" i="14"/>
  <c r="D3693" i="14"/>
  <c r="E3692" i="14"/>
  <c r="E4438" i="14"/>
  <c r="D4439" i="14"/>
  <c r="D3777" i="14"/>
  <c r="E3776" i="14"/>
  <c r="E4932" i="14"/>
  <c r="D4933" i="14"/>
  <c r="E5112" i="14"/>
  <c r="D5113" i="14"/>
  <c r="D4010" i="14"/>
  <c r="E4009" i="14"/>
  <c r="E3897" i="14"/>
  <c r="D3898" i="14"/>
  <c r="D248" i="14"/>
  <c r="E247" i="14"/>
  <c r="E2157" i="14"/>
  <c r="D2158" i="14"/>
  <c r="D2671" i="14"/>
  <c r="E2670" i="14"/>
  <c r="D454" i="14"/>
  <c r="E453" i="14"/>
  <c r="D960" i="14"/>
  <c r="E959" i="14"/>
  <c r="D2526" i="14"/>
  <c r="E2525" i="14"/>
  <c r="D1976" i="14"/>
  <c r="E1975" i="14"/>
  <c r="D615" i="14"/>
  <c r="E614" i="14"/>
  <c r="D2343" i="14"/>
  <c r="E2342" i="14"/>
  <c r="D775" i="14"/>
  <c r="E774" i="14"/>
  <c r="D1172" i="14"/>
  <c r="E1171" i="14"/>
  <c r="D2838" i="14"/>
  <c r="E2837" i="14"/>
  <c r="D41" i="14"/>
  <c r="E40" i="14"/>
  <c r="D1386" i="14"/>
  <c r="E1385" i="14"/>
  <c r="D3263" i="14"/>
  <c r="E3262" i="14"/>
  <c r="D1791" i="14"/>
  <c r="E1790" i="14"/>
  <c r="D1580" i="14"/>
  <c r="E1579" i="14"/>
  <c r="D3476" i="14"/>
  <c r="E3475" i="14"/>
  <c r="D3051" i="14"/>
  <c r="E3050" i="14"/>
  <c r="E5113" i="14" l="1"/>
  <c r="D5114" i="14"/>
  <c r="E3777" i="14"/>
  <c r="D3778" i="14"/>
  <c r="D3694" i="14"/>
  <c r="E3693" i="14"/>
  <c r="E4225" i="14"/>
  <c r="D4226" i="14"/>
  <c r="E3898" i="14"/>
  <c r="D3899" i="14"/>
  <c r="E4933" i="14"/>
  <c r="D4934" i="14"/>
  <c r="E4439" i="14"/>
  <c r="D4440" i="14"/>
  <c r="E4719" i="14"/>
  <c r="D4720" i="14"/>
  <c r="E4010" i="14"/>
  <c r="D4011" i="14"/>
  <c r="E4637" i="14"/>
  <c r="D4638" i="14"/>
  <c r="D2159" i="14"/>
  <c r="E2158" i="14"/>
  <c r="D42" i="14"/>
  <c r="E41" i="14"/>
  <c r="D2344" i="14"/>
  <c r="E2343" i="14"/>
  <c r="D1977" i="14"/>
  <c r="E1976" i="14"/>
  <c r="E960" i="14"/>
  <c r="D961" i="14"/>
  <c r="D3477" i="14"/>
  <c r="E3476" i="14"/>
  <c r="D1792" i="14"/>
  <c r="E1791" i="14"/>
  <c r="D3052" i="14"/>
  <c r="E3051" i="14"/>
  <c r="D1581" i="14"/>
  <c r="E1580" i="14"/>
  <c r="D3264" i="14"/>
  <c r="E3263" i="14"/>
  <c r="D1387" i="14"/>
  <c r="E1386" i="14"/>
  <c r="E2838" i="14"/>
  <c r="D2839" i="14"/>
  <c r="D1173" i="14"/>
  <c r="E1172" i="14"/>
  <c r="D776" i="14"/>
  <c r="E775" i="14"/>
  <c r="D616" i="14"/>
  <c r="E615" i="14"/>
  <c r="D2527" i="14"/>
  <c r="E2526" i="14"/>
  <c r="D455" i="14"/>
  <c r="E454" i="14"/>
  <c r="D2672" i="14"/>
  <c r="E2671" i="14"/>
  <c r="D249" i="14"/>
  <c r="E248" i="14"/>
  <c r="D4639" i="14" l="1"/>
  <c r="E4638" i="14"/>
  <c r="E4720" i="14"/>
  <c r="D4721" i="14"/>
  <c r="D3779" i="14"/>
  <c r="E3778" i="14"/>
  <c r="D3695" i="14"/>
  <c r="E3694" i="14"/>
  <c r="E4934" i="14"/>
  <c r="D4935" i="14"/>
  <c r="D4227" i="14"/>
  <c r="E4226" i="14"/>
  <c r="D4012" i="14"/>
  <c r="E4011" i="14"/>
  <c r="E4440" i="14"/>
  <c r="D4441" i="14"/>
  <c r="E3899" i="14"/>
  <c r="D3900" i="14"/>
  <c r="E5114" i="14"/>
  <c r="D5115" i="14"/>
  <c r="D962" i="14"/>
  <c r="E961" i="14"/>
  <c r="D456" i="14"/>
  <c r="E455" i="14"/>
  <c r="D617" i="14"/>
  <c r="E616" i="14"/>
  <c r="D1174" i="14"/>
  <c r="E1173" i="14"/>
  <c r="D1388" i="14"/>
  <c r="E1387" i="14"/>
  <c r="D1582" i="14"/>
  <c r="E1581" i="14"/>
  <c r="D1793" i="14"/>
  <c r="E1792" i="14"/>
  <c r="D2345" i="14"/>
  <c r="E2344" i="14"/>
  <c r="D2840" i="14"/>
  <c r="E2839" i="14"/>
  <c r="D250" i="14"/>
  <c r="E249" i="14"/>
  <c r="D2673" i="14"/>
  <c r="E2672" i="14"/>
  <c r="D2528" i="14"/>
  <c r="E2527" i="14"/>
  <c r="D777" i="14"/>
  <c r="E776" i="14"/>
  <c r="D3265" i="14"/>
  <c r="E3264" i="14"/>
  <c r="D3053" i="14"/>
  <c r="E3052" i="14"/>
  <c r="D3478" i="14"/>
  <c r="E3477" i="14"/>
  <c r="D1978" i="14"/>
  <c r="E1977" i="14"/>
  <c r="D43" i="14"/>
  <c r="E42" i="14"/>
  <c r="D2160" i="14"/>
  <c r="E2159" i="14"/>
  <c r="E5115" i="14" l="1"/>
  <c r="D5116" i="14"/>
  <c r="E4227" i="14"/>
  <c r="D4228" i="14"/>
  <c r="D3696" i="14"/>
  <c r="E3695" i="14"/>
  <c r="E3900" i="14"/>
  <c r="D3901" i="14"/>
  <c r="E4935" i="14"/>
  <c r="D4936" i="14"/>
  <c r="E4441" i="14"/>
  <c r="D4442" i="14"/>
  <c r="E4721" i="14"/>
  <c r="D4722" i="14"/>
  <c r="E4012" i="14"/>
  <c r="D4013" i="14"/>
  <c r="E3779" i="14"/>
  <c r="D3780" i="14"/>
  <c r="E4639" i="14"/>
  <c r="D4640" i="14"/>
  <c r="D44" i="14"/>
  <c r="E43" i="14"/>
  <c r="D1979" i="14"/>
  <c r="E1978" i="14"/>
  <c r="D3054" i="14"/>
  <c r="E3053" i="14"/>
  <c r="D778" i="14"/>
  <c r="E777" i="14"/>
  <c r="D2674" i="14"/>
  <c r="E2673" i="14"/>
  <c r="D251" i="14"/>
  <c r="E250" i="14"/>
  <c r="D2346" i="14"/>
  <c r="E2345" i="14"/>
  <c r="D1583" i="14"/>
  <c r="E1582" i="14"/>
  <c r="D1175" i="14"/>
  <c r="E1174" i="14"/>
  <c r="D457" i="14"/>
  <c r="E456" i="14"/>
  <c r="D2161" i="14"/>
  <c r="E2160" i="14"/>
  <c r="D3479" i="14"/>
  <c r="E3478" i="14"/>
  <c r="D3266" i="14"/>
  <c r="E3265" i="14"/>
  <c r="D2529" i="14"/>
  <c r="E2528" i="14"/>
  <c r="D2841" i="14"/>
  <c r="E2840" i="14"/>
  <c r="D1794" i="14"/>
  <c r="E1793" i="14"/>
  <c r="D1389" i="14"/>
  <c r="E1388" i="14"/>
  <c r="D618" i="14"/>
  <c r="E617" i="14"/>
  <c r="D963" i="14"/>
  <c r="E962" i="14"/>
  <c r="D4641" i="14" l="1"/>
  <c r="E4640" i="14"/>
  <c r="D4014" i="14"/>
  <c r="E4013" i="14"/>
  <c r="E4442" i="14"/>
  <c r="D4443" i="14"/>
  <c r="E3901" i="14"/>
  <c r="D3902" i="14"/>
  <c r="D4229" i="14"/>
  <c r="E4228" i="14"/>
  <c r="D3781" i="14"/>
  <c r="E3780" i="14"/>
  <c r="E4722" i="14"/>
  <c r="D4723" i="14"/>
  <c r="E4936" i="14"/>
  <c r="D4937" i="14"/>
  <c r="E5116" i="14"/>
  <c r="D5117" i="14"/>
  <c r="D3697" i="14"/>
  <c r="E3696" i="14"/>
  <c r="D1390" i="14"/>
  <c r="E1389" i="14"/>
  <c r="D2842" i="14"/>
  <c r="E2841" i="14"/>
  <c r="D2530" i="14"/>
  <c r="E2529" i="14"/>
  <c r="D3480" i="14"/>
  <c r="E3479" i="14"/>
  <c r="D1176" i="14"/>
  <c r="E1175" i="14"/>
  <c r="D2675" i="14"/>
  <c r="E2674" i="14"/>
  <c r="D3055" i="14"/>
  <c r="E3054" i="14"/>
  <c r="D1980" i="14"/>
  <c r="E1979" i="14"/>
  <c r="D964" i="14"/>
  <c r="E963" i="14"/>
  <c r="D619" i="14"/>
  <c r="E618" i="14"/>
  <c r="D1795" i="14"/>
  <c r="E1794" i="14"/>
  <c r="D3267" i="14"/>
  <c r="E3266" i="14"/>
  <c r="D2162" i="14"/>
  <c r="E2161" i="14"/>
  <c r="D458" i="14"/>
  <c r="E457" i="14"/>
  <c r="D1584" i="14"/>
  <c r="E1583" i="14"/>
  <c r="D2347" i="14"/>
  <c r="E2346" i="14"/>
  <c r="D252" i="14"/>
  <c r="E251" i="14"/>
  <c r="D779" i="14"/>
  <c r="E778" i="14"/>
  <c r="D45" i="14"/>
  <c r="E44" i="14"/>
  <c r="E4937" i="14" l="1"/>
  <c r="D4938" i="14"/>
  <c r="E3902" i="14"/>
  <c r="D3903" i="14"/>
  <c r="E3781" i="14"/>
  <c r="D3782" i="14"/>
  <c r="E4014" i="14"/>
  <c r="D4015" i="14"/>
  <c r="E5117" i="14"/>
  <c r="D5118" i="14"/>
  <c r="E4723" i="14"/>
  <c r="D4724" i="14"/>
  <c r="E4443" i="14"/>
  <c r="D4444" i="14"/>
  <c r="D3698" i="14"/>
  <c r="E3697" i="14"/>
  <c r="E4229" i="14"/>
  <c r="D4230" i="14"/>
  <c r="E4641" i="14"/>
  <c r="D4642" i="14"/>
  <c r="D253" i="14"/>
  <c r="E252" i="14"/>
  <c r="D1585" i="14"/>
  <c r="E1584" i="14"/>
  <c r="D2163" i="14"/>
  <c r="E2162" i="14"/>
  <c r="D3268" i="14"/>
  <c r="E3267" i="14"/>
  <c r="D620" i="14"/>
  <c r="E619" i="14"/>
  <c r="D1981" i="14"/>
  <c r="E1980" i="14"/>
  <c r="D2676" i="14"/>
  <c r="E2675" i="14"/>
  <c r="D3481" i="14"/>
  <c r="E3480" i="14"/>
  <c r="D2843" i="14"/>
  <c r="E2842" i="14"/>
  <c r="D1391" i="14"/>
  <c r="E1390" i="14"/>
  <c r="E45" i="14"/>
  <c r="D46" i="14"/>
  <c r="D780" i="14"/>
  <c r="E779" i="14"/>
  <c r="D2348" i="14"/>
  <c r="E2347" i="14"/>
  <c r="D459" i="14"/>
  <c r="E458" i="14"/>
  <c r="D1796" i="14"/>
  <c r="E1795" i="14"/>
  <c r="D965" i="14"/>
  <c r="E964" i="14"/>
  <c r="D3056" i="14"/>
  <c r="E3055" i="14"/>
  <c r="D1177" i="14"/>
  <c r="E1176" i="14"/>
  <c r="D2531" i="14"/>
  <c r="E2530" i="14"/>
  <c r="D4016" i="14" l="1"/>
  <c r="E4015" i="14"/>
  <c r="D3699" i="14"/>
  <c r="E3698" i="14"/>
  <c r="D4643" i="14"/>
  <c r="E4642" i="14"/>
  <c r="D4231" i="14"/>
  <c r="E4230" i="14"/>
  <c r="E4444" i="14"/>
  <c r="D4445" i="14"/>
  <c r="E5118" i="14"/>
  <c r="D5119" i="14"/>
  <c r="D3783" i="14"/>
  <c r="E3782" i="14"/>
  <c r="E4938" i="14"/>
  <c r="D4939" i="14"/>
  <c r="E4724" i="14"/>
  <c r="D4725" i="14"/>
  <c r="E3903" i="14"/>
  <c r="D3904" i="14"/>
  <c r="D966" i="14"/>
  <c r="E965" i="14"/>
  <c r="D460" i="14"/>
  <c r="E459" i="14"/>
  <c r="D781" i="14"/>
  <c r="E780" i="14"/>
  <c r="D2844" i="14"/>
  <c r="E2843" i="14"/>
  <c r="D2677" i="14"/>
  <c r="E2676" i="14"/>
  <c r="D621" i="14"/>
  <c r="E620" i="14"/>
  <c r="D3269" i="14"/>
  <c r="E3268" i="14"/>
  <c r="D1586" i="14"/>
  <c r="E1585" i="14"/>
  <c r="D47" i="14"/>
  <c r="E46" i="14"/>
  <c r="D2532" i="14"/>
  <c r="E2531" i="14"/>
  <c r="D1178" i="14"/>
  <c r="E1177" i="14"/>
  <c r="D3057" i="14"/>
  <c r="E3056" i="14"/>
  <c r="D1797" i="14"/>
  <c r="E1796" i="14"/>
  <c r="D2349" i="14"/>
  <c r="E2348" i="14"/>
  <c r="D1392" i="14"/>
  <c r="E1391" i="14"/>
  <c r="D3482" i="14"/>
  <c r="E3481" i="14"/>
  <c r="D1982" i="14"/>
  <c r="E1981" i="14"/>
  <c r="D2164" i="14"/>
  <c r="E2163" i="14"/>
  <c r="D254" i="14"/>
  <c r="E253" i="14"/>
  <c r="E4939" i="14" l="1"/>
  <c r="D4940" i="14"/>
  <c r="E4231" i="14"/>
  <c r="D4232" i="14"/>
  <c r="D3700" i="14"/>
  <c r="E3699" i="14"/>
  <c r="E4725" i="14"/>
  <c r="D4726" i="14"/>
  <c r="E4445" i="14"/>
  <c r="D4446" i="14"/>
  <c r="E3904" i="14"/>
  <c r="D3905" i="14"/>
  <c r="E5119" i="14"/>
  <c r="D5120" i="14"/>
  <c r="E3783" i="14"/>
  <c r="D3784" i="14"/>
  <c r="E4643" i="14"/>
  <c r="D4644" i="14"/>
  <c r="E4016" i="14"/>
  <c r="D4017" i="14"/>
  <c r="D2165" i="14"/>
  <c r="E2164" i="14"/>
  <c r="D1983" i="14"/>
  <c r="E1982" i="14"/>
  <c r="D3483" i="14"/>
  <c r="E3482" i="14"/>
  <c r="D2350" i="14"/>
  <c r="E2349" i="14"/>
  <c r="D1798" i="14"/>
  <c r="E1797" i="14"/>
  <c r="D1179" i="14"/>
  <c r="E1178" i="14"/>
  <c r="D1587" i="14"/>
  <c r="E1586" i="14"/>
  <c r="D622" i="14"/>
  <c r="E621" i="14"/>
  <c r="D461" i="14"/>
  <c r="E460" i="14"/>
  <c r="D967" i="14"/>
  <c r="E966" i="14"/>
  <c r="D255" i="14"/>
  <c r="E254" i="14"/>
  <c r="D1393" i="14"/>
  <c r="E1392" i="14"/>
  <c r="D3058" i="14"/>
  <c r="E3057" i="14"/>
  <c r="D2533" i="14"/>
  <c r="E2532" i="14"/>
  <c r="D48" i="14"/>
  <c r="E47" i="14"/>
  <c r="D3270" i="14"/>
  <c r="E3269" i="14"/>
  <c r="D2678" i="14"/>
  <c r="E2677" i="14"/>
  <c r="D2845" i="14"/>
  <c r="E2844" i="14"/>
  <c r="D782" i="14"/>
  <c r="E781" i="14"/>
  <c r="D4018" i="14" l="1"/>
  <c r="E4017" i="14"/>
  <c r="E4726" i="14"/>
  <c r="D4727" i="14"/>
  <c r="E3905" i="14"/>
  <c r="D3906" i="14"/>
  <c r="E4644" i="14"/>
  <c r="D4645" i="14"/>
  <c r="E5120" i="14"/>
  <c r="D5121" i="14"/>
  <c r="E4446" i="14"/>
  <c r="D4447" i="14"/>
  <c r="E4940" i="14"/>
  <c r="D4941" i="14"/>
  <c r="D3785" i="14"/>
  <c r="E3784" i="14"/>
  <c r="D4233" i="14"/>
  <c r="E4232" i="14"/>
  <c r="D3701" i="14"/>
  <c r="E3700" i="14"/>
  <c r="D783" i="14"/>
  <c r="E782" i="14"/>
  <c r="D2679" i="14"/>
  <c r="E2678" i="14"/>
  <c r="D49" i="14"/>
  <c r="E48" i="14"/>
  <c r="D3059" i="14"/>
  <c r="E3058" i="14"/>
  <c r="D1394" i="14"/>
  <c r="E1393" i="14"/>
  <c r="D462" i="14"/>
  <c r="E461" i="14"/>
  <c r="D1588" i="14"/>
  <c r="E1587" i="14"/>
  <c r="D1180" i="14"/>
  <c r="E1179" i="14"/>
  <c r="D2351" i="14"/>
  <c r="E2350" i="14"/>
  <c r="D1984" i="14"/>
  <c r="E1983" i="14"/>
  <c r="D2846" i="14"/>
  <c r="E2845" i="14"/>
  <c r="D3271" i="14"/>
  <c r="E3270" i="14"/>
  <c r="D2534" i="14"/>
  <c r="E2533" i="14"/>
  <c r="D256" i="14"/>
  <c r="E255" i="14"/>
  <c r="D968" i="14"/>
  <c r="E967" i="14"/>
  <c r="D623" i="14"/>
  <c r="E622" i="14"/>
  <c r="D1799" i="14"/>
  <c r="E1798" i="14"/>
  <c r="D3484" i="14"/>
  <c r="E3483" i="14"/>
  <c r="D2166" i="14"/>
  <c r="E2165" i="14"/>
  <c r="E4645" i="14" l="1"/>
  <c r="D4646" i="14"/>
  <c r="E4447" i="14"/>
  <c r="D4448" i="14"/>
  <c r="D3702" i="14"/>
  <c r="E3701" i="14"/>
  <c r="E4941" i="14"/>
  <c r="D4942" i="14"/>
  <c r="E5121" i="14"/>
  <c r="D5122" i="14"/>
  <c r="E3906" i="14"/>
  <c r="D3907" i="14"/>
  <c r="E4727" i="14"/>
  <c r="D4728" i="14"/>
  <c r="E3785" i="14"/>
  <c r="D3786" i="14"/>
  <c r="E4233" i="14"/>
  <c r="D4234" i="14"/>
  <c r="E4018" i="14"/>
  <c r="D4019" i="14"/>
  <c r="D3485" i="14"/>
  <c r="E3484" i="14"/>
  <c r="D257" i="14"/>
  <c r="E256" i="14"/>
  <c r="D3272" i="14"/>
  <c r="E3271" i="14"/>
  <c r="E1984" i="14"/>
  <c r="D1985" i="14"/>
  <c r="D1181" i="14"/>
  <c r="E1180" i="14"/>
  <c r="D1395" i="14"/>
  <c r="E1394" i="14"/>
  <c r="D50" i="14"/>
  <c r="E49" i="14"/>
  <c r="D784" i="14"/>
  <c r="E783" i="14"/>
  <c r="D2167" i="14"/>
  <c r="E2166" i="14"/>
  <c r="D1800" i="14"/>
  <c r="E1799" i="14"/>
  <c r="D624" i="14"/>
  <c r="E623" i="14"/>
  <c r="D969" i="14"/>
  <c r="E968" i="14"/>
  <c r="D2535" i="14"/>
  <c r="E2534" i="14"/>
  <c r="D2847" i="14"/>
  <c r="E2846" i="14"/>
  <c r="D2352" i="14"/>
  <c r="E2351" i="14"/>
  <c r="D1589" i="14"/>
  <c r="E1588" i="14"/>
  <c r="E462" i="14"/>
  <c r="D463" i="14"/>
  <c r="D3060" i="14"/>
  <c r="E3059" i="14"/>
  <c r="D2680" i="14"/>
  <c r="E2679" i="14"/>
  <c r="E4942" i="14" l="1"/>
  <c r="D4943" i="14"/>
  <c r="D4020" i="14"/>
  <c r="E4019" i="14"/>
  <c r="D3787" i="14"/>
  <c r="E3786" i="14"/>
  <c r="E4448" i="14"/>
  <c r="D4449" i="14"/>
  <c r="D4235" i="14"/>
  <c r="E4234" i="14"/>
  <c r="E4728" i="14"/>
  <c r="D4729" i="14"/>
  <c r="E5122" i="14"/>
  <c r="D5123" i="14"/>
  <c r="E4646" i="14"/>
  <c r="D4647" i="14"/>
  <c r="E3907" i="14"/>
  <c r="D3908" i="14"/>
  <c r="D3703" i="14"/>
  <c r="E3702" i="14"/>
  <c r="D1986" i="14"/>
  <c r="E1985" i="14"/>
  <c r="D2681" i="14"/>
  <c r="E2680" i="14"/>
  <c r="D1590" i="14"/>
  <c r="E1589" i="14"/>
  <c r="D2536" i="14"/>
  <c r="E2535" i="14"/>
  <c r="D970" i="14"/>
  <c r="E969" i="14"/>
  <c r="D1801" i="14"/>
  <c r="E1800" i="14"/>
  <c r="D785" i="14"/>
  <c r="E784" i="14"/>
  <c r="D1396" i="14"/>
  <c r="E1395" i="14"/>
  <c r="D3273" i="14"/>
  <c r="E3272" i="14"/>
  <c r="D258" i="14"/>
  <c r="E257" i="14"/>
  <c r="D464" i="14"/>
  <c r="E463" i="14"/>
  <c r="D3061" i="14"/>
  <c r="E3060" i="14"/>
  <c r="D2353" i="14"/>
  <c r="E2352" i="14"/>
  <c r="D2848" i="14"/>
  <c r="E2847" i="14"/>
  <c r="D625" i="14"/>
  <c r="E624" i="14"/>
  <c r="D2168" i="14"/>
  <c r="E2167" i="14"/>
  <c r="D51" i="14"/>
  <c r="E50" i="14"/>
  <c r="D1182" i="14"/>
  <c r="E1181" i="14"/>
  <c r="D3486" i="14"/>
  <c r="E3485" i="14"/>
  <c r="E4729" i="14" l="1"/>
  <c r="D4730" i="14"/>
  <c r="E4449" i="14"/>
  <c r="D4450" i="14"/>
  <c r="D3704" i="14"/>
  <c r="E3703" i="14"/>
  <c r="E4020" i="14"/>
  <c r="D4021" i="14"/>
  <c r="E3908" i="14"/>
  <c r="D3909" i="14"/>
  <c r="E5123" i="14"/>
  <c r="D5124" i="14"/>
  <c r="E4943" i="14"/>
  <c r="D4944" i="14"/>
  <c r="E4647" i="14"/>
  <c r="D4648" i="14"/>
  <c r="E4235" i="14"/>
  <c r="D4236" i="14"/>
  <c r="E3787" i="14"/>
  <c r="D3788" i="14"/>
  <c r="D2169" i="14"/>
  <c r="E2168" i="14"/>
  <c r="D2354" i="14"/>
  <c r="E2353" i="14"/>
  <c r="D3274" i="14"/>
  <c r="E3273" i="14"/>
  <c r="D1397" i="14"/>
  <c r="E1396" i="14"/>
  <c r="E1801" i="14"/>
  <c r="D1802" i="14"/>
  <c r="D2537" i="14"/>
  <c r="E2536" i="14"/>
  <c r="D1591" i="14"/>
  <c r="E1590" i="14"/>
  <c r="D2682" i="14"/>
  <c r="E2681" i="14"/>
  <c r="D3487" i="14"/>
  <c r="E3486" i="14"/>
  <c r="D1183" i="14"/>
  <c r="E1182" i="14"/>
  <c r="D52" i="14"/>
  <c r="E51" i="14"/>
  <c r="D626" i="14"/>
  <c r="E625" i="14"/>
  <c r="D2849" i="14"/>
  <c r="E2848" i="14"/>
  <c r="D3062" i="14"/>
  <c r="E3061" i="14"/>
  <c r="D465" i="14"/>
  <c r="E464" i="14"/>
  <c r="D259" i="14"/>
  <c r="E258" i="14"/>
  <c r="D786" i="14"/>
  <c r="E785" i="14"/>
  <c r="D971" i="14"/>
  <c r="E970" i="14"/>
  <c r="D1987" i="14"/>
  <c r="E1986" i="14"/>
  <c r="E5124" i="14" l="1"/>
  <c r="D5125" i="14"/>
  <c r="D3789" i="14"/>
  <c r="E3788" i="14"/>
  <c r="D4022" i="14"/>
  <c r="E4021" i="14"/>
  <c r="E4450" i="14"/>
  <c r="D4451" i="14"/>
  <c r="D4237" i="14"/>
  <c r="E4236" i="14"/>
  <c r="E4944" i="14"/>
  <c r="D4945" i="14"/>
  <c r="E3909" i="14"/>
  <c r="D3910" i="14"/>
  <c r="E4730" i="14"/>
  <c r="D4731" i="14"/>
  <c r="E4648" i="14"/>
  <c r="D4649" i="14"/>
  <c r="D3705" i="14"/>
  <c r="E3704" i="14"/>
  <c r="D972" i="14"/>
  <c r="E971" i="14"/>
  <c r="D466" i="14"/>
  <c r="E465" i="14"/>
  <c r="D2850" i="14"/>
  <c r="E2849" i="14"/>
  <c r="D53" i="14"/>
  <c r="E52" i="14"/>
  <c r="D2683" i="14"/>
  <c r="E2682" i="14"/>
  <c r="D2538" i="14"/>
  <c r="E2537" i="14"/>
  <c r="D1398" i="14"/>
  <c r="E1397" i="14"/>
  <c r="D2355" i="14"/>
  <c r="E2354" i="14"/>
  <c r="D2170" i="14"/>
  <c r="E2169" i="14"/>
  <c r="D1803" i="14"/>
  <c r="E1802" i="14"/>
  <c r="D1988" i="14"/>
  <c r="E1987" i="14"/>
  <c r="D787" i="14"/>
  <c r="E786" i="14"/>
  <c r="D260" i="14"/>
  <c r="E259" i="14"/>
  <c r="D3063" i="14"/>
  <c r="E3062" i="14"/>
  <c r="D627" i="14"/>
  <c r="E626" i="14"/>
  <c r="D1184" i="14"/>
  <c r="E1183" i="14"/>
  <c r="D3488" i="14"/>
  <c r="E3487" i="14"/>
  <c r="D1592" i="14"/>
  <c r="E1591" i="14"/>
  <c r="D3275" i="14"/>
  <c r="E3274" i="14"/>
  <c r="E4451" i="14" l="1"/>
  <c r="D4452" i="14"/>
  <c r="D3706" i="14"/>
  <c r="E3705" i="14"/>
  <c r="E3789" i="14"/>
  <c r="D3790" i="14"/>
  <c r="E4945" i="14"/>
  <c r="D4946" i="14"/>
  <c r="E4649" i="14"/>
  <c r="D4650" i="14"/>
  <c r="E5125" i="14"/>
  <c r="D5126" i="14"/>
  <c r="E4731" i="14"/>
  <c r="D4732" i="14"/>
  <c r="E3910" i="14"/>
  <c r="D3911" i="14"/>
  <c r="E4237" i="14"/>
  <c r="D4238" i="14"/>
  <c r="E4022" i="14"/>
  <c r="D4023" i="14"/>
  <c r="D1593" i="14"/>
  <c r="E1592" i="14"/>
  <c r="D1185" i="14"/>
  <c r="E1184" i="14"/>
  <c r="D3064" i="14"/>
  <c r="E3063" i="14"/>
  <c r="D788" i="14"/>
  <c r="E787" i="14"/>
  <c r="D1989" i="14"/>
  <c r="E1988" i="14"/>
  <c r="D2356" i="14"/>
  <c r="E2355" i="14"/>
  <c r="D1399" i="14"/>
  <c r="E1398" i="14"/>
  <c r="D2684" i="14"/>
  <c r="E2683" i="14"/>
  <c r="D54" i="14"/>
  <c r="E53" i="14"/>
  <c r="D467" i="14"/>
  <c r="E466" i="14"/>
  <c r="D973" i="14"/>
  <c r="E972" i="14"/>
  <c r="D3276" i="14"/>
  <c r="E3275" i="14"/>
  <c r="D3489" i="14"/>
  <c r="E3488" i="14"/>
  <c r="D628" i="14"/>
  <c r="E627" i="14"/>
  <c r="D261" i="14"/>
  <c r="E260" i="14"/>
  <c r="D1804" i="14"/>
  <c r="E1803" i="14"/>
  <c r="D2171" i="14"/>
  <c r="E2170" i="14"/>
  <c r="D2539" i="14"/>
  <c r="E2538" i="14"/>
  <c r="D2851" i="14"/>
  <c r="E2850" i="14"/>
  <c r="E4023" i="14" l="1"/>
  <c r="D4024" i="14"/>
  <c r="E5126" i="14"/>
  <c r="D5127" i="14"/>
  <c r="D3707" i="14"/>
  <c r="E3706" i="14"/>
  <c r="D4239" i="14"/>
  <c r="E4238" i="14"/>
  <c r="E4732" i="14"/>
  <c r="D4733" i="14"/>
  <c r="E4650" i="14"/>
  <c r="D4651" i="14"/>
  <c r="D3791" i="14"/>
  <c r="E3790" i="14"/>
  <c r="E4452" i="14"/>
  <c r="D4453" i="14"/>
  <c r="D3912" i="14"/>
  <c r="E3911" i="14"/>
  <c r="E4946" i="14"/>
  <c r="D4947" i="14"/>
  <c r="D1805" i="14"/>
  <c r="E1804" i="14"/>
  <c r="E261" i="14"/>
  <c r="D262" i="14"/>
  <c r="D3490" i="14"/>
  <c r="E3489" i="14"/>
  <c r="D974" i="14"/>
  <c r="E973" i="14"/>
  <c r="D55" i="14"/>
  <c r="E54" i="14"/>
  <c r="D1400" i="14"/>
  <c r="E1399" i="14"/>
  <c r="D789" i="14"/>
  <c r="E788" i="14"/>
  <c r="D1186" i="14"/>
  <c r="E1185" i="14"/>
  <c r="D2852" i="14"/>
  <c r="E2851" i="14"/>
  <c r="D2540" i="14"/>
  <c r="E2539" i="14"/>
  <c r="D2172" i="14"/>
  <c r="E2171" i="14"/>
  <c r="D629" i="14"/>
  <c r="E628" i="14"/>
  <c r="D3277" i="14"/>
  <c r="E3276" i="14"/>
  <c r="D468" i="14"/>
  <c r="E467" i="14"/>
  <c r="D2685" i="14"/>
  <c r="E2684" i="14"/>
  <c r="D2357" i="14"/>
  <c r="E2356" i="14"/>
  <c r="D1990" i="14"/>
  <c r="E1989" i="14"/>
  <c r="D3065" i="14"/>
  <c r="E3064" i="14"/>
  <c r="D1594" i="14"/>
  <c r="E1593" i="14"/>
  <c r="E4239" i="14" l="1"/>
  <c r="D4240" i="14"/>
  <c r="E4651" i="14"/>
  <c r="D4652" i="14"/>
  <c r="E4024" i="14"/>
  <c r="D4025" i="14"/>
  <c r="E4947" i="14"/>
  <c r="D4948" i="14"/>
  <c r="E4453" i="14"/>
  <c r="D4454" i="14"/>
  <c r="E5127" i="14"/>
  <c r="D5128" i="14"/>
  <c r="E4733" i="14"/>
  <c r="D4734" i="14"/>
  <c r="E3912" i="14"/>
  <c r="D3913" i="14"/>
  <c r="E3791" i="14"/>
  <c r="D3792" i="14"/>
  <c r="D3708" i="14"/>
  <c r="E3707" i="14"/>
  <c r="D1595" i="14"/>
  <c r="E1594" i="14"/>
  <c r="D1991" i="14"/>
  <c r="E1990" i="14"/>
  <c r="D2686" i="14"/>
  <c r="E2685" i="14"/>
  <c r="D630" i="14"/>
  <c r="E629" i="14"/>
  <c r="D2173" i="14"/>
  <c r="E2172" i="14"/>
  <c r="D2853" i="14"/>
  <c r="E2852" i="14"/>
  <c r="D790" i="14"/>
  <c r="E789" i="14"/>
  <c r="D1401" i="14"/>
  <c r="E1400" i="14"/>
  <c r="D975" i="14"/>
  <c r="E974" i="14"/>
  <c r="D3491" i="14"/>
  <c r="E3490" i="14"/>
  <c r="D1806" i="14"/>
  <c r="E1805" i="14"/>
  <c r="D263" i="14"/>
  <c r="E262" i="14"/>
  <c r="D3066" i="14"/>
  <c r="E3065" i="14"/>
  <c r="D2358" i="14"/>
  <c r="E2357" i="14"/>
  <c r="D469" i="14"/>
  <c r="E468" i="14"/>
  <c r="D3278" i="14"/>
  <c r="E3277" i="14"/>
  <c r="D2541" i="14"/>
  <c r="E2540" i="14"/>
  <c r="D1187" i="14"/>
  <c r="E1186" i="14"/>
  <c r="D56" i="14"/>
  <c r="E55" i="14"/>
  <c r="E4948" i="14" l="1"/>
  <c r="D4949" i="14"/>
  <c r="E3913" i="14"/>
  <c r="D3914" i="14"/>
  <c r="E4652" i="14"/>
  <c r="D4653" i="14"/>
  <c r="D3793" i="14"/>
  <c r="E3792" i="14"/>
  <c r="E4734" i="14"/>
  <c r="D4735" i="14"/>
  <c r="E4454" i="14"/>
  <c r="D4455" i="14"/>
  <c r="E4025" i="14"/>
  <c r="D4026" i="14"/>
  <c r="D4241" i="14"/>
  <c r="E4240" i="14"/>
  <c r="E5128" i="14"/>
  <c r="D5129" i="14"/>
  <c r="D3709" i="14"/>
  <c r="E3708" i="14"/>
  <c r="D57" i="14"/>
  <c r="E56" i="14"/>
  <c r="D1188" i="14"/>
  <c r="E1187" i="14"/>
  <c r="D2542" i="14"/>
  <c r="E2541" i="14"/>
  <c r="D3279" i="14"/>
  <c r="E3278" i="14"/>
  <c r="D2359" i="14"/>
  <c r="E2358" i="14"/>
  <c r="D3492" i="14"/>
  <c r="E3491" i="14"/>
  <c r="D1402" i="14"/>
  <c r="E1401" i="14"/>
  <c r="D2174" i="14"/>
  <c r="E2173" i="14"/>
  <c r="D1992" i="14"/>
  <c r="E1991" i="14"/>
  <c r="D470" i="14"/>
  <c r="E469" i="14"/>
  <c r="D3067" i="14"/>
  <c r="E3066" i="14"/>
  <c r="D264" i="14"/>
  <c r="E263" i="14"/>
  <c r="D1807" i="14"/>
  <c r="E1806" i="14"/>
  <c r="E975" i="14"/>
  <c r="D976" i="14"/>
  <c r="D791" i="14"/>
  <c r="E790" i="14"/>
  <c r="D2854" i="14"/>
  <c r="E2853" i="14"/>
  <c r="D631" i="14"/>
  <c r="E630" i="14"/>
  <c r="D2687" i="14"/>
  <c r="E2686" i="14"/>
  <c r="D1596" i="14"/>
  <c r="E1595" i="14"/>
  <c r="E3793" i="14" l="1"/>
  <c r="D3794" i="14"/>
  <c r="E3914" i="14"/>
  <c r="D3915" i="14"/>
  <c r="D3710" i="14"/>
  <c r="E3709" i="14"/>
  <c r="E5129" i="14"/>
  <c r="D5130" i="14"/>
  <c r="E4026" i="14"/>
  <c r="D4027" i="14"/>
  <c r="E4735" i="14"/>
  <c r="D4736" i="14"/>
  <c r="E4653" i="14"/>
  <c r="D4654" i="14"/>
  <c r="E4949" i="14"/>
  <c r="D4950" i="14"/>
  <c r="E4455" i="14"/>
  <c r="D4456" i="14"/>
  <c r="E4241" i="14"/>
  <c r="D4242" i="14"/>
  <c r="D977" i="14"/>
  <c r="E976" i="14"/>
  <c r="D2688" i="14"/>
  <c r="E2687" i="14"/>
  <c r="D2855" i="14"/>
  <c r="E2854" i="14"/>
  <c r="D265" i="14"/>
  <c r="E264" i="14"/>
  <c r="D471" i="14"/>
  <c r="E470" i="14"/>
  <c r="D1993" i="14"/>
  <c r="E1992" i="14"/>
  <c r="D2175" i="14"/>
  <c r="E2174" i="14"/>
  <c r="D1403" i="14"/>
  <c r="E1402" i="14"/>
  <c r="D2360" i="14"/>
  <c r="E2359" i="14"/>
  <c r="D2543" i="14"/>
  <c r="E2542" i="14"/>
  <c r="D58" i="14"/>
  <c r="E57" i="14"/>
  <c r="D1597" i="14"/>
  <c r="E1596" i="14"/>
  <c r="D632" i="14"/>
  <c r="E631" i="14"/>
  <c r="D792" i="14"/>
  <c r="E791" i="14"/>
  <c r="D1808" i="14"/>
  <c r="E1807" i="14"/>
  <c r="D3068" i="14"/>
  <c r="E3067" i="14"/>
  <c r="D3493" i="14"/>
  <c r="E3492" i="14"/>
  <c r="D3280" i="14"/>
  <c r="E3279" i="14"/>
  <c r="D1189" i="14"/>
  <c r="E1188" i="14"/>
  <c r="E4950" i="14" l="1"/>
  <c r="D4951" i="14"/>
  <c r="E3915" i="14"/>
  <c r="D3916" i="14"/>
  <c r="D4243" i="14"/>
  <c r="E4242" i="14"/>
  <c r="E4736" i="14"/>
  <c r="D4737" i="14"/>
  <c r="E4654" i="14"/>
  <c r="D4655" i="14"/>
  <c r="D3795" i="14"/>
  <c r="E3794" i="14"/>
  <c r="E5130" i="14"/>
  <c r="D5131" i="14"/>
  <c r="E4456" i="14"/>
  <c r="D4457" i="14"/>
  <c r="E4027" i="14"/>
  <c r="D4028" i="14"/>
  <c r="D3711" i="14"/>
  <c r="E3710" i="14"/>
  <c r="D1190" i="14"/>
  <c r="E1189" i="14"/>
  <c r="D1809" i="14"/>
  <c r="E1808" i="14"/>
  <c r="D633" i="14"/>
  <c r="E632" i="14"/>
  <c r="D59" i="14"/>
  <c r="E58" i="14"/>
  <c r="D2361" i="14"/>
  <c r="E2360" i="14"/>
  <c r="D1404" i="14"/>
  <c r="E1403" i="14"/>
  <c r="D1994" i="14"/>
  <c r="E1993" i="14"/>
  <c r="D266" i="14"/>
  <c r="E265" i="14"/>
  <c r="D2689" i="14"/>
  <c r="E2688" i="14"/>
  <c r="D3281" i="14"/>
  <c r="E3280" i="14"/>
  <c r="D3494" i="14"/>
  <c r="E3493" i="14"/>
  <c r="D3069" i="14"/>
  <c r="E3068" i="14"/>
  <c r="D793" i="14"/>
  <c r="E792" i="14"/>
  <c r="D1598" i="14"/>
  <c r="E1597" i="14"/>
  <c r="D2544" i="14"/>
  <c r="E2543" i="14"/>
  <c r="D2176" i="14"/>
  <c r="E2175" i="14"/>
  <c r="D472" i="14"/>
  <c r="E471" i="14"/>
  <c r="D2856" i="14"/>
  <c r="E2855" i="14"/>
  <c r="D978" i="14"/>
  <c r="E977" i="14"/>
  <c r="E4737" i="14" l="1"/>
  <c r="D4738" i="14"/>
  <c r="D3712" i="14"/>
  <c r="E3711" i="14"/>
  <c r="E3795" i="14"/>
  <c r="D3796" i="14"/>
  <c r="E3916" i="14"/>
  <c r="D3917" i="14"/>
  <c r="E5131" i="14"/>
  <c r="D5132" i="14"/>
  <c r="E4655" i="14"/>
  <c r="D4656" i="14"/>
  <c r="E4951" i="14"/>
  <c r="D4952" i="14"/>
  <c r="E4457" i="14"/>
  <c r="D4458" i="14"/>
  <c r="E4028" i="14"/>
  <c r="D4029" i="14"/>
  <c r="E4243" i="14"/>
  <c r="D4244" i="14"/>
  <c r="D2857" i="14"/>
  <c r="E2856" i="14"/>
  <c r="D1599" i="14"/>
  <c r="E1598" i="14"/>
  <c r="D3070" i="14"/>
  <c r="E3069" i="14"/>
  <c r="D3282" i="14"/>
  <c r="E3281" i="14"/>
  <c r="D2690" i="14"/>
  <c r="E2689" i="14"/>
  <c r="D1405" i="14"/>
  <c r="E1404" i="14"/>
  <c r="D60" i="14"/>
  <c r="E59" i="14"/>
  <c r="D1810" i="14"/>
  <c r="E1809" i="14"/>
  <c r="D979" i="14"/>
  <c r="E978" i="14"/>
  <c r="D473" i="14"/>
  <c r="E472" i="14"/>
  <c r="D2177" i="14"/>
  <c r="E2176" i="14"/>
  <c r="D2545" i="14"/>
  <c r="E2544" i="14"/>
  <c r="D794" i="14"/>
  <c r="E793" i="14"/>
  <c r="D3495" i="14"/>
  <c r="E3494" i="14"/>
  <c r="D267" i="14"/>
  <c r="E266" i="14"/>
  <c r="D1995" i="14"/>
  <c r="E1994" i="14"/>
  <c r="D2362" i="14"/>
  <c r="E2361" i="14"/>
  <c r="D634" i="14"/>
  <c r="E633" i="14"/>
  <c r="D1191" i="14"/>
  <c r="E1190" i="14"/>
  <c r="D4245" i="14" l="1"/>
  <c r="E4244" i="14"/>
  <c r="E4458" i="14"/>
  <c r="D4459" i="14"/>
  <c r="D3713" i="14"/>
  <c r="E3712" i="14"/>
  <c r="E4029" i="14"/>
  <c r="D4030" i="14"/>
  <c r="E4952" i="14"/>
  <c r="D4953" i="14"/>
  <c r="E5132" i="14"/>
  <c r="D5133" i="14"/>
  <c r="D3797" i="14"/>
  <c r="E3796" i="14"/>
  <c r="E4738" i="14"/>
  <c r="D4739" i="14"/>
  <c r="E4656" i="14"/>
  <c r="D4657" i="14"/>
  <c r="E3917" i="14"/>
  <c r="D3918" i="14"/>
  <c r="D635" i="14"/>
  <c r="E634" i="14"/>
  <c r="D1996" i="14"/>
  <c r="E1995" i="14"/>
  <c r="D2546" i="14"/>
  <c r="E2545" i="14"/>
  <c r="D474" i="14"/>
  <c r="E473" i="14"/>
  <c r="D1811" i="14"/>
  <c r="E1810" i="14"/>
  <c r="D1406" i="14"/>
  <c r="E1405" i="14"/>
  <c r="D2691" i="14"/>
  <c r="E2690" i="14"/>
  <c r="D1600" i="14"/>
  <c r="E1599" i="14"/>
  <c r="D1192" i="14"/>
  <c r="E1191" i="14"/>
  <c r="D2363" i="14"/>
  <c r="E2362" i="14"/>
  <c r="D268" i="14"/>
  <c r="E267" i="14"/>
  <c r="D3496" i="14"/>
  <c r="E3495" i="14"/>
  <c r="D795" i="14"/>
  <c r="E794" i="14"/>
  <c r="D2178" i="14"/>
  <c r="E2177" i="14"/>
  <c r="D980" i="14"/>
  <c r="E979" i="14"/>
  <c r="D61" i="14"/>
  <c r="E60" i="14"/>
  <c r="D3283" i="14"/>
  <c r="E3282" i="14"/>
  <c r="D3071" i="14"/>
  <c r="E3070" i="14"/>
  <c r="D2858" i="14"/>
  <c r="E2857" i="14"/>
  <c r="E3918" i="14" l="1"/>
  <c r="D3919" i="14"/>
  <c r="E4030" i="14"/>
  <c r="D4031" i="14"/>
  <c r="E5133" i="14"/>
  <c r="D5134" i="14"/>
  <c r="E4657" i="14"/>
  <c r="D4658" i="14"/>
  <c r="E4953" i="14"/>
  <c r="D4954" i="14"/>
  <c r="E4739" i="14"/>
  <c r="D4740" i="14"/>
  <c r="E4459" i="14"/>
  <c r="D4460" i="14"/>
  <c r="E3797" i="14"/>
  <c r="D3798" i="14"/>
  <c r="D3714" i="14"/>
  <c r="E3713" i="14"/>
  <c r="E4245" i="14"/>
  <c r="D4246" i="14"/>
  <c r="D3284" i="14"/>
  <c r="E3283" i="14"/>
  <c r="D62" i="14"/>
  <c r="E61" i="14"/>
  <c r="D981" i="14"/>
  <c r="E980" i="14"/>
  <c r="D796" i="14"/>
  <c r="E795" i="14"/>
  <c r="D269" i="14"/>
  <c r="E268" i="14"/>
  <c r="D1407" i="14"/>
  <c r="E1406" i="14"/>
  <c r="D2547" i="14"/>
  <c r="E2546" i="14"/>
  <c r="D636" i="14"/>
  <c r="E635" i="14"/>
  <c r="D2859" i="14"/>
  <c r="E2858" i="14"/>
  <c r="D3072" i="14"/>
  <c r="E3071" i="14"/>
  <c r="D2179" i="14"/>
  <c r="E2178" i="14"/>
  <c r="D3497" i="14"/>
  <c r="E3496" i="14"/>
  <c r="D2364" i="14"/>
  <c r="E2363" i="14"/>
  <c r="D1193" i="14"/>
  <c r="E1192" i="14"/>
  <c r="D1601" i="14"/>
  <c r="E1600" i="14"/>
  <c r="D2692" i="14"/>
  <c r="E2691" i="14"/>
  <c r="D1812" i="14"/>
  <c r="E1811" i="14"/>
  <c r="D475" i="14"/>
  <c r="E474" i="14"/>
  <c r="D1997" i="14"/>
  <c r="E1996" i="14"/>
  <c r="E4460" i="14" l="1"/>
  <c r="D4461" i="14"/>
  <c r="E4954" i="14"/>
  <c r="D4955" i="14"/>
  <c r="E5134" i="14"/>
  <c r="D5135" i="14"/>
  <c r="D3920" i="14"/>
  <c r="E3919" i="14"/>
  <c r="D3715" i="14"/>
  <c r="E3714" i="14"/>
  <c r="D4247" i="14"/>
  <c r="E4246" i="14"/>
  <c r="D3799" i="14"/>
  <c r="E3798" i="14"/>
  <c r="E4740" i="14"/>
  <c r="D4741" i="14"/>
  <c r="E4658" i="14"/>
  <c r="D4659" i="14"/>
  <c r="E4031" i="14"/>
  <c r="D4032" i="14"/>
  <c r="D1998" i="14"/>
  <c r="E1997" i="14"/>
  <c r="D476" i="14"/>
  <c r="E475" i="14"/>
  <c r="D2693" i="14"/>
  <c r="E2692" i="14"/>
  <c r="D1194" i="14"/>
  <c r="E1193" i="14"/>
  <c r="D3498" i="14"/>
  <c r="E3497" i="14"/>
  <c r="D3073" i="14"/>
  <c r="E3072" i="14"/>
  <c r="D637" i="14"/>
  <c r="E636" i="14"/>
  <c r="D2548" i="14"/>
  <c r="E2547" i="14"/>
  <c r="D1408" i="14"/>
  <c r="E1407" i="14"/>
  <c r="D270" i="14"/>
  <c r="E269" i="14"/>
  <c r="D982" i="14"/>
  <c r="E981" i="14"/>
  <c r="D3285" i="14"/>
  <c r="E3284" i="14"/>
  <c r="D1813" i="14"/>
  <c r="E1812" i="14"/>
  <c r="D1602" i="14"/>
  <c r="E1601" i="14"/>
  <c r="D2365" i="14"/>
  <c r="E2364" i="14"/>
  <c r="D2180" i="14"/>
  <c r="E2179" i="14"/>
  <c r="D2860" i="14"/>
  <c r="E2859" i="14"/>
  <c r="D797" i="14"/>
  <c r="E796" i="14"/>
  <c r="D63" i="14"/>
  <c r="E62" i="14"/>
  <c r="E4247" i="14" l="1"/>
  <c r="D4248" i="14"/>
  <c r="E3920" i="14"/>
  <c r="D3921" i="14"/>
  <c r="E4741" i="14"/>
  <c r="D4742" i="14"/>
  <c r="E4955" i="14"/>
  <c r="D4956" i="14"/>
  <c r="E4659" i="14"/>
  <c r="D4660" i="14"/>
  <c r="E5135" i="14"/>
  <c r="D5136" i="14"/>
  <c r="E4461" i="14"/>
  <c r="D4462" i="14"/>
  <c r="E4032" i="14"/>
  <c r="D4033" i="14"/>
  <c r="D3800" i="14"/>
  <c r="E3799" i="14"/>
  <c r="D3716" i="14"/>
  <c r="E3715" i="14"/>
  <c r="D64" i="14"/>
  <c r="E63" i="14"/>
  <c r="D2861" i="14"/>
  <c r="E2860" i="14"/>
  <c r="D2181" i="14"/>
  <c r="E2180" i="14"/>
  <c r="D1603" i="14"/>
  <c r="E1602" i="14"/>
  <c r="D3286" i="14"/>
  <c r="E3285" i="14"/>
  <c r="D271" i="14"/>
  <c r="E270" i="14"/>
  <c r="D1409" i="14"/>
  <c r="E1408" i="14"/>
  <c r="D638" i="14"/>
  <c r="E637" i="14"/>
  <c r="D1195" i="14"/>
  <c r="E1194" i="14"/>
  <c r="D477" i="14"/>
  <c r="E476" i="14"/>
  <c r="D798" i="14"/>
  <c r="E797" i="14"/>
  <c r="D2366" i="14"/>
  <c r="E2365" i="14"/>
  <c r="D1814" i="14"/>
  <c r="E1813" i="14"/>
  <c r="D983" i="14"/>
  <c r="E982" i="14"/>
  <c r="D2549" i="14"/>
  <c r="E2548" i="14"/>
  <c r="D3074" i="14"/>
  <c r="E3073" i="14"/>
  <c r="D3499" i="14"/>
  <c r="E3498" i="14"/>
  <c r="D2694" i="14"/>
  <c r="E2693" i="14"/>
  <c r="D1999" i="14"/>
  <c r="E1998" i="14"/>
  <c r="E4462" i="14" l="1"/>
  <c r="D4463" i="14"/>
  <c r="E4660" i="14"/>
  <c r="D4661" i="14"/>
  <c r="E4742" i="14"/>
  <c r="D4743" i="14"/>
  <c r="D4249" i="14"/>
  <c r="E4248" i="14"/>
  <c r="D3801" i="14"/>
  <c r="E3800" i="14"/>
  <c r="E4033" i="14"/>
  <c r="D4034" i="14"/>
  <c r="E5136" i="14"/>
  <c r="D5137" i="14"/>
  <c r="E4956" i="14"/>
  <c r="D4957" i="14"/>
  <c r="E3921" i="14"/>
  <c r="D3922" i="14"/>
  <c r="D3717" i="14"/>
  <c r="E3716" i="14"/>
  <c r="D2695" i="14"/>
  <c r="E2694" i="14"/>
  <c r="D3075" i="14"/>
  <c r="E3074" i="14"/>
  <c r="D2367" i="14"/>
  <c r="E2366" i="14"/>
  <c r="D799" i="14"/>
  <c r="E798" i="14"/>
  <c r="D478" i="14"/>
  <c r="E477" i="14"/>
  <c r="D1410" i="14"/>
  <c r="E1409" i="14"/>
  <c r="D3287" i="14"/>
  <c r="E3286" i="14"/>
  <c r="D1604" i="14"/>
  <c r="E1603" i="14"/>
  <c r="D2862" i="14"/>
  <c r="E2861" i="14"/>
  <c r="D2000" i="14"/>
  <c r="E1999" i="14"/>
  <c r="D3500" i="14"/>
  <c r="E3499" i="14"/>
  <c r="D2550" i="14"/>
  <c r="E2549" i="14"/>
  <c r="D984" i="14"/>
  <c r="E983" i="14"/>
  <c r="D1815" i="14"/>
  <c r="E1814" i="14"/>
  <c r="D1196" i="14"/>
  <c r="E1195" i="14"/>
  <c r="D639" i="14"/>
  <c r="E638" i="14"/>
  <c r="D272" i="14"/>
  <c r="E271" i="14"/>
  <c r="D2182" i="14"/>
  <c r="E2181" i="14"/>
  <c r="D65" i="14"/>
  <c r="E64" i="14"/>
  <c r="D3718" i="14" l="1"/>
  <c r="E3717" i="14"/>
  <c r="E4249" i="14"/>
  <c r="D4250" i="14"/>
  <c r="E4957" i="14"/>
  <c r="D4958" i="14"/>
  <c r="E4661" i="14"/>
  <c r="D4662" i="14"/>
  <c r="E3922" i="14"/>
  <c r="D3923" i="14"/>
  <c r="E5137" i="14"/>
  <c r="D5138" i="14"/>
  <c r="E4743" i="14"/>
  <c r="D4744" i="14"/>
  <c r="E4463" i="14"/>
  <c r="D4464" i="14"/>
  <c r="E4034" i="14"/>
  <c r="D4035" i="14"/>
  <c r="E3801" i="14"/>
  <c r="D3802" i="14"/>
  <c r="D640" i="14"/>
  <c r="E639" i="14"/>
  <c r="D985" i="14"/>
  <c r="E984" i="14"/>
  <c r="D3501" i="14"/>
  <c r="E3500" i="14"/>
  <c r="D1605" i="14"/>
  <c r="E1604" i="14"/>
  <c r="D1411" i="14"/>
  <c r="E1410" i="14"/>
  <c r="D479" i="14"/>
  <c r="E478" i="14"/>
  <c r="D3076" i="14"/>
  <c r="E3075" i="14"/>
  <c r="D66" i="14"/>
  <c r="E65" i="14"/>
  <c r="D2183" i="14"/>
  <c r="E2182" i="14"/>
  <c r="D273" i="14"/>
  <c r="E272" i="14"/>
  <c r="D1197" i="14"/>
  <c r="E1196" i="14"/>
  <c r="D1816" i="14"/>
  <c r="E1815" i="14"/>
  <c r="D2551" i="14"/>
  <c r="E2550" i="14"/>
  <c r="D2001" i="14"/>
  <c r="E2000" i="14"/>
  <c r="D2863" i="14"/>
  <c r="E2862" i="14"/>
  <c r="D3288" i="14"/>
  <c r="E3287" i="14"/>
  <c r="D800" i="14"/>
  <c r="E799" i="14"/>
  <c r="D2368" i="14"/>
  <c r="E2367" i="14"/>
  <c r="D2696" i="14"/>
  <c r="E2695" i="14"/>
  <c r="E4035" i="14" l="1"/>
  <c r="D4036" i="14"/>
  <c r="E4744" i="14"/>
  <c r="D4745" i="14"/>
  <c r="E3923" i="14"/>
  <c r="D3924" i="14"/>
  <c r="E4958" i="14"/>
  <c r="D4959" i="14"/>
  <c r="D3719" i="14"/>
  <c r="E3718" i="14"/>
  <c r="D3803" i="14"/>
  <c r="E3802" i="14"/>
  <c r="E4464" i="14"/>
  <c r="D4465" i="14"/>
  <c r="E5138" i="14"/>
  <c r="D5139" i="14"/>
  <c r="E4662" i="14"/>
  <c r="D4663" i="14"/>
  <c r="D4251" i="14"/>
  <c r="E4250" i="14"/>
  <c r="D801" i="14"/>
  <c r="E800" i="14"/>
  <c r="D3289" i="14"/>
  <c r="E3288" i="14"/>
  <c r="D2002" i="14"/>
  <c r="E2001" i="14"/>
  <c r="D1817" i="14"/>
  <c r="E1816" i="14"/>
  <c r="D1198" i="14"/>
  <c r="E1197" i="14"/>
  <c r="D2184" i="14"/>
  <c r="E2183" i="14"/>
  <c r="D3077" i="14"/>
  <c r="E3076" i="14"/>
  <c r="D1412" i="14"/>
  <c r="E1411" i="14"/>
  <c r="D986" i="14"/>
  <c r="E985" i="14"/>
  <c r="D2697" i="14"/>
  <c r="E2696" i="14"/>
  <c r="D2369" i="14"/>
  <c r="E2368" i="14"/>
  <c r="D2864" i="14"/>
  <c r="E2863" i="14"/>
  <c r="D2552" i="14"/>
  <c r="E2551" i="14"/>
  <c r="D274" i="14"/>
  <c r="E273" i="14"/>
  <c r="D67" i="14"/>
  <c r="E66" i="14"/>
  <c r="D480" i="14"/>
  <c r="E479" i="14"/>
  <c r="D1606" i="14"/>
  <c r="E1605" i="14"/>
  <c r="D3502" i="14"/>
  <c r="E3501" i="14"/>
  <c r="D641" i="14"/>
  <c r="E640" i="14"/>
  <c r="E5139" i="14" l="1"/>
  <c r="D5140" i="14"/>
  <c r="E4959" i="14"/>
  <c r="D4960" i="14"/>
  <c r="E4745" i="14"/>
  <c r="D4746" i="14"/>
  <c r="E4251" i="14"/>
  <c r="D4252" i="14"/>
  <c r="E3803" i="14"/>
  <c r="D3804" i="14"/>
  <c r="E4663" i="14"/>
  <c r="D4664" i="14"/>
  <c r="E4465" i="14"/>
  <c r="D4466" i="14"/>
  <c r="E3924" i="14"/>
  <c r="D3925" i="14"/>
  <c r="E4036" i="14"/>
  <c r="D4037" i="14"/>
  <c r="D3720" i="14"/>
  <c r="E3719" i="14"/>
  <c r="D642" i="14"/>
  <c r="E641" i="14"/>
  <c r="D3503" i="14"/>
  <c r="E3502" i="14"/>
  <c r="D481" i="14"/>
  <c r="E480" i="14"/>
  <c r="D68" i="14"/>
  <c r="E67" i="14"/>
  <c r="D2865" i="14"/>
  <c r="E2864" i="14"/>
  <c r="D2370" i="14"/>
  <c r="E2369" i="14"/>
  <c r="D987" i="14"/>
  <c r="E986" i="14"/>
  <c r="E1412" i="14"/>
  <c r="D1413" i="14"/>
  <c r="D3078" i="14"/>
  <c r="E3077" i="14"/>
  <c r="D1199" i="14"/>
  <c r="E1198" i="14"/>
  <c r="D2003" i="14"/>
  <c r="E2002" i="14"/>
  <c r="D802" i="14"/>
  <c r="E801" i="14"/>
  <c r="D1607" i="14"/>
  <c r="E1606" i="14"/>
  <c r="D275" i="14"/>
  <c r="E274" i="14"/>
  <c r="D2553" i="14"/>
  <c r="E2552" i="14"/>
  <c r="D2698" i="14"/>
  <c r="E2697" i="14"/>
  <c r="D2185" i="14"/>
  <c r="E2184" i="14"/>
  <c r="D1818" i="14"/>
  <c r="E1817" i="14"/>
  <c r="D3290" i="14"/>
  <c r="E3289" i="14"/>
  <c r="E4664" i="14" l="1"/>
  <c r="D4665" i="14"/>
  <c r="E4960" i="14"/>
  <c r="D4961" i="14"/>
  <c r="D4253" i="14"/>
  <c r="E4252" i="14"/>
  <c r="E4037" i="14"/>
  <c r="D4038" i="14"/>
  <c r="E4466" i="14"/>
  <c r="D4467" i="14"/>
  <c r="D3805" i="14"/>
  <c r="E3804" i="14"/>
  <c r="E4746" i="14"/>
  <c r="D4747" i="14"/>
  <c r="E5140" i="14"/>
  <c r="D5141" i="14"/>
  <c r="E3925" i="14"/>
  <c r="D3926" i="14"/>
  <c r="D3721" i="14"/>
  <c r="E3720" i="14"/>
  <c r="D1414" i="14"/>
  <c r="E1413" i="14"/>
  <c r="D3291" i="14"/>
  <c r="E3290" i="14"/>
  <c r="D2186" i="14"/>
  <c r="E2185" i="14"/>
  <c r="D2699" i="14"/>
  <c r="E2698" i="14"/>
  <c r="D2554" i="14"/>
  <c r="E2553" i="14"/>
  <c r="D803" i="14"/>
  <c r="E802" i="14"/>
  <c r="D1200" i="14"/>
  <c r="E1199" i="14"/>
  <c r="D2866" i="14"/>
  <c r="E2865" i="14"/>
  <c r="D69" i="14"/>
  <c r="E68" i="14"/>
  <c r="D3504" i="14"/>
  <c r="E3503" i="14"/>
  <c r="D1819" i="14"/>
  <c r="E1818" i="14"/>
  <c r="D276" i="14"/>
  <c r="E275" i="14"/>
  <c r="D1608" i="14"/>
  <c r="E1607" i="14"/>
  <c r="D2004" i="14"/>
  <c r="E2003" i="14"/>
  <c r="D3079" i="14"/>
  <c r="E3078" i="14"/>
  <c r="D988" i="14"/>
  <c r="E987" i="14"/>
  <c r="D2371" i="14"/>
  <c r="E2370" i="14"/>
  <c r="D482" i="14"/>
  <c r="E481" i="14"/>
  <c r="D643" i="14"/>
  <c r="E642" i="14"/>
  <c r="E3926" i="14" l="1"/>
  <c r="D3927" i="14"/>
  <c r="E4747" i="14"/>
  <c r="D4748" i="14"/>
  <c r="E4467" i="14"/>
  <c r="D4468" i="14"/>
  <c r="E4665" i="14"/>
  <c r="D4666" i="14"/>
  <c r="E4253" i="14"/>
  <c r="D4254" i="14"/>
  <c r="E5141" i="14"/>
  <c r="D5142" i="14"/>
  <c r="E4038" i="14"/>
  <c r="D4039" i="14"/>
  <c r="E4961" i="14"/>
  <c r="D4962" i="14"/>
  <c r="D3722" i="14"/>
  <c r="E3721" i="14"/>
  <c r="E3805" i="14"/>
  <c r="D3806" i="14"/>
  <c r="D483" i="14"/>
  <c r="E482" i="14"/>
  <c r="D2372" i="14"/>
  <c r="E2371" i="14"/>
  <c r="D3080" i="14"/>
  <c r="E3079" i="14"/>
  <c r="D277" i="14"/>
  <c r="E276" i="14"/>
  <c r="D1820" i="14"/>
  <c r="E1819" i="14"/>
  <c r="D3505" i="14"/>
  <c r="E3504" i="14"/>
  <c r="D2867" i="14"/>
  <c r="E2866" i="14"/>
  <c r="D1201" i="14"/>
  <c r="E1200" i="14"/>
  <c r="D2555" i="14"/>
  <c r="E2554" i="14"/>
  <c r="D3292" i="14"/>
  <c r="E3291" i="14"/>
  <c r="D644" i="14"/>
  <c r="E643" i="14"/>
  <c r="D989" i="14"/>
  <c r="E988" i="14"/>
  <c r="D2005" i="14"/>
  <c r="E2004" i="14"/>
  <c r="D1609" i="14"/>
  <c r="E1608" i="14"/>
  <c r="D70" i="14"/>
  <c r="E69" i="14"/>
  <c r="D804" i="14"/>
  <c r="E803" i="14"/>
  <c r="D2700" i="14"/>
  <c r="E2699" i="14"/>
  <c r="D2187" i="14"/>
  <c r="E2186" i="14"/>
  <c r="D1415" i="14"/>
  <c r="E1414" i="14"/>
  <c r="E5142" i="14" l="1"/>
  <c r="D5143" i="14"/>
  <c r="E4748" i="14"/>
  <c r="D4749" i="14"/>
  <c r="D3807" i="14"/>
  <c r="E3806" i="14"/>
  <c r="E4666" i="14"/>
  <c r="D4667" i="14"/>
  <c r="E4039" i="14"/>
  <c r="D4040" i="14"/>
  <c r="D4255" i="14"/>
  <c r="E4254" i="14"/>
  <c r="E4468" i="14"/>
  <c r="D4469" i="14"/>
  <c r="D3928" i="14"/>
  <c r="E3927" i="14"/>
  <c r="E4962" i="14"/>
  <c r="D4963" i="14"/>
  <c r="D3723" i="14"/>
  <c r="E3722" i="14"/>
  <c r="D2188" i="14"/>
  <c r="E2187" i="14"/>
  <c r="D2006" i="14"/>
  <c r="E2005" i="14"/>
  <c r="D3293" i="14"/>
  <c r="E3292" i="14"/>
  <c r="D2556" i="14"/>
  <c r="E2555" i="14"/>
  <c r="D1202" i="14"/>
  <c r="E1201" i="14"/>
  <c r="D3506" i="14"/>
  <c r="E3505" i="14"/>
  <c r="D2373" i="14"/>
  <c r="E2372" i="14"/>
  <c r="D1416" i="14"/>
  <c r="E1415" i="14"/>
  <c r="D2701" i="14"/>
  <c r="E2700" i="14"/>
  <c r="D805" i="14"/>
  <c r="E804" i="14"/>
  <c r="D71" i="14"/>
  <c r="E70" i="14"/>
  <c r="D1610" i="14"/>
  <c r="E1609" i="14"/>
  <c r="D990" i="14"/>
  <c r="E989" i="14"/>
  <c r="D645" i="14"/>
  <c r="E644" i="14"/>
  <c r="D2868" i="14"/>
  <c r="E2867" i="14"/>
  <c r="D1821" i="14"/>
  <c r="E1820" i="14"/>
  <c r="D278" i="14"/>
  <c r="E277" i="14"/>
  <c r="D3081" i="14"/>
  <c r="E3080" i="14"/>
  <c r="D484" i="14"/>
  <c r="E483" i="14"/>
  <c r="E4749" i="14" l="1"/>
  <c r="D4750" i="14"/>
  <c r="E3928" i="14"/>
  <c r="D3929" i="14"/>
  <c r="E4963" i="14"/>
  <c r="D4964" i="14"/>
  <c r="E4469" i="14"/>
  <c r="D4470" i="14"/>
  <c r="E4040" i="14"/>
  <c r="D4041" i="14"/>
  <c r="E5143" i="14"/>
  <c r="D5144" i="14"/>
  <c r="E4667" i="14"/>
  <c r="D4668" i="14"/>
  <c r="D3724" i="14"/>
  <c r="E3723" i="14"/>
  <c r="E4255" i="14"/>
  <c r="D4256" i="14"/>
  <c r="D3808" i="14"/>
  <c r="E3807" i="14"/>
  <c r="D3082" i="14"/>
  <c r="E3081" i="14"/>
  <c r="D1822" i="14"/>
  <c r="E1821" i="14"/>
  <c r="D646" i="14"/>
  <c r="E645" i="14"/>
  <c r="D1611" i="14"/>
  <c r="E1610" i="14"/>
  <c r="D72" i="14"/>
  <c r="E71" i="14"/>
  <c r="D2702" i="14"/>
  <c r="E2701" i="14"/>
  <c r="D2374" i="14"/>
  <c r="E2373" i="14"/>
  <c r="D1203" i="14"/>
  <c r="E1202" i="14"/>
  <c r="D3294" i="14"/>
  <c r="E3293" i="14"/>
  <c r="D2007" i="14"/>
  <c r="E2006" i="14"/>
  <c r="D485" i="14"/>
  <c r="E484" i="14"/>
  <c r="D279" i="14"/>
  <c r="E278" i="14"/>
  <c r="D2869" i="14"/>
  <c r="E2868" i="14"/>
  <c r="D991" i="14"/>
  <c r="E990" i="14"/>
  <c r="D806" i="14"/>
  <c r="E805" i="14"/>
  <c r="D1417" i="14"/>
  <c r="E1416" i="14"/>
  <c r="D3507" i="14"/>
  <c r="E3506" i="14"/>
  <c r="D2557" i="14"/>
  <c r="E2556" i="14"/>
  <c r="D2189" i="14"/>
  <c r="E2188" i="14"/>
  <c r="E4470" i="14" l="1"/>
  <c r="D4471" i="14"/>
  <c r="D3930" i="14"/>
  <c r="E3929" i="14"/>
  <c r="D3725" i="14"/>
  <c r="E3724" i="14"/>
  <c r="D4257" i="14"/>
  <c r="E4256" i="14"/>
  <c r="E4668" i="14"/>
  <c r="D4669" i="14"/>
  <c r="E4041" i="14"/>
  <c r="D4042" i="14"/>
  <c r="E4964" i="14"/>
  <c r="D4965" i="14"/>
  <c r="E4750" i="14"/>
  <c r="D4751" i="14"/>
  <c r="E5144" i="14"/>
  <c r="D5145" i="14"/>
  <c r="D3809" i="14"/>
  <c r="E3808" i="14"/>
  <c r="D3508" i="14"/>
  <c r="E3507" i="14"/>
  <c r="D1418" i="14"/>
  <c r="E1417" i="14"/>
  <c r="D280" i="14"/>
  <c r="E279" i="14"/>
  <c r="D2008" i="14"/>
  <c r="E2007" i="14"/>
  <c r="D1204" i="14"/>
  <c r="E1203" i="14"/>
  <c r="D2375" i="14"/>
  <c r="E2374" i="14"/>
  <c r="D73" i="14"/>
  <c r="E72" i="14"/>
  <c r="D647" i="14"/>
  <c r="E646" i="14"/>
  <c r="D1823" i="14"/>
  <c r="E1822" i="14"/>
  <c r="D2190" i="14"/>
  <c r="E2189" i="14"/>
  <c r="D2558" i="14"/>
  <c r="E2557" i="14"/>
  <c r="D807" i="14"/>
  <c r="E806" i="14"/>
  <c r="D992" i="14"/>
  <c r="E991" i="14"/>
  <c r="D2870" i="14"/>
  <c r="E2869" i="14"/>
  <c r="D486" i="14"/>
  <c r="E485" i="14"/>
  <c r="D3295" i="14"/>
  <c r="E3294" i="14"/>
  <c r="D2703" i="14"/>
  <c r="E2702" i="14"/>
  <c r="D1612" i="14"/>
  <c r="E1611" i="14"/>
  <c r="D3083" i="14"/>
  <c r="E3082" i="14"/>
  <c r="E3809" i="14" l="1"/>
  <c r="D3810" i="14"/>
  <c r="E4257" i="14"/>
  <c r="D4258" i="14"/>
  <c r="E3930" i="14"/>
  <c r="D3931" i="14"/>
  <c r="E4751" i="14"/>
  <c r="D4752" i="14"/>
  <c r="E4042" i="14"/>
  <c r="D4043" i="14"/>
  <c r="E5145" i="14"/>
  <c r="D5146" i="14"/>
  <c r="E4965" i="14"/>
  <c r="D4966" i="14"/>
  <c r="E4669" i="14"/>
  <c r="D4670" i="14"/>
  <c r="E4471" i="14"/>
  <c r="D4472" i="14"/>
  <c r="D3726" i="14"/>
  <c r="E3725" i="14"/>
  <c r="D2704" i="14"/>
  <c r="E2703" i="14"/>
  <c r="D3296" i="14"/>
  <c r="E3295" i="14"/>
  <c r="D487" i="14"/>
  <c r="E486" i="14"/>
  <c r="D993" i="14"/>
  <c r="E992" i="14"/>
  <c r="D1824" i="14"/>
  <c r="E1823" i="14"/>
  <c r="D74" i="14"/>
  <c r="E73" i="14"/>
  <c r="D1205" i="14"/>
  <c r="E1204" i="14"/>
  <c r="D1419" i="14"/>
  <c r="E1418" i="14"/>
  <c r="D3084" i="14"/>
  <c r="E3083" i="14"/>
  <c r="D1613" i="14"/>
  <c r="E1612" i="14"/>
  <c r="D2871" i="14"/>
  <c r="E2870" i="14"/>
  <c r="D808" i="14"/>
  <c r="E807" i="14"/>
  <c r="D2559" i="14"/>
  <c r="E2558" i="14"/>
  <c r="D2191" i="14"/>
  <c r="E2190" i="14"/>
  <c r="D648" i="14"/>
  <c r="E647" i="14"/>
  <c r="D2376" i="14"/>
  <c r="E2375" i="14"/>
  <c r="D2009" i="14"/>
  <c r="E2008" i="14"/>
  <c r="D281" i="14"/>
  <c r="E280" i="14"/>
  <c r="D3509" i="14"/>
  <c r="E3508" i="14"/>
  <c r="E4670" i="14" l="1"/>
  <c r="D4671" i="14"/>
  <c r="E4752" i="14"/>
  <c r="D4753" i="14"/>
  <c r="D3727" i="14"/>
  <c r="E3726" i="14"/>
  <c r="E4472" i="14"/>
  <c r="D4473" i="14"/>
  <c r="E4966" i="14"/>
  <c r="D4967" i="14"/>
  <c r="E4043" i="14"/>
  <c r="D4044" i="14"/>
  <c r="D3932" i="14"/>
  <c r="E3931" i="14"/>
  <c r="D3811" i="14"/>
  <c r="E3810" i="14"/>
  <c r="E5146" i="14"/>
  <c r="D5147" i="14"/>
  <c r="D4259" i="14"/>
  <c r="E4258" i="14"/>
  <c r="D3510" i="14"/>
  <c r="E3509" i="14"/>
  <c r="D282" i="14"/>
  <c r="E281" i="14"/>
  <c r="D2377" i="14"/>
  <c r="E2376" i="14"/>
  <c r="D2192" i="14"/>
  <c r="E2191" i="14"/>
  <c r="D809" i="14"/>
  <c r="E808" i="14"/>
  <c r="D1614" i="14"/>
  <c r="E1613" i="14"/>
  <c r="D1206" i="14"/>
  <c r="E1205" i="14"/>
  <c r="D1825" i="14"/>
  <c r="E1824" i="14"/>
  <c r="D488" i="14"/>
  <c r="E487" i="14"/>
  <c r="D2705" i="14"/>
  <c r="E2704" i="14"/>
  <c r="D2010" i="14"/>
  <c r="E2009" i="14"/>
  <c r="D649" i="14"/>
  <c r="E648" i="14"/>
  <c r="D2560" i="14"/>
  <c r="E2559" i="14"/>
  <c r="D2872" i="14"/>
  <c r="E2871" i="14"/>
  <c r="D3085" i="14"/>
  <c r="E3084" i="14"/>
  <c r="D1420" i="14"/>
  <c r="E1419" i="14"/>
  <c r="D75" i="14"/>
  <c r="E74" i="14"/>
  <c r="D994" i="14"/>
  <c r="E993" i="14"/>
  <c r="D3297" i="14"/>
  <c r="E3296" i="14"/>
  <c r="E5147" i="14" l="1"/>
  <c r="D5148" i="14"/>
  <c r="E4967" i="14"/>
  <c r="D4968" i="14"/>
  <c r="E4671" i="14"/>
  <c r="D4672" i="14"/>
  <c r="E3932" i="14"/>
  <c r="D3933" i="14"/>
  <c r="D3728" i="14"/>
  <c r="E3727" i="14"/>
  <c r="E4044" i="14"/>
  <c r="D4045" i="14"/>
  <c r="E4473" i="14"/>
  <c r="D4474" i="14"/>
  <c r="E4753" i="14"/>
  <c r="D4754" i="14"/>
  <c r="E4259" i="14"/>
  <c r="D4260" i="14"/>
  <c r="E3811" i="14"/>
  <c r="D3812" i="14"/>
  <c r="D3298" i="14"/>
  <c r="E3297" i="14"/>
  <c r="D3086" i="14"/>
  <c r="E3085" i="14"/>
  <c r="D2873" i="14"/>
  <c r="E2872" i="14"/>
  <c r="D650" i="14"/>
  <c r="E649" i="14"/>
  <c r="D2706" i="14"/>
  <c r="E2705" i="14"/>
  <c r="D1207" i="14"/>
  <c r="E1206" i="14"/>
  <c r="D2193" i="14"/>
  <c r="E2192" i="14"/>
  <c r="D283" i="14"/>
  <c r="E282" i="14"/>
  <c r="D995" i="14"/>
  <c r="E994" i="14"/>
  <c r="D76" i="14"/>
  <c r="E75" i="14"/>
  <c r="D1421" i="14"/>
  <c r="E1420" i="14"/>
  <c r="D2561" i="14"/>
  <c r="E2560" i="14"/>
  <c r="D2011" i="14"/>
  <c r="E2010" i="14"/>
  <c r="D489" i="14"/>
  <c r="E488" i="14"/>
  <c r="D1826" i="14"/>
  <c r="E1825" i="14"/>
  <c r="D1615" i="14"/>
  <c r="E1614" i="14"/>
  <c r="D810" i="14"/>
  <c r="E809" i="14"/>
  <c r="D2378" i="14"/>
  <c r="E2377" i="14"/>
  <c r="D3511" i="14"/>
  <c r="E3510" i="14"/>
  <c r="D3934" i="14" l="1"/>
  <c r="E3933" i="14"/>
  <c r="E4754" i="14"/>
  <c r="D4755" i="14"/>
  <c r="E4968" i="14"/>
  <c r="D4969" i="14"/>
  <c r="D4261" i="14"/>
  <c r="E4260" i="14"/>
  <c r="E4474" i="14"/>
  <c r="D4475" i="14"/>
  <c r="E4672" i="14"/>
  <c r="D4673" i="14"/>
  <c r="E5148" i="14"/>
  <c r="D5149" i="14"/>
  <c r="D3813" i="14"/>
  <c r="E3812" i="14"/>
  <c r="E4045" i="14"/>
  <c r="D4046" i="14"/>
  <c r="D3729" i="14"/>
  <c r="E3728" i="14"/>
  <c r="D2379" i="14"/>
  <c r="E2378" i="14"/>
  <c r="D1616" i="14"/>
  <c r="E1615" i="14"/>
  <c r="D1827" i="14"/>
  <c r="E1826" i="14"/>
  <c r="D2562" i="14"/>
  <c r="E2561" i="14"/>
  <c r="D1422" i="14"/>
  <c r="E1421" i="14"/>
  <c r="D996" i="14"/>
  <c r="E995" i="14"/>
  <c r="D284" i="14"/>
  <c r="E283" i="14"/>
  <c r="D1208" i="14"/>
  <c r="E1207" i="14"/>
  <c r="D2707" i="14"/>
  <c r="E2706" i="14"/>
  <c r="D651" i="14"/>
  <c r="E650" i="14"/>
  <c r="D3087" i="14"/>
  <c r="E3086" i="14"/>
  <c r="D3512" i="14"/>
  <c r="E3511" i="14"/>
  <c r="D811" i="14"/>
  <c r="E810" i="14"/>
  <c r="D490" i="14"/>
  <c r="E489" i="14"/>
  <c r="D2012" i="14"/>
  <c r="E2011" i="14"/>
  <c r="D77" i="14"/>
  <c r="E76" i="14"/>
  <c r="D2194" i="14"/>
  <c r="E2193" i="14"/>
  <c r="D2874" i="14"/>
  <c r="E2873" i="14"/>
  <c r="D3299" i="14"/>
  <c r="E3298" i="14"/>
  <c r="D3814" i="14" l="1"/>
  <c r="E3813" i="14"/>
  <c r="E4261" i="14"/>
  <c r="D4262" i="14"/>
  <c r="D3730" i="14"/>
  <c r="E3729" i="14"/>
  <c r="E4046" i="14"/>
  <c r="D4047" i="14"/>
  <c r="E5149" i="14"/>
  <c r="D5150" i="14"/>
  <c r="E4475" i="14"/>
  <c r="D4476" i="14"/>
  <c r="E4969" i="14"/>
  <c r="D4970" i="14"/>
  <c r="E4673" i="14"/>
  <c r="D4674" i="14"/>
  <c r="E4755" i="14"/>
  <c r="D4756" i="14"/>
  <c r="E3934" i="14"/>
  <c r="D3935" i="14"/>
  <c r="D491" i="14"/>
  <c r="E490" i="14"/>
  <c r="D812" i="14"/>
  <c r="E811" i="14"/>
  <c r="D652" i="14"/>
  <c r="E651" i="14"/>
  <c r="D1209" i="14"/>
  <c r="E1208" i="14"/>
  <c r="D285" i="14"/>
  <c r="E284" i="14"/>
  <c r="D1423" i="14"/>
  <c r="E1422" i="14"/>
  <c r="D1617" i="14"/>
  <c r="E1616" i="14"/>
  <c r="D3300" i="14"/>
  <c r="E3299" i="14"/>
  <c r="D2875" i="14"/>
  <c r="E2874" i="14"/>
  <c r="D2195" i="14"/>
  <c r="E2194" i="14"/>
  <c r="D78" i="14"/>
  <c r="E77" i="14"/>
  <c r="D2013" i="14"/>
  <c r="E2012" i="14"/>
  <c r="D3513" i="14"/>
  <c r="E3512" i="14"/>
  <c r="D3088" i="14"/>
  <c r="E3087" i="14"/>
  <c r="D2708" i="14"/>
  <c r="E2707" i="14"/>
  <c r="D997" i="14"/>
  <c r="E996" i="14"/>
  <c r="D2563" i="14"/>
  <c r="E2562" i="14"/>
  <c r="D1828" i="14"/>
  <c r="E1827" i="14"/>
  <c r="D2380" i="14"/>
  <c r="E2379" i="14"/>
  <c r="E4756" i="14" l="1"/>
  <c r="D4757" i="14"/>
  <c r="E4970" i="14"/>
  <c r="D4971" i="14"/>
  <c r="D3731" i="14"/>
  <c r="E3730" i="14"/>
  <c r="D3815" i="14"/>
  <c r="E3814" i="14"/>
  <c r="D3936" i="14"/>
  <c r="E3935" i="14"/>
  <c r="E4674" i="14"/>
  <c r="D4675" i="14"/>
  <c r="E4476" i="14"/>
  <c r="D4477" i="14"/>
  <c r="E4047" i="14"/>
  <c r="D4048" i="14"/>
  <c r="D4263" i="14"/>
  <c r="E4262" i="14"/>
  <c r="E5150" i="14"/>
  <c r="D5151" i="14"/>
  <c r="D1829" i="14"/>
  <c r="E1828" i="14"/>
  <c r="D998" i="14"/>
  <c r="E997" i="14"/>
  <c r="D2709" i="14"/>
  <c r="E2708" i="14"/>
  <c r="D3514" i="14"/>
  <c r="E3513" i="14"/>
  <c r="D2014" i="14"/>
  <c r="E2013" i="14"/>
  <c r="D2196" i="14"/>
  <c r="E2195" i="14"/>
  <c r="D2876" i="14"/>
  <c r="E2875" i="14"/>
  <c r="D1618" i="14"/>
  <c r="E1617" i="14"/>
  <c r="D1424" i="14"/>
  <c r="E1423" i="14"/>
  <c r="D1210" i="14"/>
  <c r="E1209" i="14"/>
  <c r="D492" i="14"/>
  <c r="E491" i="14"/>
  <c r="D2381" i="14"/>
  <c r="E2380" i="14"/>
  <c r="D2564" i="14"/>
  <c r="E2563" i="14"/>
  <c r="D3089" i="14"/>
  <c r="E3088" i="14"/>
  <c r="D79" i="14"/>
  <c r="E78" i="14"/>
  <c r="D3301" i="14"/>
  <c r="E3300" i="14"/>
  <c r="D286" i="14"/>
  <c r="E285" i="14"/>
  <c r="D653" i="14"/>
  <c r="E652" i="14"/>
  <c r="D813" i="14"/>
  <c r="E812" i="14"/>
  <c r="E5151" i="14" l="1"/>
  <c r="D5152" i="14"/>
  <c r="E4675" i="14"/>
  <c r="D4676" i="14"/>
  <c r="E3815" i="14"/>
  <c r="D3816" i="14"/>
  <c r="E4477" i="14"/>
  <c r="D4478" i="14"/>
  <c r="E4757" i="14"/>
  <c r="D4758" i="14"/>
  <c r="E4048" i="14"/>
  <c r="D4049" i="14"/>
  <c r="E4971" i="14"/>
  <c r="D4972" i="14"/>
  <c r="E4263" i="14"/>
  <c r="D4264" i="14"/>
  <c r="E3936" i="14"/>
  <c r="D3937" i="14"/>
  <c r="D3732" i="14"/>
  <c r="E3731" i="14"/>
  <c r="D814" i="14"/>
  <c r="E813" i="14"/>
  <c r="D287" i="14"/>
  <c r="E286" i="14"/>
  <c r="D3302" i="14"/>
  <c r="E3301" i="14"/>
  <c r="D80" i="14"/>
  <c r="E79" i="14"/>
  <c r="D3090" i="14"/>
  <c r="E3089" i="14"/>
  <c r="D2565" i="14"/>
  <c r="E2564" i="14"/>
  <c r="D493" i="14"/>
  <c r="E492" i="14"/>
  <c r="D1211" i="14"/>
  <c r="E1210" i="14"/>
  <c r="D1619" i="14"/>
  <c r="E1618" i="14"/>
  <c r="D2197" i="14"/>
  <c r="E2196" i="14"/>
  <c r="D3515" i="14"/>
  <c r="E3514" i="14"/>
  <c r="D999" i="14"/>
  <c r="E998" i="14"/>
  <c r="D654" i="14"/>
  <c r="E653" i="14"/>
  <c r="D2382" i="14"/>
  <c r="E2381" i="14"/>
  <c r="D1425" i="14"/>
  <c r="E1424" i="14"/>
  <c r="D2877" i="14"/>
  <c r="E2876" i="14"/>
  <c r="D2015" i="14"/>
  <c r="E2014" i="14"/>
  <c r="D2710" i="14"/>
  <c r="E2709" i="14"/>
  <c r="D1830" i="14"/>
  <c r="E1829" i="14"/>
  <c r="D4265" i="14" l="1"/>
  <c r="E4264" i="14"/>
  <c r="E4478" i="14"/>
  <c r="D4479" i="14"/>
  <c r="E4049" i="14"/>
  <c r="D4050" i="14"/>
  <c r="D3733" i="14"/>
  <c r="E3732" i="14"/>
  <c r="D3938" i="14"/>
  <c r="E3937" i="14"/>
  <c r="E4972" i="14"/>
  <c r="D4973" i="14"/>
  <c r="E4758" i="14"/>
  <c r="D4759" i="14"/>
  <c r="D3817" i="14"/>
  <c r="E3816" i="14"/>
  <c r="E5152" i="14"/>
  <c r="D5153" i="14"/>
  <c r="E4676" i="14"/>
  <c r="D4677" i="14"/>
  <c r="D2711" i="14"/>
  <c r="E2710" i="14"/>
  <c r="D2878" i="14"/>
  <c r="E2877" i="14"/>
  <c r="D2383" i="14"/>
  <c r="E2382" i="14"/>
  <c r="D1000" i="14"/>
  <c r="E999" i="14"/>
  <c r="D2198" i="14"/>
  <c r="E2197" i="14"/>
  <c r="D1212" i="14"/>
  <c r="E1211" i="14"/>
  <c r="D3091" i="14"/>
  <c r="E3090" i="14"/>
  <c r="D3303" i="14"/>
  <c r="E3302" i="14"/>
  <c r="D815" i="14"/>
  <c r="E814" i="14"/>
  <c r="D1831" i="14"/>
  <c r="E1830" i="14"/>
  <c r="D2016" i="14"/>
  <c r="E2015" i="14"/>
  <c r="D1426" i="14"/>
  <c r="E1425" i="14"/>
  <c r="D655" i="14"/>
  <c r="E654" i="14"/>
  <c r="D3516" i="14"/>
  <c r="E3515" i="14"/>
  <c r="D1620" i="14"/>
  <c r="E1619" i="14"/>
  <c r="D494" i="14"/>
  <c r="E493" i="14"/>
  <c r="D2566" i="14"/>
  <c r="E2565" i="14"/>
  <c r="D81" i="14"/>
  <c r="E80" i="14"/>
  <c r="D288" i="14"/>
  <c r="E287" i="14"/>
  <c r="E4479" i="14" l="1"/>
  <c r="D4480" i="14"/>
  <c r="E3817" i="14"/>
  <c r="D3818" i="14"/>
  <c r="D3734" i="14"/>
  <c r="E3733" i="14"/>
  <c r="E4677" i="14"/>
  <c r="D4678" i="14"/>
  <c r="E4973" i="14"/>
  <c r="D4974" i="14"/>
  <c r="E5153" i="14"/>
  <c r="D5154" i="14"/>
  <c r="E4759" i="14"/>
  <c r="D4760" i="14"/>
  <c r="E4050" i="14"/>
  <c r="D4051" i="14"/>
  <c r="E3938" i="14"/>
  <c r="D3939" i="14"/>
  <c r="E4265" i="14"/>
  <c r="D4266" i="14"/>
  <c r="D289" i="14"/>
  <c r="E288" i="14"/>
  <c r="D2567" i="14"/>
  <c r="E2566" i="14"/>
  <c r="D1621" i="14"/>
  <c r="E1620" i="14"/>
  <c r="D2017" i="14"/>
  <c r="E2016" i="14"/>
  <c r="D816" i="14"/>
  <c r="E815" i="14"/>
  <c r="D3092" i="14"/>
  <c r="E3091" i="14"/>
  <c r="D1213" i="14"/>
  <c r="E1212" i="14"/>
  <c r="D1001" i="14"/>
  <c r="E1000" i="14"/>
  <c r="D2384" i="14"/>
  <c r="E2383" i="14"/>
  <c r="D2879" i="14"/>
  <c r="E2878" i="14"/>
  <c r="D82" i="14"/>
  <c r="E81" i="14"/>
  <c r="D495" i="14"/>
  <c r="E494" i="14"/>
  <c r="D3517" i="14"/>
  <c r="E3516" i="14"/>
  <c r="D656" i="14"/>
  <c r="E655" i="14"/>
  <c r="D1427" i="14"/>
  <c r="E1426" i="14"/>
  <c r="D1832" i="14"/>
  <c r="E1831" i="14"/>
  <c r="D3304" i="14"/>
  <c r="E3303" i="14"/>
  <c r="D2199" i="14"/>
  <c r="E2198" i="14"/>
  <c r="D2712" i="14"/>
  <c r="E2711" i="14"/>
  <c r="E4051" i="14" l="1"/>
  <c r="D4052" i="14"/>
  <c r="D3819" i="14"/>
  <c r="E3818" i="14"/>
  <c r="D4267" i="14"/>
  <c r="E4266" i="14"/>
  <c r="D3940" i="14"/>
  <c r="E3939" i="14"/>
  <c r="E4760" i="14"/>
  <c r="D4761" i="14"/>
  <c r="E4974" i="14"/>
  <c r="D4975" i="14"/>
  <c r="E4480" i="14"/>
  <c r="D4481" i="14"/>
  <c r="E5154" i="14"/>
  <c r="D5155" i="14"/>
  <c r="E4678" i="14"/>
  <c r="D4679" i="14"/>
  <c r="D3735" i="14"/>
  <c r="E3734" i="14"/>
  <c r="D1833" i="14"/>
  <c r="E1832" i="14"/>
  <c r="D3518" i="14"/>
  <c r="E3517" i="14"/>
  <c r="D83" i="14"/>
  <c r="E82" i="14"/>
  <c r="D2880" i="14"/>
  <c r="E2879" i="14"/>
  <c r="D1214" i="14"/>
  <c r="E1213" i="14"/>
  <c r="E816" i="14"/>
  <c r="D817" i="14"/>
  <c r="D2568" i="14"/>
  <c r="E2567" i="14"/>
  <c r="D2713" i="14"/>
  <c r="E2712" i="14"/>
  <c r="D2200" i="14"/>
  <c r="E2199" i="14"/>
  <c r="D3305" i="14"/>
  <c r="E3304" i="14"/>
  <c r="D1428" i="14"/>
  <c r="E1427" i="14"/>
  <c r="E656" i="14"/>
  <c r="D657" i="14"/>
  <c r="D496" i="14"/>
  <c r="E495" i="14"/>
  <c r="D2385" i="14"/>
  <c r="E2384" i="14"/>
  <c r="D1002" i="14"/>
  <c r="E1001" i="14"/>
  <c r="D3093" i="14"/>
  <c r="E3092" i="14"/>
  <c r="D2018" i="14"/>
  <c r="E2017" i="14"/>
  <c r="D1622" i="14"/>
  <c r="E1621" i="14"/>
  <c r="D290" i="14"/>
  <c r="E289" i="14"/>
  <c r="E5155" i="14" l="1"/>
  <c r="D5156" i="14"/>
  <c r="E4975" i="14"/>
  <c r="D4976" i="14"/>
  <c r="D3736" i="14"/>
  <c r="E3735" i="14"/>
  <c r="E3940" i="14"/>
  <c r="D3941" i="14"/>
  <c r="E3819" i="14"/>
  <c r="D3820" i="14"/>
  <c r="E4679" i="14"/>
  <c r="D4680" i="14"/>
  <c r="E4680" i="14" s="1"/>
  <c r="E4481" i="14"/>
  <c r="D4482" i="14"/>
  <c r="E4761" i="14"/>
  <c r="D4762" i="14"/>
  <c r="E4052" i="14"/>
  <c r="D4053" i="14"/>
  <c r="E4267" i="14"/>
  <c r="D4268" i="14"/>
  <c r="D658" i="14"/>
  <c r="E657" i="14"/>
  <c r="D1623" i="14"/>
  <c r="E1622" i="14"/>
  <c r="D2019" i="14"/>
  <c r="E2018" i="14"/>
  <c r="D1003" i="14"/>
  <c r="E1002" i="14"/>
  <c r="D3306" i="14"/>
  <c r="E3305" i="14"/>
  <c r="D2569" i="14"/>
  <c r="E2568" i="14"/>
  <c r="D1215" i="14"/>
  <c r="E1214" i="14"/>
  <c r="D2881" i="14"/>
  <c r="E2880" i="14"/>
  <c r="D3519" i="14"/>
  <c r="E3518" i="14"/>
  <c r="E1833" i="14"/>
  <c r="D1834" i="14"/>
  <c r="D818" i="14"/>
  <c r="E817" i="14"/>
  <c r="D291" i="14"/>
  <c r="E290" i="14"/>
  <c r="D3094" i="14"/>
  <c r="E3093" i="14"/>
  <c r="D2386" i="14"/>
  <c r="E2385" i="14"/>
  <c r="D497" i="14"/>
  <c r="E496" i="14"/>
  <c r="D1429" i="14"/>
  <c r="E1428" i="14"/>
  <c r="D2201" i="14"/>
  <c r="E2200" i="14"/>
  <c r="D2714" i="14"/>
  <c r="E2713" i="14"/>
  <c r="D84" i="14"/>
  <c r="E83" i="14"/>
  <c r="D4269" i="14" l="1"/>
  <c r="E4268" i="14"/>
  <c r="D3942" i="14"/>
  <c r="E3941" i="14"/>
  <c r="E4762" i="14"/>
  <c r="D4763" i="14"/>
  <c r="E4053" i="14"/>
  <c r="D4054" i="14"/>
  <c r="E4482" i="14"/>
  <c r="D4483" i="14"/>
  <c r="D3821" i="14"/>
  <c r="E3820" i="14"/>
  <c r="E5156" i="14"/>
  <c r="D5157" i="14"/>
  <c r="E4976" i="14"/>
  <c r="D4977" i="14"/>
  <c r="D3737" i="14"/>
  <c r="E3737" i="14" s="1"/>
  <c r="E3736" i="14"/>
  <c r="D85" i="14"/>
  <c r="E84" i="14"/>
  <c r="D2202" i="14"/>
  <c r="E2201" i="14"/>
  <c r="D498" i="14"/>
  <c r="E497" i="14"/>
  <c r="D3095" i="14"/>
  <c r="E3094" i="14"/>
  <c r="D292" i="14"/>
  <c r="E291" i="14"/>
  <c r="D3520" i="14"/>
  <c r="E3519" i="14"/>
  <c r="D1216" i="14"/>
  <c r="E1215" i="14"/>
  <c r="D2570" i="14"/>
  <c r="E2569" i="14"/>
  <c r="D3307" i="14"/>
  <c r="E3306" i="14"/>
  <c r="D1004" i="14"/>
  <c r="E1003" i="14"/>
  <c r="D1624" i="14"/>
  <c r="E1623" i="14"/>
  <c r="D1835" i="14"/>
  <c r="E1834" i="14"/>
  <c r="D2715" i="14"/>
  <c r="E2714" i="14"/>
  <c r="D1430" i="14"/>
  <c r="E1429" i="14"/>
  <c r="D2387" i="14"/>
  <c r="E2386" i="14"/>
  <c r="D819" i="14"/>
  <c r="E818" i="14"/>
  <c r="D2882" i="14"/>
  <c r="E2881" i="14"/>
  <c r="D2020" i="14"/>
  <c r="E2019" i="14"/>
  <c r="D659" i="14"/>
  <c r="E658" i="14"/>
  <c r="D3822" i="14" l="1"/>
  <c r="E3821" i="14"/>
  <c r="E3942" i="14"/>
  <c r="D3943" i="14"/>
  <c r="E5157" i="14"/>
  <c r="D5158" i="14"/>
  <c r="E4483" i="14"/>
  <c r="D4484" i="14"/>
  <c r="E4763" i="14"/>
  <c r="D4764" i="14"/>
  <c r="E4977" i="14"/>
  <c r="D4978" i="14"/>
  <c r="E4054" i="14"/>
  <c r="D4055" i="14"/>
  <c r="E4269" i="14"/>
  <c r="D4270" i="14"/>
  <c r="D2021" i="14"/>
  <c r="E2020" i="14"/>
  <c r="D2883" i="14"/>
  <c r="E2882" i="14"/>
  <c r="D1431" i="14"/>
  <c r="E1430" i="14"/>
  <c r="D1625" i="14"/>
  <c r="E1624" i="14"/>
  <c r="D3308" i="14"/>
  <c r="E3307" i="14"/>
  <c r="D1217" i="14"/>
  <c r="E1216" i="14"/>
  <c r="D3096" i="14"/>
  <c r="E3095" i="14"/>
  <c r="D2203" i="14"/>
  <c r="E2202" i="14"/>
  <c r="D86" i="14"/>
  <c r="E85" i="14"/>
  <c r="E659" i="14"/>
  <c r="D660" i="14"/>
  <c r="E819" i="14"/>
  <c r="D820" i="14"/>
  <c r="D2388" i="14"/>
  <c r="E2387" i="14"/>
  <c r="D2716" i="14"/>
  <c r="E2715" i="14"/>
  <c r="D1836" i="14"/>
  <c r="E1835" i="14"/>
  <c r="D1005" i="14"/>
  <c r="E1004" i="14"/>
  <c r="D2571" i="14"/>
  <c r="E2570" i="14"/>
  <c r="D3521" i="14"/>
  <c r="E3520" i="14"/>
  <c r="D293" i="14"/>
  <c r="E292" i="14"/>
  <c r="D499" i="14"/>
  <c r="E498" i="14"/>
  <c r="E4978" i="14" l="1"/>
  <c r="D4979" i="14"/>
  <c r="E4484" i="14"/>
  <c r="D4485" i="14"/>
  <c r="E4055" i="14"/>
  <c r="D4056" i="14"/>
  <c r="E4764" i="14"/>
  <c r="D4765" i="14"/>
  <c r="E5158" i="14"/>
  <c r="D5159" i="14"/>
  <c r="D4271" i="14"/>
  <c r="E4270" i="14"/>
  <c r="D3944" i="14"/>
  <c r="E3943" i="14"/>
  <c r="D3823" i="14"/>
  <c r="E3822" i="14"/>
  <c r="D821" i="14"/>
  <c r="E820" i="14"/>
  <c r="D294" i="14"/>
  <c r="E293" i="14"/>
  <c r="D2572" i="14"/>
  <c r="E2571" i="14"/>
  <c r="D1837" i="14"/>
  <c r="E1836" i="14"/>
  <c r="D2717" i="14"/>
  <c r="E2716" i="14"/>
  <c r="D87" i="14"/>
  <c r="E86" i="14"/>
  <c r="D3097" i="14"/>
  <c r="E3096" i="14"/>
  <c r="D1218" i="14"/>
  <c r="E1217" i="14"/>
  <c r="D1626" i="14"/>
  <c r="E1625" i="14"/>
  <c r="D661" i="14"/>
  <c r="E660" i="14"/>
  <c r="D500" i="14"/>
  <c r="E499" i="14"/>
  <c r="D3522" i="14"/>
  <c r="E3521" i="14"/>
  <c r="D1006" i="14"/>
  <c r="E1005" i="14"/>
  <c r="D2389" i="14"/>
  <c r="E2388" i="14"/>
  <c r="D2204" i="14"/>
  <c r="E2203" i="14"/>
  <c r="D3309" i="14"/>
  <c r="E3308" i="14"/>
  <c r="D1432" i="14"/>
  <c r="E1431" i="14"/>
  <c r="D2884" i="14"/>
  <c r="E2883" i="14"/>
  <c r="D2022" i="14"/>
  <c r="E2021" i="14"/>
  <c r="E4765" i="14" l="1"/>
  <c r="D4766" i="14"/>
  <c r="E4485" i="14"/>
  <c r="D4486" i="14"/>
  <c r="D3824" i="14"/>
  <c r="E3823" i="14"/>
  <c r="E4271" i="14"/>
  <c r="D4272" i="14"/>
  <c r="E5159" i="14"/>
  <c r="D5160" i="14"/>
  <c r="E4056" i="14"/>
  <c r="D4057" i="14"/>
  <c r="E4979" i="14"/>
  <c r="D4980" i="14"/>
  <c r="E3944" i="14"/>
  <c r="D3945" i="14"/>
  <c r="D2023" i="14"/>
  <c r="E2022" i="14"/>
  <c r="D1433" i="14"/>
  <c r="E1432" i="14"/>
  <c r="D3310" i="14"/>
  <c r="E3309" i="14"/>
  <c r="D2205" i="14"/>
  <c r="E2204" i="14"/>
  <c r="D3523" i="14"/>
  <c r="E3522" i="14"/>
  <c r="D1219" i="14"/>
  <c r="E1218" i="14"/>
  <c r="D88" i="14"/>
  <c r="E87" i="14"/>
  <c r="D2718" i="14"/>
  <c r="E2717" i="14"/>
  <c r="D2573" i="14"/>
  <c r="E2572" i="14"/>
  <c r="D2885" i="14"/>
  <c r="E2884" i="14"/>
  <c r="D2390" i="14"/>
  <c r="E2389" i="14"/>
  <c r="D1007" i="14"/>
  <c r="E1006" i="14"/>
  <c r="D501" i="14"/>
  <c r="E500" i="14"/>
  <c r="D662" i="14"/>
  <c r="E661" i="14"/>
  <c r="D1627" i="14"/>
  <c r="E1626" i="14"/>
  <c r="D3098" i="14"/>
  <c r="E3097" i="14"/>
  <c r="D1838" i="14"/>
  <c r="E1837" i="14"/>
  <c r="D295" i="14"/>
  <c r="E294" i="14"/>
  <c r="D822" i="14"/>
  <c r="E821" i="14"/>
  <c r="E4057" i="14" l="1"/>
  <c r="D4058" i="14"/>
  <c r="E4486" i="14"/>
  <c r="D4487" i="14"/>
  <c r="E4980" i="14"/>
  <c r="D4981" i="14"/>
  <c r="E5160" i="14"/>
  <c r="D5161" i="14"/>
  <c r="E4766" i="14"/>
  <c r="D4767" i="14"/>
  <c r="D3946" i="14"/>
  <c r="E3945" i="14"/>
  <c r="D4273" i="14"/>
  <c r="E4272" i="14"/>
  <c r="E3824" i="14"/>
  <c r="D3825" i="14"/>
  <c r="D823" i="14"/>
  <c r="E822" i="14"/>
  <c r="D1839" i="14"/>
  <c r="E1838" i="14"/>
  <c r="D3099" i="14"/>
  <c r="E3098" i="14"/>
  <c r="D502" i="14"/>
  <c r="E501" i="14"/>
  <c r="D2391" i="14"/>
  <c r="E2390" i="14"/>
  <c r="D2719" i="14"/>
  <c r="E2718" i="14"/>
  <c r="D1220" i="14"/>
  <c r="E1219" i="14"/>
  <c r="D3524" i="14"/>
  <c r="E3523" i="14"/>
  <c r="D2206" i="14"/>
  <c r="E2205" i="14"/>
  <c r="D1434" i="14"/>
  <c r="E1433" i="14"/>
  <c r="D296" i="14"/>
  <c r="E295" i="14"/>
  <c r="D1628" i="14"/>
  <c r="E1627" i="14"/>
  <c r="D663" i="14"/>
  <c r="E662" i="14"/>
  <c r="D1008" i="14"/>
  <c r="E1007" i="14"/>
  <c r="D2886" i="14"/>
  <c r="E2885" i="14"/>
  <c r="D2574" i="14"/>
  <c r="E2573" i="14"/>
  <c r="D89" i="14"/>
  <c r="E88" i="14"/>
  <c r="D3311" i="14"/>
  <c r="E3310" i="14"/>
  <c r="D2024" i="14"/>
  <c r="E2023" i="14"/>
  <c r="E3946" i="14" l="1"/>
  <c r="D3947" i="14"/>
  <c r="E5161" i="14"/>
  <c r="D5162" i="14"/>
  <c r="E4767" i="14"/>
  <c r="D4768" i="14"/>
  <c r="E4981" i="14"/>
  <c r="D4982" i="14"/>
  <c r="E4058" i="14"/>
  <c r="D4059" i="14"/>
  <c r="E3825" i="14"/>
  <c r="D3826" i="14"/>
  <c r="E4487" i="14"/>
  <c r="D4488" i="14"/>
  <c r="E4273" i="14"/>
  <c r="D4274" i="14"/>
  <c r="D3312" i="14"/>
  <c r="E3311" i="14"/>
  <c r="D90" i="14"/>
  <c r="E89" i="14"/>
  <c r="D2887" i="14"/>
  <c r="E2886" i="14"/>
  <c r="D664" i="14"/>
  <c r="E663" i="14"/>
  <c r="D1435" i="14"/>
  <c r="E1434" i="14"/>
  <c r="D3525" i="14"/>
  <c r="E3524" i="14"/>
  <c r="D1221" i="14"/>
  <c r="E1220" i="14"/>
  <c r="D2392" i="14"/>
  <c r="E2391" i="14"/>
  <c r="D1840" i="14"/>
  <c r="E1839" i="14"/>
  <c r="D2025" i="14"/>
  <c r="E2024" i="14"/>
  <c r="D2575" i="14"/>
  <c r="E2574" i="14"/>
  <c r="D1009" i="14"/>
  <c r="E1008" i="14"/>
  <c r="D1629" i="14"/>
  <c r="E1628" i="14"/>
  <c r="D297" i="14"/>
  <c r="E296" i="14"/>
  <c r="D2207" i="14"/>
  <c r="E2206" i="14"/>
  <c r="D2720" i="14"/>
  <c r="E2719" i="14"/>
  <c r="D503" i="14"/>
  <c r="E502" i="14"/>
  <c r="D3100" i="14"/>
  <c r="E3099" i="14"/>
  <c r="D824" i="14"/>
  <c r="E823" i="14"/>
  <c r="D4275" i="14" l="1"/>
  <c r="E4274" i="14"/>
  <c r="E3826" i="14"/>
  <c r="D3827" i="14"/>
  <c r="E5162" i="14"/>
  <c r="D5163" i="14"/>
  <c r="E4488" i="14"/>
  <c r="D4489" i="14"/>
  <c r="E4059" i="14"/>
  <c r="D4060" i="14"/>
  <c r="E4768" i="14"/>
  <c r="D4769" i="14"/>
  <c r="D3948" i="14"/>
  <c r="E3947" i="14"/>
  <c r="E4982" i="14"/>
  <c r="D4983" i="14"/>
  <c r="D3101" i="14"/>
  <c r="E3100" i="14"/>
  <c r="D298" i="14"/>
  <c r="E297" i="14"/>
  <c r="D1010" i="14"/>
  <c r="E1009" i="14"/>
  <c r="D2026" i="14"/>
  <c r="E2025" i="14"/>
  <c r="D3526" i="14"/>
  <c r="E3525" i="14"/>
  <c r="D2888" i="14"/>
  <c r="E2887" i="14"/>
  <c r="D825" i="14"/>
  <c r="E824" i="14"/>
  <c r="D504" i="14"/>
  <c r="E503" i="14"/>
  <c r="D2721" i="14"/>
  <c r="E2720" i="14"/>
  <c r="D2208" i="14"/>
  <c r="E2207" i="14"/>
  <c r="D1630" i="14"/>
  <c r="E1629" i="14"/>
  <c r="D2576" i="14"/>
  <c r="E2575" i="14"/>
  <c r="D1841" i="14"/>
  <c r="E1840" i="14"/>
  <c r="D2393" i="14"/>
  <c r="E2392" i="14"/>
  <c r="D1222" i="14"/>
  <c r="E1221" i="14"/>
  <c r="D1436" i="14"/>
  <c r="E1435" i="14"/>
  <c r="D665" i="14"/>
  <c r="E664" i="14"/>
  <c r="D91" i="14"/>
  <c r="E90" i="14"/>
  <c r="D3313" i="14"/>
  <c r="E3312" i="14"/>
  <c r="E4769" i="14" l="1"/>
  <c r="D4770" i="14"/>
  <c r="D3828" i="14"/>
  <c r="E3827" i="14"/>
  <c r="E4060" i="14"/>
  <c r="D4061" i="14"/>
  <c r="E5163" i="14"/>
  <c r="D5164" i="14"/>
  <c r="E4983" i="14"/>
  <c r="D4984" i="14"/>
  <c r="E4489" i="14"/>
  <c r="D4490" i="14"/>
  <c r="E3948" i="14"/>
  <c r="D3949" i="14"/>
  <c r="E4275" i="14"/>
  <c r="D4276" i="14"/>
  <c r="D92" i="14"/>
  <c r="E91" i="14"/>
  <c r="D1437" i="14"/>
  <c r="E1436" i="14"/>
  <c r="D2394" i="14"/>
  <c r="E2393" i="14"/>
  <c r="D1631" i="14"/>
  <c r="E1630" i="14"/>
  <c r="D2722" i="14"/>
  <c r="E2721" i="14"/>
  <c r="D826" i="14"/>
  <c r="E825" i="14"/>
  <c r="D2889" i="14"/>
  <c r="E2888" i="14"/>
  <c r="D3527" i="14"/>
  <c r="E3526" i="14"/>
  <c r="D299" i="14"/>
  <c r="E298" i="14"/>
  <c r="D3314" i="14"/>
  <c r="E3313" i="14"/>
  <c r="D666" i="14"/>
  <c r="E665" i="14"/>
  <c r="D1223" i="14"/>
  <c r="E1222" i="14"/>
  <c r="D1842" i="14"/>
  <c r="E1841" i="14"/>
  <c r="D2577" i="14"/>
  <c r="E2576" i="14"/>
  <c r="D2209" i="14"/>
  <c r="E2208" i="14"/>
  <c r="D505" i="14"/>
  <c r="E504" i="14"/>
  <c r="D2027" i="14"/>
  <c r="E2026" i="14"/>
  <c r="D1011" i="14"/>
  <c r="E1010" i="14"/>
  <c r="D3102" i="14"/>
  <c r="E3101" i="14"/>
  <c r="D4277" i="14" l="1"/>
  <c r="E4276" i="14"/>
  <c r="E3828" i="14"/>
  <c r="D3829" i="14"/>
  <c r="E4490" i="14"/>
  <c r="D4491" i="14"/>
  <c r="D3950" i="14"/>
  <c r="E3949" i="14"/>
  <c r="E4984" i="14"/>
  <c r="D4985" i="14"/>
  <c r="E4061" i="14"/>
  <c r="D4062" i="14"/>
  <c r="E4770" i="14"/>
  <c r="D4771" i="14"/>
  <c r="E5164" i="14"/>
  <c r="D5165" i="14"/>
  <c r="D2028" i="14"/>
  <c r="E2027" i="14"/>
  <c r="D506" i="14"/>
  <c r="E505" i="14"/>
  <c r="D2578" i="14"/>
  <c r="E2577" i="14"/>
  <c r="D1224" i="14"/>
  <c r="E1223" i="14"/>
  <c r="D3315" i="14"/>
  <c r="E3314" i="14"/>
  <c r="D300" i="14"/>
  <c r="E299" i="14"/>
  <c r="D2890" i="14"/>
  <c r="E2889" i="14"/>
  <c r="D2723" i="14"/>
  <c r="E2722" i="14"/>
  <c r="D1438" i="14"/>
  <c r="E1437" i="14"/>
  <c r="D3103" i="14"/>
  <c r="E3102" i="14"/>
  <c r="D1012" i="14"/>
  <c r="E1011" i="14"/>
  <c r="D2210" i="14"/>
  <c r="E2209" i="14"/>
  <c r="D1843" i="14"/>
  <c r="E1842" i="14"/>
  <c r="D667" i="14"/>
  <c r="E666" i="14"/>
  <c r="D3528" i="14"/>
  <c r="E3527" i="14"/>
  <c r="D827" i="14"/>
  <c r="E826" i="14"/>
  <c r="D1632" i="14"/>
  <c r="E1631" i="14"/>
  <c r="D2395" i="14"/>
  <c r="E2394" i="14"/>
  <c r="D93" i="14"/>
  <c r="E92" i="14"/>
  <c r="E3950" i="14" l="1"/>
  <c r="D3951" i="14"/>
  <c r="E5165" i="14"/>
  <c r="D5166" i="14"/>
  <c r="E4771" i="14"/>
  <c r="D4772" i="14"/>
  <c r="E4985" i="14"/>
  <c r="D4986" i="14"/>
  <c r="E4491" i="14"/>
  <c r="D4492" i="14"/>
  <c r="D4063" i="14"/>
  <c r="E4062" i="14"/>
  <c r="E3829" i="14"/>
  <c r="D3830" i="14"/>
  <c r="E4277" i="14"/>
  <c r="D4278" i="14"/>
  <c r="D2396" i="14"/>
  <c r="E2395" i="14"/>
  <c r="D828" i="14"/>
  <c r="E827" i="14"/>
  <c r="D668" i="14"/>
  <c r="E667" i="14"/>
  <c r="D2211" i="14"/>
  <c r="E2210" i="14"/>
  <c r="D3104" i="14"/>
  <c r="E3103" i="14"/>
  <c r="D2891" i="14"/>
  <c r="E2890" i="14"/>
  <c r="D301" i="14"/>
  <c r="E300" i="14"/>
  <c r="D1225" i="14"/>
  <c r="E1224" i="14"/>
  <c r="D507" i="14"/>
  <c r="E506" i="14"/>
  <c r="D2029" i="14"/>
  <c r="E2028" i="14"/>
  <c r="D94" i="14"/>
  <c r="E93" i="14"/>
  <c r="D1633" i="14"/>
  <c r="E1632" i="14"/>
  <c r="D3529" i="14"/>
  <c r="E3528" i="14"/>
  <c r="D1844" i="14"/>
  <c r="E1843" i="14"/>
  <c r="D1013" i="14"/>
  <c r="E1012" i="14"/>
  <c r="D1439" i="14"/>
  <c r="E1438" i="14"/>
  <c r="D2724" i="14"/>
  <c r="E2723" i="14"/>
  <c r="D3316" i="14"/>
  <c r="E3315" i="14"/>
  <c r="D2579" i="14"/>
  <c r="E2578" i="14"/>
  <c r="E3830" i="14" l="1"/>
  <c r="D3831" i="14"/>
  <c r="E4492" i="14"/>
  <c r="D4493" i="14"/>
  <c r="E4772" i="14"/>
  <c r="D4773" i="14"/>
  <c r="D3952" i="14"/>
  <c r="E3951" i="14"/>
  <c r="D4279" i="14"/>
  <c r="E4278" i="14"/>
  <c r="E4986" i="14"/>
  <c r="D4987" i="14"/>
  <c r="E5166" i="14"/>
  <c r="D5167" i="14"/>
  <c r="E4063" i="14"/>
  <c r="D4064" i="14"/>
  <c r="D3317" i="14"/>
  <c r="E3316" i="14"/>
  <c r="D2725" i="14"/>
  <c r="E2724" i="14"/>
  <c r="D1014" i="14"/>
  <c r="E1013" i="14"/>
  <c r="D1845" i="14"/>
  <c r="E1844" i="14"/>
  <c r="D3530" i="14"/>
  <c r="E3529" i="14"/>
  <c r="D95" i="14"/>
  <c r="E94" i="14"/>
  <c r="D508" i="14"/>
  <c r="E507" i="14"/>
  <c r="D302" i="14"/>
  <c r="E301" i="14"/>
  <c r="D669" i="14"/>
  <c r="E668" i="14"/>
  <c r="D829" i="14"/>
  <c r="E828" i="14"/>
  <c r="D2580" i="14"/>
  <c r="E2579" i="14"/>
  <c r="D1440" i="14"/>
  <c r="E1439" i="14"/>
  <c r="D1634" i="14"/>
  <c r="E1633" i="14"/>
  <c r="D2030" i="14"/>
  <c r="E2029" i="14"/>
  <c r="D1226" i="14"/>
  <c r="E1225" i="14"/>
  <c r="D2892" i="14"/>
  <c r="E2891" i="14"/>
  <c r="D3105" i="14"/>
  <c r="E3104" i="14"/>
  <c r="D2212" i="14"/>
  <c r="E2211" i="14"/>
  <c r="D2397" i="14"/>
  <c r="E2396" i="14"/>
  <c r="E5167" i="14" l="1"/>
  <c r="D5168" i="14"/>
  <c r="E4279" i="14"/>
  <c r="D4280" i="14"/>
  <c r="D4065" i="14"/>
  <c r="E4064" i="14"/>
  <c r="E4987" i="14"/>
  <c r="D4988" i="14"/>
  <c r="E4493" i="14"/>
  <c r="D4494" i="14"/>
  <c r="E3952" i="14"/>
  <c r="D3953" i="14"/>
  <c r="E4773" i="14"/>
  <c r="D4774" i="14"/>
  <c r="D3832" i="14"/>
  <c r="E3831" i="14"/>
  <c r="D3106" i="14"/>
  <c r="E3105" i="14"/>
  <c r="D1227" i="14"/>
  <c r="E1226" i="14"/>
  <c r="D1635" i="14"/>
  <c r="E1634" i="14"/>
  <c r="D670" i="14"/>
  <c r="E669" i="14"/>
  <c r="D509" i="14"/>
  <c r="E508" i="14"/>
  <c r="D3531" i="14"/>
  <c r="E3530" i="14"/>
  <c r="D1015" i="14"/>
  <c r="E1014" i="14"/>
  <c r="D3318" i="14"/>
  <c r="E3317" i="14"/>
  <c r="D2398" i="14"/>
  <c r="E2397" i="14"/>
  <c r="D2213" i="14"/>
  <c r="E2212" i="14"/>
  <c r="D2893" i="14"/>
  <c r="E2892" i="14"/>
  <c r="D2031" i="14"/>
  <c r="E2030" i="14"/>
  <c r="D1441" i="14"/>
  <c r="E1440" i="14"/>
  <c r="D2581" i="14"/>
  <c r="E2580" i="14"/>
  <c r="D830" i="14"/>
  <c r="E829" i="14"/>
  <c r="D303" i="14"/>
  <c r="E302" i="14"/>
  <c r="D96" i="14"/>
  <c r="E95" i="14"/>
  <c r="D1846" i="14"/>
  <c r="E1845" i="14"/>
  <c r="D2726" i="14"/>
  <c r="E2725" i="14"/>
  <c r="D3954" i="14" l="1"/>
  <c r="E3953" i="14"/>
  <c r="E4988" i="14"/>
  <c r="D4989" i="14"/>
  <c r="D4281" i="14"/>
  <c r="E4280" i="14"/>
  <c r="E3832" i="14"/>
  <c r="D3833" i="14"/>
  <c r="E4774" i="14"/>
  <c r="D4775" i="14"/>
  <c r="E4494" i="14"/>
  <c r="D4495" i="14"/>
  <c r="E5168" i="14"/>
  <c r="D5169" i="14"/>
  <c r="E4065" i="14"/>
  <c r="D4066" i="14"/>
  <c r="D2727" i="14"/>
  <c r="E2726" i="14"/>
  <c r="D97" i="14"/>
  <c r="E96" i="14"/>
  <c r="D2582" i="14"/>
  <c r="E2581" i="14"/>
  <c r="D2894" i="14"/>
  <c r="E2893" i="14"/>
  <c r="D2399" i="14"/>
  <c r="E2398" i="14"/>
  <c r="D1016" i="14"/>
  <c r="E1015" i="14"/>
  <c r="D510" i="14"/>
  <c r="E509" i="14"/>
  <c r="D671" i="14"/>
  <c r="E670" i="14"/>
  <c r="D1636" i="14"/>
  <c r="E1635" i="14"/>
  <c r="D3107" i="14"/>
  <c r="E3106" i="14"/>
  <c r="D1847" i="14"/>
  <c r="E1846" i="14"/>
  <c r="D304" i="14"/>
  <c r="E303" i="14"/>
  <c r="D831" i="14"/>
  <c r="E830" i="14"/>
  <c r="D1442" i="14"/>
  <c r="E1441" i="14"/>
  <c r="D2032" i="14"/>
  <c r="E2031" i="14"/>
  <c r="D2214" i="14"/>
  <c r="E2213" i="14"/>
  <c r="D3319" i="14"/>
  <c r="E3318" i="14"/>
  <c r="D3532" i="14"/>
  <c r="E3531" i="14"/>
  <c r="D1228" i="14"/>
  <c r="E1227" i="14"/>
  <c r="E4989" i="14" l="1"/>
  <c r="D4990" i="14"/>
  <c r="E4495" i="14"/>
  <c r="D4496" i="14"/>
  <c r="E5169" i="14"/>
  <c r="D5170" i="14"/>
  <c r="E4775" i="14"/>
  <c r="D4776" i="14"/>
  <c r="D4067" i="14"/>
  <c r="E4066" i="14"/>
  <c r="E3833" i="14"/>
  <c r="D3834" i="14"/>
  <c r="E4281" i="14"/>
  <c r="D4282" i="14"/>
  <c r="E3954" i="14"/>
  <c r="D3955" i="14"/>
  <c r="D1229" i="14"/>
  <c r="E1228" i="14"/>
  <c r="D3533" i="14"/>
  <c r="E3532" i="14"/>
  <c r="D2215" i="14"/>
  <c r="E2214" i="14"/>
  <c r="D1443" i="14"/>
  <c r="E1442" i="14"/>
  <c r="D305" i="14"/>
  <c r="E304" i="14"/>
  <c r="D1637" i="14"/>
  <c r="E1636" i="14"/>
  <c r="D672" i="14"/>
  <c r="E671" i="14"/>
  <c r="D1017" i="14"/>
  <c r="E1016" i="14"/>
  <c r="D2895" i="14"/>
  <c r="E2894" i="14"/>
  <c r="D2583" i="14"/>
  <c r="E2582" i="14"/>
  <c r="D98" i="14"/>
  <c r="E97" i="14"/>
  <c r="D3320" i="14"/>
  <c r="E3319" i="14"/>
  <c r="D2033" i="14"/>
  <c r="E2032" i="14"/>
  <c r="D832" i="14"/>
  <c r="E831" i="14"/>
  <c r="D1848" i="14"/>
  <c r="E1847" i="14"/>
  <c r="D3108" i="14"/>
  <c r="E3107" i="14"/>
  <c r="D511" i="14"/>
  <c r="E510" i="14"/>
  <c r="D2400" i="14"/>
  <c r="E2399" i="14"/>
  <c r="D2728" i="14"/>
  <c r="E2727" i="14"/>
  <c r="E5170" i="14" l="1"/>
  <c r="D5171" i="14"/>
  <c r="D3956" i="14"/>
  <c r="E3955" i="14"/>
  <c r="E3834" i="14"/>
  <c r="D3835" i="14"/>
  <c r="E4776" i="14"/>
  <c r="D4777" i="14"/>
  <c r="E4496" i="14"/>
  <c r="D4497" i="14"/>
  <c r="D4283" i="14"/>
  <c r="E4282" i="14"/>
  <c r="E4990" i="14"/>
  <c r="D4991" i="14"/>
  <c r="E4067" i="14"/>
  <c r="D4068" i="14"/>
  <c r="D2401" i="14"/>
  <c r="E2400" i="14"/>
  <c r="D1849" i="14"/>
  <c r="E1848" i="14"/>
  <c r="D2034" i="14"/>
  <c r="E2033" i="14"/>
  <c r="D2584" i="14"/>
  <c r="E2583" i="14"/>
  <c r="D1018" i="14"/>
  <c r="E1017" i="14"/>
  <c r="D1638" i="14"/>
  <c r="E1637" i="14"/>
  <c r="D306" i="14"/>
  <c r="E305" i="14"/>
  <c r="D2216" i="14"/>
  <c r="E2215" i="14"/>
  <c r="D2729" i="14"/>
  <c r="E2728" i="14"/>
  <c r="D512" i="14"/>
  <c r="E511" i="14"/>
  <c r="D3109" i="14"/>
  <c r="E3108" i="14"/>
  <c r="D833" i="14"/>
  <c r="E832" i="14"/>
  <c r="D3321" i="14"/>
  <c r="E3320" i="14"/>
  <c r="D99" i="14"/>
  <c r="E98" i="14"/>
  <c r="D2896" i="14"/>
  <c r="E2895" i="14"/>
  <c r="D673" i="14"/>
  <c r="E672" i="14"/>
  <c r="D1444" i="14"/>
  <c r="E1443" i="14"/>
  <c r="D3534" i="14"/>
  <c r="E3533" i="14"/>
  <c r="D1230" i="14"/>
  <c r="E1229" i="14"/>
  <c r="E3956" i="14" l="1"/>
  <c r="D3957" i="14"/>
  <c r="D4069" i="14"/>
  <c r="E4068" i="14"/>
  <c r="E4283" i="14"/>
  <c r="D4284" i="14"/>
  <c r="E4991" i="14"/>
  <c r="D4992" i="14"/>
  <c r="E4497" i="14"/>
  <c r="D4498" i="14"/>
  <c r="D3836" i="14"/>
  <c r="E3835" i="14"/>
  <c r="E5171" i="14"/>
  <c r="D5172" i="14"/>
  <c r="E4777" i="14"/>
  <c r="D4778" i="14"/>
  <c r="D3535" i="14"/>
  <c r="E3534" i="14"/>
  <c r="D2897" i="14"/>
  <c r="E2896" i="14"/>
  <c r="D834" i="14"/>
  <c r="E833" i="14"/>
  <c r="D513" i="14"/>
  <c r="E512" i="14"/>
  <c r="D2730" i="14"/>
  <c r="E2729" i="14"/>
  <c r="D2217" i="14"/>
  <c r="E2216" i="14"/>
  <c r="D1639" i="14"/>
  <c r="E1638" i="14"/>
  <c r="D2585" i="14"/>
  <c r="E2584" i="14"/>
  <c r="D1850" i="14"/>
  <c r="E1849" i="14"/>
  <c r="D2402" i="14"/>
  <c r="E2401" i="14"/>
  <c r="D1231" i="14"/>
  <c r="E1230" i="14"/>
  <c r="D1445" i="14"/>
  <c r="E1444" i="14"/>
  <c r="D674" i="14"/>
  <c r="E673" i="14"/>
  <c r="D100" i="14"/>
  <c r="E99" i="14"/>
  <c r="D3322" i="14"/>
  <c r="E3321" i="14"/>
  <c r="D3110" i="14"/>
  <c r="E3109" i="14"/>
  <c r="D307" i="14"/>
  <c r="E306" i="14"/>
  <c r="E1018" i="14"/>
  <c r="D1019" i="14"/>
  <c r="D2035" i="14"/>
  <c r="E2034" i="14"/>
  <c r="E5172" i="14" l="1"/>
  <c r="D5173" i="14"/>
  <c r="E4498" i="14"/>
  <c r="D4499" i="14"/>
  <c r="D4285" i="14"/>
  <c r="E4284" i="14"/>
  <c r="D3958" i="14"/>
  <c r="E3957" i="14"/>
  <c r="E4778" i="14"/>
  <c r="D4779" i="14"/>
  <c r="E4992" i="14"/>
  <c r="D4993" i="14"/>
  <c r="E3836" i="14"/>
  <c r="D3837" i="14"/>
  <c r="E4069" i="14"/>
  <c r="D4070" i="14"/>
  <c r="D308" i="14"/>
  <c r="E307" i="14"/>
  <c r="D3323" i="14"/>
  <c r="E3322" i="14"/>
  <c r="D675" i="14"/>
  <c r="E674" i="14"/>
  <c r="D1232" i="14"/>
  <c r="E1231" i="14"/>
  <c r="D1851" i="14"/>
  <c r="E1850" i="14"/>
  <c r="D2586" i="14"/>
  <c r="E2585" i="14"/>
  <c r="D2218" i="14"/>
  <c r="E2217" i="14"/>
  <c r="D514" i="14"/>
  <c r="E513" i="14"/>
  <c r="D1020" i="14"/>
  <c r="E1019" i="14"/>
  <c r="D2036" i="14"/>
  <c r="E2035" i="14"/>
  <c r="D3111" i="14"/>
  <c r="E3110" i="14"/>
  <c r="D101" i="14"/>
  <c r="E100" i="14"/>
  <c r="D1446" i="14"/>
  <c r="E1445" i="14"/>
  <c r="D2403" i="14"/>
  <c r="E2402" i="14"/>
  <c r="D1640" i="14"/>
  <c r="E1639" i="14"/>
  <c r="D2731" i="14"/>
  <c r="E2730" i="14"/>
  <c r="D835" i="14"/>
  <c r="E834" i="14"/>
  <c r="D2898" i="14"/>
  <c r="E2897" i="14"/>
  <c r="D3536" i="14"/>
  <c r="E3535" i="14"/>
  <c r="E3837" i="14" l="1"/>
  <c r="D3838" i="14"/>
  <c r="E4779" i="14"/>
  <c r="D4780" i="14"/>
  <c r="E5173" i="14"/>
  <c r="D5174" i="14"/>
  <c r="E4285" i="14"/>
  <c r="D4286" i="14"/>
  <c r="D4071" i="14"/>
  <c r="E4070" i="14"/>
  <c r="E4993" i="14"/>
  <c r="D4994" i="14"/>
  <c r="E4499" i="14"/>
  <c r="D4500" i="14"/>
  <c r="E3958" i="14"/>
  <c r="D3959" i="14"/>
  <c r="D2899" i="14"/>
  <c r="E2898" i="14"/>
  <c r="D2732" i="14"/>
  <c r="E2731" i="14"/>
  <c r="D1447" i="14"/>
  <c r="E1446" i="14"/>
  <c r="D3112" i="14"/>
  <c r="E3111" i="14"/>
  <c r="D2037" i="14"/>
  <c r="E2036" i="14"/>
  <c r="D1021" i="14"/>
  <c r="E1020" i="14"/>
  <c r="D2219" i="14"/>
  <c r="E2218" i="14"/>
  <c r="D1852" i="14"/>
  <c r="E1851" i="14"/>
  <c r="D676" i="14"/>
  <c r="E675" i="14"/>
  <c r="D3537" i="14"/>
  <c r="E3536" i="14"/>
  <c r="D836" i="14"/>
  <c r="E835" i="14"/>
  <c r="D1641" i="14"/>
  <c r="E1640" i="14"/>
  <c r="D2404" i="14"/>
  <c r="E2403" i="14"/>
  <c r="D102" i="14"/>
  <c r="E101" i="14"/>
  <c r="D515" i="14"/>
  <c r="E514" i="14"/>
  <c r="D2587" i="14"/>
  <c r="E2586" i="14"/>
  <c r="D1233" i="14"/>
  <c r="E1232" i="14"/>
  <c r="D3324" i="14"/>
  <c r="E3323" i="14"/>
  <c r="D309" i="14"/>
  <c r="E308" i="14"/>
  <c r="E4994" i="14" l="1"/>
  <c r="D4995" i="14"/>
  <c r="D4287" i="14"/>
  <c r="E4286" i="14"/>
  <c r="E4780" i="14"/>
  <c r="D4781" i="14"/>
  <c r="E4500" i="14"/>
  <c r="D4501" i="14"/>
  <c r="E5174" i="14"/>
  <c r="D5175" i="14"/>
  <c r="E3838" i="14"/>
  <c r="D3839" i="14"/>
  <c r="D3960" i="14"/>
  <c r="E3959" i="14"/>
  <c r="E4071" i="14"/>
  <c r="D4072" i="14"/>
  <c r="D310" i="14"/>
  <c r="E309" i="14"/>
  <c r="D1234" i="14"/>
  <c r="E1233" i="14"/>
  <c r="D516" i="14"/>
  <c r="E515" i="14"/>
  <c r="D103" i="14"/>
  <c r="E102" i="14"/>
  <c r="D1642" i="14"/>
  <c r="E1641" i="14"/>
  <c r="D3538" i="14"/>
  <c r="E3537" i="14"/>
  <c r="D1853" i="14"/>
  <c r="E1852" i="14"/>
  <c r="D2038" i="14"/>
  <c r="E2037" i="14"/>
  <c r="D1448" i="14"/>
  <c r="E1447" i="14"/>
  <c r="D2733" i="14"/>
  <c r="E2732" i="14"/>
  <c r="D3325" i="14"/>
  <c r="E3324" i="14"/>
  <c r="D2588" i="14"/>
  <c r="E2587" i="14"/>
  <c r="D2405" i="14"/>
  <c r="E2404" i="14"/>
  <c r="D837" i="14"/>
  <c r="E836" i="14"/>
  <c r="D677" i="14"/>
  <c r="E676" i="14"/>
  <c r="D2220" i="14"/>
  <c r="E2219" i="14"/>
  <c r="D1022" i="14"/>
  <c r="E1021" i="14"/>
  <c r="D3113" i="14"/>
  <c r="E3112" i="14"/>
  <c r="D2900" i="14"/>
  <c r="E2899" i="14"/>
  <c r="D3840" i="14" l="1"/>
  <c r="E3839" i="14"/>
  <c r="E4501" i="14"/>
  <c r="D4502" i="14"/>
  <c r="E4287" i="14"/>
  <c r="D4288" i="14"/>
  <c r="E5175" i="14"/>
  <c r="D5176" i="14"/>
  <c r="E4781" i="14"/>
  <c r="D4782" i="14"/>
  <c r="E4995" i="14"/>
  <c r="D4996" i="14"/>
  <c r="D4073" i="14"/>
  <c r="E4072" i="14"/>
  <c r="E3960" i="14"/>
  <c r="D3961" i="14"/>
  <c r="D1023" i="14"/>
  <c r="E1022" i="14"/>
  <c r="D678" i="14"/>
  <c r="E677" i="14"/>
  <c r="D838" i="14"/>
  <c r="E837" i="14"/>
  <c r="D2589" i="14"/>
  <c r="E2588" i="14"/>
  <c r="D1449" i="14"/>
  <c r="E1448" i="14"/>
  <c r="D1643" i="14"/>
  <c r="E1642" i="14"/>
  <c r="D1235" i="14"/>
  <c r="E1234" i="14"/>
  <c r="D2901" i="14"/>
  <c r="E2900" i="14"/>
  <c r="D3114" i="14"/>
  <c r="E3113" i="14"/>
  <c r="D2221" i="14"/>
  <c r="E2220" i="14"/>
  <c r="D2406" i="14"/>
  <c r="E2405" i="14"/>
  <c r="D3326" i="14"/>
  <c r="E3325" i="14"/>
  <c r="D2734" i="14"/>
  <c r="E2733" i="14"/>
  <c r="D2039" i="14"/>
  <c r="E2038" i="14"/>
  <c r="D1854" i="14"/>
  <c r="E1853" i="14"/>
  <c r="D3539" i="14"/>
  <c r="E3538" i="14"/>
  <c r="D104" i="14"/>
  <c r="E103" i="14"/>
  <c r="D517" i="14"/>
  <c r="E516" i="14"/>
  <c r="D311" i="14"/>
  <c r="E310" i="14"/>
  <c r="E4996" i="14" l="1"/>
  <c r="D4997" i="14"/>
  <c r="E5176" i="14"/>
  <c r="D5177" i="14"/>
  <c r="E4782" i="14"/>
  <c r="D4783" i="14"/>
  <c r="D4289" i="14"/>
  <c r="E4288" i="14"/>
  <c r="D3962" i="14"/>
  <c r="E3961" i="14"/>
  <c r="E4502" i="14"/>
  <c r="D4503" i="14"/>
  <c r="E4073" i="14"/>
  <c r="D4074" i="14"/>
  <c r="E3840" i="14"/>
  <c r="D3841" i="14"/>
  <c r="D518" i="14"/>
  <c r="E517" i="14"/>
  <c r="D3540" i="14"/>
  <c r="E3539" i="14"/>
  <c r="D2040" i="14"/>
  <c r="E2039" i="14"/>
  <c r="D3327" i="14"/>
  <c r="E3326" i="14"/>
  <c r="D2407" i="14"/>
  <c r="E2406" i="14"/>
  <c r="D2222" i="14"/>
  <c r="E2221" i="14"/>
  <c r="D2902" i="14"/>
  <c r="E2901" i="14"/>
  <c r="D1450" i="14"/>
  <c r="E1449" i="14"/>
  <c r="D2590" i="14"/>
  <c r="E2589" i="14"/>
  <c r="D839" i="14"/>
  <c r="E838" i="14"/>
  <c r="D1024" i="14"/>
  <c r="E1023" i="14"/>
  <c r="D312" i="14"/>
  <c r="E311" i="14"/>
  <c r="D105" i="14"/>
  <c r="E104" i="14"/>
  <c r="D1855" i="14"/>
  <c r="E1854" i="14"/>
  <c r="D2735" i="14"/>
  <c r="E2734" i="14"/>
  <c r="D3115" i="14"/>
  <c r="E3114" i="14"/>
  <c r="D1236" i="14"/>
  <c r="E1235" i="14"/>
  <c r="D1644" i="14"/>
  <c r="E1643" i="14"/>
  <c r="D679" i="14"/>
  <c r="E678" i="14"/>
  <c r="E4503" i="14" l="1"/>
  <c r="D4504" i="14"/>
  <c r="E4289" i="14"/>
  <c r="D4290" i="14"/>
  <c r="D4075" i="14"/>
  <c r="E4074" i="14"/>
  <c r="E4783" i="14"/>
  <c r="D4784" i="14"/>
  <c r="E4997" i="14"/>
  <c r="D4998" i="14"/>
  <c r="E3841" i="14"/>
  <c r="D3842" i="14"/>
  <c r="E5177" i="14"/>
  <c r="D5178" i="14"/>
  <c r="E3962" i="14"/>
  <c r="D3963" i="14"/>
  <c r="D680" i="14"/>
  <c r="E679" i="14"/>
  <c r="D1645" i="14"/>
  <c r="E1644" i="14"/>
  <c r="D3116" i="14"/>
  <c r="E3115" i="14"/>
  <c r="D1856" i="14"/>
  <c r="E1855" i="14"/>
  <c r="D313" i="14"/>
  <c r="E312" i="14"/>
  <c r="D840" i="14"/>
  <c r="E839" i="14"/>
  <c r="D1451" i="14"/>
  <c r="E1450" i="14"/>
  <c r="D2223" i="14"/>
  <c r="E2222" i="14"/>
  <c r="D3328" i="14"/>
  <c r="E3327" i="14"/>
  <c r="D3541" i="14"/>
  <c r="E3540" i="14"/>
  <c r="D1237" i="14"/>
  <c r="E1236" i="14"/>
  <c r="D2736" i="14"/>
  <c r="E2735" i="14"/>
  <c r="D106" i="14"/>
  <c r="E105" i="14"/>
  <c r="D1025" i="14"/>
  <c r="E1024" i="14"/>
  <c r="D2591" i="14"/>
  <c r="E2590" i="14"/>
  <c r="D2903" i="14"/>
  <c r="E2902" i="14"/>
  <c r="D2408" i="14"/>
  <c r="E2407" i="14"/>
  <c r="D2041" i="14"/>
  <c r="E2040" i="14"/>
  <c r="D519" i="14"/>
  <c r="E518" i="14"/>
  <c r="D3964" i="14" l="1"/>
  <c r="E3963" i="14"/>
  <c r="E4784" i="14"/>
  <c r="D4785" i="14"/>
  <c r="E5178" i="14"/>
  <c r="D5179" i="14"/>
  <c r="E4998" i="14"/>
  <c r="D4999" i="14"/>
  <c r="E4504" i="14"/>
  <c r="D4505" i="14"/>
  <c r="E3842" i="14"/>
  <c r="D3843" i="14"/>
  <c r="D4291" i="14"/>
  <c r="E4290" i="14"/>
  <c r="E4075" i="14"/>
  <c r="D4076" i="14"/>
  <c r="D2042" i="14"/>
  <c r="E2041" i="14"/>
  <c r="D2904" i="14"/>
  <c r="E2903" i="14"/>
  <c r="D2592" i="14"/>
  <c r="E2591" i="14"/>
  <c r="D107" i="14"/>
  <c r="E106" i="14"/>
  <c r="D3329" i="14"/>
  <c r="E3328" i="14"/>
  <c r="D841" i="14"/>
  <c r="E840" i="14"/>
  <c r="D1857" i="14"/>
  <c r="E1856" i="14"/>
  <c r="D3117" i="14"/>
  <c r="E3116" i="14"/>
  <c r="D520" i="14"/>
  <c r="E519" i="14"/>
  <c r="D2409" i="14"/>
  <c r="E2408" i="14"/>
  <c r="D1026" i="14"/>
  <c r="E1025" i="14"/>
  <c r="D2737" i="14"/>
  <c r="E2736" i="14"/>
  <c r="D1238" i="14"/>
  <c r="E1237" i="14"/>
  <c r="D3542" i="14"/>
  <c r="E3541" i="14"/>
  <c r="D2224" i="14"/>
  <c r="E2223" i="14"/>
  <c r="D1452" i="14"/>
  <c r="E1451" i="14"/>
  <c r="D314" i="14"/>
  <c r="E313" i="14"/>
  <c r="D1646" i="14"/>
  <c r="E1645" i="14"/>
  <c r="D681" i="14"/>
  <c r="E680" i="14"/>
  <c r="D4077" i="14" l="1"/>
  <c r="E4076" i="14"/>
  <c r="E4999" i="14"/>
  <c r="D5000" i="14"/>
  <c r="E4505" i="14"/>
  <c r="D4506" i="14"/>
  <c r="E5179" i="14"/>
  <c r="D5180" i="14"/>
  <c r="D3844" i="14"/>
  <c r="E3843" i="14"/>
  <c r="E4785" i="14"/>
  <c r="D4786" i="14"/>
  <c r="E4291" i="14"/>
  <c r="D4292" i="14"/>
  <c r="E3964" i="14"/>
  <c r="D3965" i="14"/>
  <c r="D1647" i="14"/>
  <c r="E1646" i="14"/>
  <c r="D315" i="14"/>
  <c r="E314" i="14"/>
  <c r="D2225" i="14"/>
  <c r="E2224" i="14"/>
  <c r="D2738" i="14"/>
  <c r="E2737" i="14"/>
  <c r="D521" i="14"/>
  <c r="E520" i="14"/>
  <c r="D3118" i="14"/>
  <c r="E3117" i="14"/>
  <c r="D842" i="14"/>
  <c r="E841" i="14"/>
  <c r="D3330" i="14"/>
  <c r="E3329" i="14"/>
  <c r="D108" i="14"/>
  <c r="E107" i="14"/>
  <c r="D2905" i="14"/>
  <c r="E2904" i="14"/>
  <c r="D682" i="14"/>
  <c r="E681" i="14"/>
  <c r="D1453" i="14"/>
  <c r="E1452" i="14"/>
  <c r="D3543" i="14"/>
  <c r="E3542" i="14"/>
  <c r="D1239" i="14"/>
  <c r="E1238" i="14"/>
  <c r="D1027" i="14"/>
  <c r="E1026" i="14"/>
  <c r="D2410" i="14"/>
  <c r="E2409" i="14"/>
  <c r="D1858" i="14"/>
  <c r="E1857" i="14"/>
  <c r="D2593" i="14"/>
  <c r="E2592" i="14"/>
  <c r="D2043" i="14"/>
  <c r="E2042" i="14"/>
  <c r="E4786" i="14" l="1"/>
  <c r="D4787" i="14"/>
  <c r="E5180" i="14"/>
  <c r="D5181" i="14"/>
  <c r="E4506" i="14"/>
  <c r="D4507" i="14"/>
  <c r="D3966" i="14"/>
  <c r="E3965" i="14"/>
  <c r="E5000" i="14"/>
  <c r="D5001" i="14"/>
  <c r="D4293" i="14"/>
  <c r="E4292" i="14"/>
  <c r="E3844" i="14"/>
  <c r="D3845" i="14"/>
  <c r="E4077" i="14"/>
  <c r="D4078" i="14"/>
  <c r="D2594" i="14"/>
  <c r="E2593" i="14"/>
  <c r="D1859" i="14"/>
  <c r="E1858" i="14"/>
  <c r="D2411" i="14"/>
  <c r="E2410" i="14"/>
  <c r="D1240" i="14"/>
  <c r="E1239" i="14"/>
  <c r="D1454" i="14"/>
  <c r="E1453" i="14"/>
  <c r="D683" i="14"/>
  <c r="E682" i="14"/>
  <c r="D109" i="14"/>
  <c r="E108" i="14"/>
  <c r="D3331" i="14"/>
  <c r="E3330" i="14"/>
  <c r="D3119" i="14"/>
  <c r="E3118" i="14"/>
  <c r="D316" i="14"/>
  <c r="E315" i="14"/>
  <c r="D2044" i="14"/>
  <c r="E2043" i="14"/>
  <c r="D1028" i="14"/>
  <c r="E1027" i="14"/>
  <c r="D3544" i="14"/>
  <c r="E3543" i="14"/>
  <c r="D2906" i="14"/>
  <c r="E2905" i="14"/>
  <c r="D843" i="14"/>
  <c r="E842" i="14"/>
  <c r="D522" i="14"/>
  <c r="E521" i="14"/>
  <c r="D2739" i="14"/>
  <c r="E2738" i="14"/>
  <c r="D2226" i="14"/>
  <c r="E2225" i="14"/>
  <c r="D1648" i="14"/>
  <c r="E1647" i="14"/>
  <c r="E3845" i="14" l="1"/>
  <c r="D3846" i="14"/>
  <c r="E5001" i="14"/>
  <c r="D5002" i="14"/>
  <c r="D4508" i="14"/>
  <c r="E4507" i="14"/>
  <c r="E4787" i="14"/>
  <c r="D4788" i="14"/>
  <c r="D4079" i="14"/>
  <c r="E4078" i="14"/>
  <c r="E5181" i="14"/>
  <c r="D5182" i="14"/>
  <c r="E4293" i="14"/>
  <c r="D4294" i="14"/>
  <c r="E3966" i="14"/>
  <c r="D3967" i="14"/>
  <c r="D1649" i="14"/>
  <c r="E1648" i="14"/>
  <c r="D844" i="14"/>
  <c r="E843" i="14"/>
  <c r="D2227" i="14"/>
  <c r="E2226" i="14"/>
  <c r="D523" i="14"/>
  <c r="E522" i="14"/>
  <c r="D1029" i="14"/>
  <c r="E1028" i="14"/>
  <c r="D2045" i="14"/>
  <c r="E2044" i="14"/>
  <c r="D3120" i="14"/>
  <c r="E3119" i="14"/>
  <c r="D110" i="14"/>
  <c r="E109" i="14"/>
  <c r="D1455" i="14"/>
  <c r="E1454" i="14"/>
  <c r="D2412" i="14"/>
  <c r="E2411" i="14"/>
  <c r="D2740" i="14"/>
  <c r="E2739" i="14"/>
  <c r="D2907" i="14"/>
  <c r="E2906" i="14"/>
  <c r="D3545" i="14"/>
  <c r="E3544" i="14"/>
  <c r="D317" i="14"/>
  <c r="E316" i="14"/>
  <c r="D3332" i="14"/>
  <c r="E3331" i="14"/>
  <c r="D684" i="14"/>
  <c r="E683" i="14"/>
  <c r="D1241" i="14"/>
  <c r="E1240" i="14"/>
  <c r="D1860" i="14"/>
  <c r="E1859" i="14"/>
  <c r="D2595" i="14"/>
  <c r="E2594" i="14"/>
  <c r="E4079" i="14" l="1"/>
  <c r="D4080" i="14"/>
  <c r="E4508" i="14"/>
  <c r="D4509" i="14"/>
  <c r="D3968" i="14"/>
  <c r="E3967" i="14"/>
  <c r="E5182" i="14"/>
  <c r="D5183" i="14"/>
  <c r="E4788" i="14"/>
  <c r="D4789" i="14"/>
  <c r="E5002" i="14"/>
  <c r="D5003" i="14"/>
  <c r="D4295" i="14"/>
  <c r="E4294" i="14"/>
  <c r="E3846" i="14"/>
  <c r="D3847" i="14"/>
  <c r="D1861" i="14"/>
  <c r="E1860" i="14"/>
  <c r="D685" i="14"/>
  <c r="E684" i="14"/>
  <c r="D3546" i="14"/>
  <c r="E3545" i="14"/>
  <c r="D2741" i="14"/>
  <c r="E2740" i="14"/>
  <c r="D2413" i="14"/>
  <c r="E2412" i="14"/>
  <c r="D111" i="14"/>
  <c r="E110" i="14"/>
  <c r="E523" i="14"/>
  <c r="D524" i="14"/>
  <c r="D845" i="14"/>
  <c r="E844" i="14"/>
  <c r="D2596" i="14"/>
  <c r="E2595" i="14"/>
  <c r="D1242" i="14"/>
  <c r="E1241" i="14"/>
  <c r="D3333" i="14"/>
  <c r="E3332" i="14"/>
  <c r="D318" i="14"/>
  <c r="E317" i="14"/>
  <c r="D2908" i="14"/>
  <c r="E2907" i="14"/>
  <c r="D1456" i="14"/>
  <c r="E1455" i="14"/>
  <c r="D3121" i="14"/>
  <c r="E3120" i="14"/>
  <c r="D2046" i="14"/>
  <c r="E2045" i="14"/>
  <c r="D1030" i="14"/>
  <c r="E1029" i="14"/>
  <c r="D2228" i="14"/>
  <c r="E2227" i="14"/>
  <c r="D1650" i="14"/>
  <c r="E1649" i="14"/>
  <c r="E5003" i="14" l="1"/>
  <c r="D5004" i="14"/>
  <c r="E5183" i="14"/>
  <c r="D5184" i="14"/>
  <c r="E4789" i="14"/>
  <c r="D4790" i="14"/>
  <c r="D4081" i="14"/>
  <c r="E4080" i="14"/>
  <c r="D3848" i="14"/>
  <c r="E3847" i="14"/>
  <c r="D4510" i="14"/>
  <c r="E4509" i="14"/>
  <c r="E4295" i="14"/>
  <c r="D4296" i="14"/>
  <c r="E3968" i="14"/>
  <c r="D3969" i="14"/>
  <c r="E524" i="14"/>
  <c r="D525" i="14"/>
  <c r="D1031" i="14"/>
  <c r="E1030" i="14"/>
  <c r="D3122" i="14"/>
  <c r="E3121" i="14"/>
  <c r="D3334" i="14"/>
  <c r="E3333" i="14"/>
  <c r="D2597" i="14"/>
  <c r="E2596" i="14"/>
  <c r="D112" i="14"/>
  <c r="E111" i="14"/>
  <c r="D2742" i="14"/>
  <c r="E2741" i="14"/>
  <c r="D686" i="14"/>
  <c r="E685" i="14"/>
  <c r="D2229" i="14"/>
  <c r="E2228" i="14"/>
  <c r="D1651" i="14"/>
  <c r="E1650" i="14"/>
  <c r="D2047" i="14"/>
  <c r="E2046" i="14"/>
  <c r="D1457" i="14"/>
  <c r="E1456" i="14"/>
  <c r="D2909" i="14"/>
  <c r="E2908" i="14"/>
  <c r="D319" i="14"/>
  <c r="E318" i="14"/>
  <c r="D1243" i="14"/>
  <c r="E1242" i="14"/>
  <c r="D846" i="14"/>
  <c r="E845" i="14"/>
  <c r="D2414" i="14"/>
  <c r="E2413" i="14"/>
  <c r="D3547" i="14"/>
  <c r="E3546" i="14"/>
  <c r="D1862" i="14"/>
  <c r="E1861" i="14"/>
  <c r="E4510" i="14" l="1"/>
  <c r="D4511" i="14"/>
  <c r="E4081" i="14"/>
  <c r="D4082" i="14"/>
  <c r="D3970" i="14"/>
  <c r="E3969" i="14"/>
  <c r="E5184" i="14"/>
  <c r="D5185" i="14"/>
  <c r="D4297" i="14"/>
  <c r="E4296" i="14"/>
  <c r="E4790" i="14"/>
  <c r="D4791" i="14"/>
  <c r="E5004" i="14"/>
  <c r="D5005" i="14"/>
  <c r="E3848" i="14"/>
  <c r="D3849" i="14"/>
  <c r="D2415" i="14"/>
  <c r="E2414" i="14"/>
  <c r="D1244" i="14"/>
  <c r="E1243" i="14"/>
  <c r="D2910" i="14"/>
  <c r="E2909" i="14"/>
  <c r="D2048" i="14"/>
  <c r="E2047" i="14"/>
  <c r="D1652" i="14"/>
  <c r="E1651" i="14"/>
  <c r="D687" i="14"/>
  <c r="E686" i="14"/>
  <c r="D2743" i="14"/>
  <c r="E2742" i="14"/>
  <c r="D3335" i="14"/>
  <c r="E3334" i="14"/>
  <c r="D1032" i="14"/>
  <c r="E1031" i="14"/>
  <c r="D526" i="14"/>
  <c r="E525" i="14"/>
  <c r="D1863" i="14"/>
  <c r="E1862" i="14"/>
  <c r="D3548" i="14"/>
  <c r="E3547" i="14"/>
  <c r="D847" i="14"/>
  <c r="E846" i="14"/>
  <c r="D320" i="14"/>
  <c r="E319" i="14"/>
  <c r="D1458" i="14"/>
  <c r="E1457" i="14"/>
  <c r="D2230" i="14"/>
  <c r="E2229" i="14"/>
  <c r="D113" i="14"/>
  <c r="E112" i="14"/>
  <c r="D2598" i="14"/>
  <c r="E2597" i="14"/>
  <c r="D3123" i="14"/>
  <c r="E3122" i="14"/>
  <c r="E5005" i="14" l="1"/>
  <c r="D5006" i="14"/>
  <c r="D4512" i="14"/>
  <c r="E4511" i="14"/>
  <c r="E4297" i="14"/>
  <c r="D4298" i="14"/>
  <c r="E3970" i="14"/>
  <c r="D3971" i="14"/>
  <c r="E3971" i="14" s="1"/>
  <c r="E3849" i="14"/>
  <c r="D3850" i="14"/>
  <c r="E4791" i="14"/>
  <c r="D4792" i="14"/>
  <c r="E5185" i="14"/>
  <c r="D5186" i="14"/>
  <c r="D4083" i="14"/>
  <c r="E4082" i="14"/>
  <c r="D114" i="14"/>
  <c r="E113" i="14"/>
  <c r="D2231" i="14"/>
  <c r="E2230" i="14"/>
  <c r="D1459" i="14"/>
  <c r="E1458" i="14"/>
  <c r="D848" i="14"/>
  <c r="E847" i="14"/>
  <c r="D3549" i="14"/>
  <c r="E3548" i="14"/>
  <c r="D527" i="14"/>
  <c r="E526" i="14"/>
  <c r="D688" i="14"/>
  <c r="E687" i="14"/>
  <c r="D2049" i="14"/>
  <c r="E2048" i="14"/>
  <c r="D1245" i="14"/>
  <c r="E1244" i="14"/>
  <c r="D2416" i="14"/>
  <c r="E2415" i="14"/>
  <c r="D3124" i="14"/>
  <c r="E3123" i="14"/>
  <c r="D2599" i="14"/>
  <c r="E2598" i="14"/>
  <c r="D321" i="14"/>
  <c r="E320" i="14"/>
  <c r="D1864" i="14"/>
  <c r="E1863" i="14"/>
  <c r="D1033" i="14"/>
  <c r="E1032" i="14"/>
  <c r="D3336" i="14"/>
  <c r="E3335" i="14"/>
  <c r="D2744" i="14"/>
  <c r="E2743" i="14"/>
  <c r="D1653" i="14"/>
  <c r="E1652" i="14"/>
  <c r="D2911" i="14"/>
  <c r="E2910" i="14"/>
  <c r="E4083" i="14" l="1"/>
  <c r="D4084" i="14"/>
  <c r="E4512" i="14"/>
  <c r="D4513" i="14"/>
  <c r="E4792" i="14"/>
  <c r="D4793" i="14"/>
  <c r="E5186" i="14"/>
  <c r="D5187" i="14"/>
  <c r="E3850" i="14"/>
  <c r="D3851" i="14"/>
  <c r="D4299" i="14"/>
  <c r="E4298" i="14"/>
  <c r="E5006" i="14"/>
  <c r="D5007" i="14"/>
  <c r="D1654" i="14"/>
  <c r="E1653" i="14"/>
  <c r="D3337" i="14"/>
  <c r="E3336" i="14"/>
  <c r="D1865" i="14"/>
  <c r="E1864" i="14"/>
  <c r="D322" i="14"/>
  <c r="E321" i="14"/>
  <c r="D3125" i="14"/>
  <c r="E3124" i="14"/>
  <c r="D1246" i="14"/>
  <c r="E1245" i="14"/>
  <c r="D689" i="14"/>
  <c r="E688" i="14"/>
  <c r="D3550" i="14"/>
  <c r="E3549" i="14"/>
  <c r="D1460" i="14"/>
  <c r="E1459" i="14"/>
  <c r="D115" i="14"/>
  <c r="E114" i="14"/>
  <c r="D2912" i="14"/>
  <c r="E2911" i="14"/>
  <c r="D2745" i="14"/>
  <c r="E2744" i="14"/>
  <c r="D1034" i="14"/>
  <c r="E1033" i="14"/>
  <c r="D2600" i="14"/>
  <c r="E2599" i="14"/>
  <c r="D2417" i="14"/>
  <c r="E2416" i="14"/>
  <c r="D2050" i="14"/>
  <c r="E2049" i="14"/>
  <c r="D528" i="14"/>
  <c r="E527" i="14"/>
  <c r="D849" i="14"/>
  <c r="E848" i="14"/>
  <c r="D2232" i="14"/>
  <c r="E2231" i="14"/>
  <c r="E5007" i="14" l="1"/>
  <c r="D5008" i="14"/>
  <c r="D3852" i="14"/>
  <c r="E3851" i="14"/>
  <c r="E4793" i="14"/>
  <c r="D4794" i="14"/>
  <c r="D4085" i="14"/>
  <c r="E4084" i="14"/>
  <c r="E5187" i="14"/>
  <c r="D5188" i="14"/>
  <c r="D4514" i="14"/>
  <c r="E4513" i="14"/>
  <c r="E4299" i="14"/>
  <c r="D4300" i="14"/>
  <c r="D2233" i="14"/>
  <c r="E2232" i="14"/>
  <c r="D850" i="14"/>
  <c r="E849" i="14"/>
  <c r="D2418" i="14"/>
  <c r="E2417" i="14"/>
  <c r="D1035" i="14"/>
  <c r="E1034" i="14"/>
  <c r="D2913" i="14"/>
  <c r="E2912" i="14"/>
  <c r="D1461" i="14"/>
  <c r="E1460" i="14"/>
  <c r="D1247" i="14"/>
  <c r="E1246" i="14"/>
  <c r="D1866" i="14"/>
  <c r="E1865" i="14"/>
  <c r="D1655" i="14"/>
  <c r="E1654" i="14"/>
  <c r="D529" i="14"/>
  <c r="E528" i="14"/>
  <c r="D2051" i="14"/>
  <c r="E2050" i="14"/>
  <c r="D2601" i="14"/>
  <c r="E2600" i="14"/>
  <c r="D2746" i="14"/>
  <c r="E2745" i="14"/>
  <c r="D116" i="14"/>
  <c r="E115" i="14"/>
  <c r="D3551" i="14"/>
  <c r="E3550" i="14"/>
  <c r="D690" i="14"/>
  <c r="E689" i="14"/>
  <c r="D3126" i="14"/>
  <c r="E3125" i="14"/>
  <c r="D323" i="14"/>
  <c r="E322" i="14"/>
  <c r="D3338" i="14"/>
  <c r="E3337" i="14"/>
  <c r="E4514" i="14" l="1"/>
  <c r="D4515" i="14"/>
  <c r="E3852" i="14"/>
  <c r="D3853" i="14"/>
  <c r="E4085" i="14"/>
  <c r="D4086" i="14"/>
  <c r="D4301" i="14"/>
  <c r="E4300" i="14"/>
  <c r="E5188" i="14"/>
  <c r="D5189" i="14"/>
  <c r="E4794" i="14"/>
  <c r="D4795" i="14"/>
  <c r="E5008" i="14"/>
  <c r="D5009" i="14"/>
  <c r="D324" i="14"/>
  <c r="E323" i="14"/>
  <c r="D691" i="14"/>
  <c r="E690" i="14"/>
  <c r="D117" i="14"/>
  <c r="E116" i="14"/>
  <c r="D2052" i="14"/>
  <c r="E2051" i="14"/>
  <c r="D1656" i="14"/>
  <c r="E1655" i="14"/>
  <c r="D2914" i="14"/>
  <c r="E2913" i="14"/>
  <c r="D3339" i="14"/>
  <c r="E3338" i="14"/>
  <c r="D3127" i="14"/>
  <c r="E3126" i="14"/>
  <c r="D3552" i="14"/>
  <c r="E3551" i="14"/>
  <c r="D2747" i="14"/>
  <c r="E2746" i="14"/>
  <c r="D2602" i="14"/>
  <c r="E2601" i="14"/>
  <c r="D530" i="14"/>
  <c r="E529" i="14"/>
  <c r="D1867" i="14"/>
  <c r="E1866" i="14"/>
  <c r="D1248" i="14"/>
  <c r="E1247" i="14"/>
  <c r="D1462" i="14"/>
  <c r="E1461" i="14"/>
  <c r="D1036" i="14"/>
  <c r="E1035" i="14"/>
  <c r="D2419" i="14"/>
  <c r="E2418" i="14"/>
  <c r="D851" i="14"/>
  <c r="E850" i="14"/>
  <c r="D2234" i="14"/>
  <c r="E2233" i="14"/>
  <c r="E3853" i="14" l="1"/>
  <c r="D3854" i="14"/>
  <c r="E4301" i="14"/>
  <c r="D4302" i="14"/>
  <c r="E5009" i="14"/>
  <c r="D5010" i="14"/>
  <c r="E5189" i="14"/>
  <c r="D5190" i="14"/>
  <c r="D4087" i="14"/>
  <c r="E4086" i="14"/>
  <c r="D4516" i="14"/>
  <c r="E4515" i="14"/>
  <c r="E4795" i="14"/>
  <c r="D4796" i="14"/>
  <c r="D2235" i="14"/>
  <c r="E2234" i="14"/>
  <c r="D2420" i="14"/>
  <c r="E2419" i="14"/>
  <c r="D1463" i="14"/>
  <c r="E1462" i="14"/>
  <c r="D1868" i="14"/>
  <c r="E1867" i="14"/>
  <c r="D2603" i="14"/>
  <c r="E2602" i="14"/>
  <c r="D3553" i="14"/>
  <c r="E3552" i="14"/>
  <c r="D3340" i="14"/>
  <c r="E3339" i="14"/>
  <c r="D2915" i="14"/>
  <c r="E2914" i="14"/>
  <c r="D2053" i="14"/>
  <c r="E2052" i="14"/>
  <c r="D118" i="14"/>
  <c r="E117" i="14"/>
  <c r="D325" i="14"/>
  <c r="E324" i="14"/>
  <c r="D852" i="14"/>
  <c r="E851" i="14"/>
  <c r="D1037" i="14"/>
  <c r="E1036" i="14"/>
  <c r="D1249" i="14"/>
  <c r="E1248" i="14"/>
  <c r="D531" i="14"/>
  <c r="E530" i="14"/>
  <c r="D2748" i="14"/>
  <c r="E2747" i="14"/>
  <c r="D3128" i="14"/>
  <c r="E3127" i="14"/>
  <c r="D1657" i="14"/>
  <c r="E1656" i="14"/>
  <c r="D692" i="14"/>
  <c r="E691" i="14"/>
  <c r="E5010" i="14" l="1"/>
  <c r="D5011" i="14"/>
  <c r="E3854" i="14"/>
  <c r="D3855" i="14"/>
  <c r="E4087" i="14"/>
  <c r="D4088" i="14"/>
  <c r="E5190" i="14"/>
  <c r="D5191" i="14"/>
  <c r="D4303" i="14"/>
  <c r="E4302" i="14"/>
  <c r="E4516" i="14"/>
  <c r="D4517" i="14"/>
  <c r="E4796" i="14"/>
  <c r="D4797" i="14"/>
  <c r="D2749" i="14"/>
  <c r="E2748" i="14"/>
  <c r="D1250" i="14"/>
  <c r="E1249" i="14"/>
  <c r="D853" i="14"/>
  <c r="E852" i="14"/>
  <c r="D119" i="14"/>
  <c r="E118" i="14"/>
  <c r="D3554" i="14"/>
  <c r="E3553" i="14"/>
  <c r="D1869" i="14"/>
  <c r="E1868" i="14"/>
  <c r="D2421" i="14"/>
  <c r="E2420" i="14"/>
  <c r="D693" i="14"/>
  <c r="E692" i="14"/>
  <c r="D1658" i="14"/>
  <c r="E1657" i="14"/>
  <c r="D3129" i="14"/>
  <c r="E3128" i="14"/>
  <c r="D532" i="14"/>
  <c r="E531" i="14"/>
  <c r="D1038" i="14"/>
  <c r="E1037" i="14"/>
  <c r="D326" i="14"/>
  <c r="E325" i="14"/>
  <c r="D2054" i="14"/>
  <c r="E2053" i="14"/>
  <c r="D2916" i="14"/>
  <c r="E2915" i="14"/>
  <c r="D3341" i="14"/>
  <c r="E3340" i="14"/>
  <c r="D2604" i="14"/>
  <c r="E2603" i="14"/>
  <c r="D1464" i="14"/>
  <c r="E1463" i="14"/>
  <c r="D2236" i="14"/>
  <c r="E2235" i="14"/>
  <c r="D3856" i="14" l="1"/>
  <c r="E3855" i="14"/>
  <c r="E5191" i="14"/>
  <c r="D5192" i="14"/>
  <c r="E4797" i="14"/>
  <c r="D4798" i="14"/>
  <c r="D4089" i="14"/>
  <c r="E4088" i="14"/>
  <c r="E5011" i="14"/>
  <c r="D5012" i="14"/>
  <c r="D4518" i="14"/>
  <c r="E4517" i="14"/>
  <c r="E4303" i="14"/>
  <c r="D4304" i="14"/>
  <c r="D2237" i="14"/>
  <c r="E2236" i="14"/>
  <c r="D2605" i="14"/>
  <c r="E2604" i="14"/>
  <c r="D2917" i="14"/>
  <c r="E2916" i="14"/>
  <c r="D327" i="14"/>
  <c r="E326" i="14"/>
  <c r="D533" i="14"/>
  <c r="E532" i="14"/>
  <c r="D694" i="14"/>
  <c r="E693" i="14"/>
  <c r="D1870" i="14"/>
  <c r="E1869" i="14"/>
  <c r="D120" i="14"/>
  <c r="E119" i="14"/>
  <c r="D1251" i="14"/>
  <c r="E1250" i="14"/>
  <c r="D1465" i="14"/>
  <c r="E1464" i="14"/>
  <c r="D3342" i="14"/>
  <c r="E3341" i="14"/>
  <c r="D2055" i="14"/>
  <c r="E2054" i="14"/>
  <c r="D1039" i="14"/>
  <c r="E1038" i="14"/>
  <c r="D3130" i="14"/>
  <c r="E3129" i="14"/>
  <c r="D1659" i="14"/>
  <c r="E1658" i="14"/>
  <c r="D2422" i="14"/>
  <c r="E2421" i="14"/>
  <c r="D3555" i="14"/>
  <c r="E3554" i="14"/>
  <c r="D854" i="14"/>
  <c r="E853" i="14"/>
  <c r="D2750" i="14"/>
  <c r="E2749" i="14"/>
  <c r="E5012" i="14" l="1"/>
  <c r="D5013" i="14"/>
  <c r="E5192" i="14"/>
  <c r="D5193" i="14"/>
  <c r="E4518" i="14"/>
  <c r="D4519" i="14"/>
  <c r="E4089" i="14"/>
  <c r="D4090" i="14"/>
  <c r="D4305" i="14"/>
  <c r="E4304" i="14"/>
  <c r="E4798" i="14"/>
  <c r="D4799" i="14"/>
  <c r="E3856" i="14"/>
  <c r="D3857" i="14"/>
  <c r="D2751" i="14"/>
  <c r="E2750" i="14"/>
  <c r="D2423" i="14"/>
  <c r="E2422" i="14"/>
  <c r="D3131" i="14"/>
  <c r="E3130" i="14"/>
  <c r="D2056" i="14"/>
  <c r="E2055" i="14"/>
  <c r="D1466" i="14"/>
  <c r="E1465" i="14"/>
  <c r="D121" i="14"/>
  <c r="E120" i="14"/>
  <c r="D1871" i="14"/>
  <c r="E1870" i="14"/>
  <c r="D328" i="14"/>
  <c r="E327" i="14"/>
  <c r="D2606" i="14"/>
  <c r="E2605" i="14"/>
  <c r="D855" i="14"/>
  <c r="E854" i="14"/>
  <c r="D3556" i="14"/>
  <c r="E3555" i="14"/>
  <c r="D1660" i="14"/>
  <c r="E1659" i="14"/>
  <c r="D1040" i="14"/>
  <c r="E1039" i="14"/>
  <c r="D3343" i="14"/>
  <c r="E3342" i="14"/>
  <c r="D1252" i="14"/>
  <c r="E1251" i="14"/>
  <c r="D695" i="14"/>
  <c r="E694" i="14"/>
  <c r="D534" i="14"/>
  <c r="E533" i="14"/>
  <c r="D2918" i="14"/>
  <c r="E2917" i="14"/>
  <c r="D2238" i="14"/>
  <c r="E2237" i="14"/>
  <c r="E5193" i="14" l="1"/>
  <c r="D5194" i="14"/>
  <c r="E4799" i="14"/>
  <c r="D4800" i="14"/>
  <c r="E3857" i="14"/>
  <c r="D3858" i="14"/>
  <c r="E3858" i="14" s="1"/>
  <c r="D4520" i="14"/>
  <c r="E4519" i="14"/>
  <c r="E5013" i="14"/>
  <c r="D5014" i="14"/>
  <c r="D4091" i="14"/>
  <c r="E4090" i="14"/>
  <c r="E4305" i="14"/>
  <c r="D4306" i="14"/>
  <c r="D2239" i="14"/>
  <c r="E2238" i="14"/>
  <c r="D535" i="14"/>
  <c r="E534" i="14"/>
  <c r="D1041" i="14"/>
  <c r="E1040" i="14"/>
  <c r="D3557" i="14"/>
  <c r="E3556" i="14"/>
  <c r="D329" i="14"/>
  <c r="E328" i="14"/>
  <c r="D1872" i="14"/>
  <c r="E1871" i="14"/>
  <c r="D2057" i="14"/>
  <c r="E2056" i="14"/>
  <c r="D2424" i="14"/>
  <c r="E2423" i="14"/>
  <c r="D2752" i="14"/>
  <c r="E2751" i="14"/>
  <c r="D2919" i="14"/>
  <c r="E2918" i="14"/>
  <c r="D696" i="14"/>
  <c r="E695" i="14"/>
  <c r="D1253" i="14"/>
  <c r="E1252" i="14"/>
  <c r="D3344" i="14"/>
  <c r="E3343" i="14"/>
  <c r="D1661" i="14"/>
  <c r="E1660" i="14"/>
  <c r="D856" i="14"/>
  <c r="E855" i="14"/>
  <c r="D2607" i="14"/>
  <c r="E2606" i="14"/>
  <c r="D122" i="14"/>
  <c r="E121" i="14"/>
  <c r="D1467" i="14"/>
  <c r="E1466" i="14"/>
  <c r="D3132" i="14"/>
  <c r="E3131" i="14"/>
  <c r="D4307" i="14" l="1"/>
  <c r="E4306" i="14"/>
  <c r="E5014" i="14"/>
  <c r="D5015" i="14"/>
  <c r="E5194" i="14"/>
  <c r="D5195" i="14"/>
  <c r="E4800" i="14"/>
  <c r="D4801" i="14"/>
  <c r="E4091" i="14"/>
  <c r="D4092" i="14"/>
  <c r="E4520" i="14"/>
  <c r="D4521" i="14"/>
  <c r="D3133" i="14"/>
  <c r="E3132" i="14"/>
  <c r="D123" i="14"/>
  <c r="E122" i="14"/>
  <c r="D2608" i="14"/>
  <c r="E2607" i="14"/>
  <c r="D1662" i="14"/>
  <c r="E1661" i="14"/>
  <c r="D1254" i="14"/>
  <c r="E1253" i="14"/>
  <c r="D2920" i="14"/>
  <c r="E2919" i="14"/>
  <c r="D2425" i="14"/>
  <c r="E2424" i="14"/>
  <c r="D330" i="14"/>
  <c r="E329" i="14"/>
  <c r="D3558" i="14"/>
  <c r="E3557" i="14"/>
  <c r="D536" i="14"/>
  <c r="E535" i="14"/>
  <c r="D1468" i="14"/>
  <c r="E1467" i="14"/>
  <c r="D857" i="14"/>
  <c r="E856" i="14"/>
  <c r="D3345" i="14"/>
  <c r="E3344" i="14"/>
  <c r="D697" i="14"/>
  <c r="E696" i="14"/>
  <c r="D2753" i="14"/>
  <c r="E2752" i="14"/>
  <c r="D2058" i="14"/>
  <c r="E2057" i="14"/>
  <c r="D1873" i="14"/>
  <c r="E1872" i="14"/>
  <c r="D1042" i="14"/>
  <c r="E1041" i="14"/>
  <c r="D2240" i="14"/>
  <c r="E2239" i="14"/>
  <c r="D4093" i="14" l="1"/>
  <c r="E4092" i="14"/>
  <c r="E5195" i="14"/>
  <c r="D5196" i="14"/>
  <c r="E4307" i="14"/>
  <c r="D4308" i="14"/>
  <c r="D4522" i="14"/>
  <c r="E4521" i="14"/>
  <c r="E4801" i="14"/>
  <c r="D4802" i="14"/>
  <c r="E5015" i="14"/>
  <c r="D5016" i="14"/>
  <c r="D2241" i="14"/>
  <c r="E2240" i="14"/>
  <c r="D1043" i="14"/>
  <c r="E1042" i="14"/>
  <c r="D1874" i="14"/>
  <c r="E1873" i="14"/>
  <c r="D2754" i="14"/>
  <c r="E2753" i="14"/>
  <c r="D3346" i="14"/>
  <c r="E3345" i="14"/>
  <c r="D331" i="14"/>
  <c r="E330" i="14"/>
  <c r="D2426" i="14"/>
  <c r="E2425" i="14"/>
  <c r="D1255" i="14"/>
  <c r="E1254" i="14"/>
  <c r="D2609" i="14"/>
  <c r="E2608" i="14"/>
  <c r="D3134" i="14"/>
  <c r="E3133" i="14"/>
  <c r="D2059" i="14"/>
  <c r="E2058" i="14"/>
  <c r="D698" i="14"/>
  <c r="E697" i="14"/>
  <c r="D858" i="14"/>
  <c r="E857" i="14"/>
  <c r="D1469" i="14"/>
  <c r="E1468" i="14"/>
  <c r="D537" i="14"/>
  <c r="E536" i="14"/>
  <c r="D3559" i="14"/>
  <c r="E3558" i="14"/>
  <c r="D2921" i="14"/>
  <c r="E2920" i="14"/>
  <c r="D1663" i="14"/>
  <c r="E1662" i="14"/>
  <c r="D124" i="14"/>
  <c r="E123" i="14"/>
  <c r="E5016" i="14" l="1"/>
  <c r="D5017" i="14"/>
  <c r="E5196" i="14"/>
  <c r="D5197" i="14"/>
  <c r="E4522" i="14"/>
  <c r="D4523" i="14"/>
  <c r="D4803" i="14"/>
  <c r="E4802" i="14"/>
  <c r="D4309" i="14"/>
  <c r="E4308" i="14"/>
  <c r="E4093" i="14"/>
  <c r="D4094" i="14"/>
  <c r="D125" i="14"/>
  <c r="E124" i="14"/>
  <c r="D2922" i="14"/>
  <c r="E2921" i="14"/>
  <c r="D3560" i="14"/>
  <c r="E3559" i="14"/>
  <c r="D1470" i="14"/>
  <c r="E1469" i="14"/>
  <c r="D699" i="14"/>
  <c r="E698" i="14"/>
  <c r="D2610" i="14"/>
  <c r="E2609" i="14"/>
  <c r="D2427" i="14"/>
  <c r="E2426" i="14"/>
  <c r="D2755" i="14"/>
  <c r="E2754" i="14"/>
  <c r="D1044" i="14"/>
  <c r="E1043" i="14"/>
  <c r="D1664" i="14"/>
  <c r="E1663" i="14"/>
  <c r="D538" i="14"/>
  <c r="E537" i="14"/>
  <c r="D859" i="14"/>
  <c r="E858" i="14"/>
  <c r="D2060" i="14"/>
  <c r="E2059" i="14"/>
  <c r="D3135" i="14"/>
  <c r="E3134" i="14"/>
  <c r="D1256" i="14"/>
  <c r="E1255" i="14"/>
  <c r="D332" i="14"/>
  <c r="E331" i="14"/>
  <c r="D3347" i="14"/>
  <c r="E3346" i="14"/>
  <c r="D1875" i="14"/>
  <c r="E1874" i="14"/>
  <c r="D2242" i="14"/>
  <c r="E2241" i="14"/>
  <c r="D4524" i="14" l="1"/>
  <c r="E4523" i="14"/>
  <c r="E5017" i="14"/>
  <c r="D5018" i="14"/>
  <c r="E4309" i="14"/>
  <c r="D4310" i="14"/>
  <c r="D4095" i="14"/>
  <c r="E4094" i="14"/>
  <c r="E5197" i="14"/>
  <c r="D5198" i="14"/>
  <c r="E4803" i="14"/>
  <c r="D4804" i="14"/>
  <c r="D1876" i="14"/>
  <c r="E1875" i="14"/>
  <c r="D1257" i="14"/>
  <c r="E1256" i="14"/>
  <c r="D2061" i="14"/>
  <c r="E2060" i="14"/>
  <c r="D539" i="14"/>
  <c r="E538" i="14"/>
  <c r="D1665" i="14"/>
  <c r="E1664" i="14"/>
  <c r="D1045" i="14"/>
  <c r="E1044" i="14"/>
  <c r="D2428" i="14"/>
  <c r="E2427" i="14"/>
  <c r="D1471" i="14"/>
  <c r="E1470" i="14"/>
  <c r="D2923" i="14"/>
  <c r="E2922" i="14"/>
  <c r="D2243" i="14"/>
  <c r="E2242" i="14"/>
  <c r="D3348" i="14"/>
  <c r="E3347" i="14"/>
  <c r="D333" i="14"/>
  <c r="E332" i="14"/>
  <c r="D3136" i="14"/>
  <c r="E3135" i="14"/>
  <c r="D860" i="14"/>
  <c r="E859" i="14"/>
  <c r="D2756" i="14"/>
  <c r="E2755" i="14"/>
  <c r="D2611" i="14"/>
  <c r="E2610" i="14"/>
  <c r="D700" i="14"/>
  <c r="E699" i="14"/>
  <c r="D3561" i="14"/>
  <c r="E3560" i="14"/>
  <c r="D126" i="14"/>
  <c r="E125" i="14"/>
  <c r="D4311" i="14" l="1"/>
  <c r="E4310" i="14"/>
  <c r="E4524" i="14"/>
  <c r="D4525" i="14"/>
  <c r="E4804" i="14"/>
  <c r="D4805" i="14"/>
  <c r="E5018" i="14"/>
  <c r="D5019" i="14"/>
  <c r="E4095" i="14"/>
  <c r="D4096" i="14"/>
  <c r="E5198" i="14"/>
  <c r="D5199" i="14"/>
  <c r="D3562" i="14"/>
  <c r="E3561" i="14"/>
  <c r="D2612" i="14"/>
  <c r="E2611" i="14"/>
  <c r="D2757" i="14"/>
  <c r="E2756" i="14"/>
  <c r="D3137" i="14"/>
  <c r="E3136" i="14"/>
  <c r="D3349" i="14"/>
  <c r="E3348" i="14"/>
  <c r="D2924" i="14"/>
  <c r="E2923" i="14"/>
  <c r="D1666" i="14"/>
  <c r="E1665" i="14"/>
  <c r="D2062" i="14"/>
  <c r="E2061" i="14"/>
  <c r="D127" i="14"/>
  <c r="E126" i="14"/>
  <c r="D701" i="14"/>
  <c r="E700" i="14"/>
  <c r="D861" i="14"/>
  <c r="E860" i="14"/>
  <c r="D334" i="14"/>
  <c r="E333" i="14"/>
  <c r="D2244" i="14"/>
  <c r="E2243" i="14"/>
  <c r="D1472" i="14"/>
  <c r="E1471" i="14"/>
  <c r="D2429" i="14"/>
  <c r="E2428" i="14"/>
  <c r="D1046" i="14"/>
  <c r="E1045" i="14"/>
  <c r="D540" i="14"/>
  <c r="E539" i="14"/>
  <c r="D1258" i="14"/>
  <c r="E1257" i="14"/>
  <c r="D1877" i="14"/>
  <c r="E1876" i="14"/>
  <c r="D4526" i="14" l="1"/>
  <c r="E4525" i="14"/>
  <c r="E5019" i="14"/>
  <c r="D5020" i="14"/>
  <c r="D4097" i="14"/>
  <c r="E4096" i="14"/>
  <c r="E4805" i="14"/>
  <c r="D4806" i="14"/>
  <c r="E5199" i="14"/>
  <c r="D5200" i="14"/>
  <c r="E4311" i="14"/>
  <c r="D4312" i="14"/>
  <c r="D1259" i="14"/>
  <c r="E1258" i="14"/>
  <c r="D1047" i="14"/>
  <c r="E1046" i="14"/>
  <c r="D1473" i="14"/>
  <c r="E1472" i="14"/>
  <c r="D335" i="14"/>
  <c r="E334" i="14"/>
  <c r="D702" i="14"/>
  <c r="E701" i="14"/>
  <c r="D1667" i="14"/>
  <c r="E1666" i="14"/>
  <c r="D3350" i="14"/>
  <c r="E3349" i="14"/>
  <c r="D2613" i="14"/>
  <c r="E2612" i="14"/>
  <c r="D1878" i="14"/>
  <c r="E1877" i="14"/>
  <c r="D541" i="14"/>
  <c r="E540" i="14"/>
  <c r="D2430" i="14"/>
  <c r="E2429" i="14"/>
  <c r="D2245" i="14"/>
  <c r="E2244" i="14"/>
  <c r="D862" i="14"/>
  <c r="E861" i="14"/>
  <c r="D128" i="14"/>
  <c r="E127" i="14"/>
  <c r="D2063" i="14"/>
  <c r="E2062" i="14"/>
  <c r="D2925" i="14"/>
  <c r="E2924" i="14"/>
  <c r="D3138" i="14"/>
  <c r="E3137" i="14"/>
  <c r="D2758" i="14"/>
  <c r="E2757" i="14"/>
  <c r="D3563" i="14"/>
  <c r="E3562" i="14"/>
  <c r="E5200" i="14" l="1"/>
  <c r="D5201" i="14"/>
  <c r="E4097" i="14"/>
  <c r="D4098" i="14"/>
  <c r="E4526" i="14"/>
  <c r="D4527" i="14"/>
  <c r="D4313" i="14"/>
  <c r="E4312" i="14"/>
  <c r="E4806" i="14"/>
  <c r="D4807" i="14"/>
  <c r="E5020" i="14"/>
  <c r="D5021" i="14"/>
  <c r="D2759" i="14"/>
  <c r="E2758" i="14"/>
  <c r="D2926" i="14"/>
  <c r="E2925" i="14"/>
  <c r="D2064" i="14"/>
  <c r="E2063" i="14"/>
  <c r="D2246" i="14"/>
  <c r="E2245" i="14"/>
  <c r="D542" i="14"/>
  <c r="E541" i="14"/>
  <c r="D2614" i="14"/>
  <c r="E2613" i="14"/>
  <c r="D3351" i="14"/>
  <c r="E3350" i="14"/>
  <c r="D1668" i="14"/>
  <c r="E1667" i="14"/>
  <c r="D703" i="14"/>
  <c r="E702" i="14"/>
  <c r="D336" i="14"/>
  <c r="E335" i="14"/>
  <c r="D1048" i="14"/>
  <c r="E1047" i="14"/>
  <c r="D3564" i="14"/>
  <c r="E3563" i="14"/>
  <c r="D3139" i="14"/>
  <c r="E3138" i="14"/>
  <c r="D129" i="14"/>
  <c r="E128" i="14"/>
  <c r="D863" i="14"/>
  <c r="E862" i="14"/>
  <c r="D2431" i="14"/>
  <c r="E2430" i="14"/>
  <c r="D1879" i="14"/>
  <c r="E1878" i="14"/>
  <c r="D1474" i="14"/>
  <c r="E1473" i="14"/>
  <c r="D1260" i="14"/>
  <c r="E1259" i="14"/>
  <c r="E4807" i="14" l="1"/>
  <c r="D4808" i="14"/>
  <c r="D4528" i="14"/>
  <c r="E4527" i="14"/>
  <c r="E5021" i="14"/>
  <c r="D5022" i="14"/>
  <c r="D4099" i="14"/>
  <c r="E4098" i="14"/>
  <c r="E4313" i="14"/>
  <c r="D4314" i="14"/>
  <c r="E5201" i="14"/>
  <c r="D5202" i="14"/>
  <c r="D1475" i="14"/>
  <c r="E1474" i="14"/>
  <c r="D2432" i="14"/>
  <c r="E2431" i="14"/>
  <c r="D130" i="14"/>
  <c r="E129" i="14"/>
  <c r="D3140" i="14"/>
  <c r="E3139" i="14"/>
  <c r="D1049" i="14"/>
  <c r="E1048" i="14"/>
  <c r="D704" i="14"/>
  <c r="E703" i="14"/>
  <c r="D3352" i="14"/>
  <c r="E3351" i="14"/>
  <c r="D543" i="14"/>
  <c r="E542" i="14"/>
  <c r="D2927" i="14"/>
  <c r="E2926" i="14"/>
  <c r="D1261" i="14"/>
  <c r="E1260" i="14"/>
  <c r="D1880" i="14"/>
  <c r="E1879" i="14"/>
  <c r="D864" i="14"/>
  <c r="E863" i="14"/>
  <c r="D3565" i="14"/>
  <c r="E3564" i="14"/>
  <c r="D337" i="14"/>
  <c r="E336" i="14"/>
  <c r="D1669" i="14"/>
  <c r="E1668" i="14"/>
  <c r="D2615" i="14"/>
  <c r="E2614" i="14"/>
  <c r="D2247" i="14"/>
  <c r="E2246" i="14"/>
  <c r="D2065" i="14"/>
  <c r="E2064" i="14"/>
  <c r="D2760" i="14"/>
  <c r="E2759" i="14"/>
  <c r="E4099" i="14" l="1"/>
  <c r="D4100" i="14"/>
  <c r="E4528" i="14"/>
  <c r="D4529" i="14"/>
  <c r="D4315" i="14"/>
  <c r="E4314" i="14"/>
  <c r="E5022" i="14"/>
  <c r="D5023" i="14"/>
  <c r="E4808" i="14"/>
  <c r="D4809" i="14"/>
  <c r="E5202" i="14"/>
  <c r="D5203" i="14"/>
  <c r="D2066" i="14"/>
  <c r="E2065" i="14"/>
  <c r="D2616" i="14"/>
  <c r="E2615" i="14"/>
  <c r="D338" i="14"/>
  <c r="E337" i="14"/>
  <c r="D1881" i="14"/>
  <c r="E1880" i="14"/>
  <c r="D2928" i="14"/>
  <c r="E2927" i="14"/>
  <c r="D544" i="14"/>
  <c r="E543" i="14"/>
  <c r="D705" i="14"/>
  <c r="E704" i="14"/>
  <c r="D3141" i="14"/>
  <c r="E3140" i="14"/>
  <c r="D2433" i="14"/>
  <c r="E2432" i="14"/>
  <c r="D2761" i="14"/>
  <c r="E2760" i="14"/>
  <c r="D2248" i="14"/>
  <c r="E2247" i="14"/>
  <c r="D1670" i="14"/>
  <c r="E1669" i="14"/>
  <c r="D3566" i="14"/>
  <c r="E3565" i="14"/>
  <c r="D865" i="14"/>
  <c r="E864" i="14"/>
  <c r="D1262" i="14"/>
  <c r="E1261" i="14"/>
  <c r="D3353" i="14"/>
  <c r="E3352" i="14"/>
  <c r="D1050" i="14"/>
  <c r="E1049" i="14"/>
  <c r="D131" i="14"/>
  <c r="E130" i="14"/>
  <c r="D1476" i="14"/>
  <c r="E1475" i="14"/>
  <c r="E4809" i="14" l="1"/>
  <c r="D4810" i="14"/>
  <c r="D4101" i="14"/>
  <c r="E4100" i="14"/>
  <c r="E4315" i="14"/>
  <c r="D4316" i="14"/>
  <c r="E5203" i="14"/>
  <c r="D5204" i="14"/>
  <c r="E5023" i="14"/>
  <c r="D5024" i="14"/>
  <c r="D4530" i="14"/>
  <c r="E4529" i="14"/>
  <c r="D1051" i="14"/>
  <c r="E1050" i="14"/>
  <c r="D3567" i="14"/>
  <c r="E3566" i="14"/>
  <c r="D2249" i="14"/>
  <c r="E2248" i="14"/>
  <c r="D3142" i="14"/>
  <c r="E3141" i="14"/>
  <c r="D545" i="14"/>
  <c r="E544" i="14"/>
  <c r="D2617" i="14"/>
  <c r="E2616" i="14"/>
  <c r="D1477" i="14"/>
  <c r="E1476" i="14"/>
  <c r="D132" i="14"/>
  <c r="E131" i="14"/>
  <c r="D3354" i="14"/>
  <c r="E3353" i="14"/>
  <c r="D1263" i="14"/>
  <c r="E1262" i="14"/>
  <c r="D866" i="14"/>
  <c r="E865" i="14"/>
  <c r="D1671" i="14"/>
  <c r="E1670" i="14"/>
  <c r="D2762" i="14"/>
  <c r="E2761" i="14"/>
  <c r="D2434" i="14"/>
  <c r="E2433" i="14"/>
  <c r="D706" i="14"/>
  <c r="E705" i="14"/>
  <c r="D2929" i="14"/>
  <c r="E2928" i="14"/>
  <c r="D1882" i="14"/>
  <c r="E1881" i="14"/>
  <c r="D339" i="14"/>
  <c r="E338" i="14"/>
  <c r="D2067" i="14"/>
  <c r="E2066" i="14"/>
  <c r="E5024" i="14" l="1"/>
  <c r="D5025" i="14"/>
  <c r="D4317" i="14"/>
  <c r="E4316" i="14"/>
  <c r="D4811" i="14"/>
  <c r="E4810" i="14"/>
  <c r="E5204" i="14"/>
  <c r="D5205" i="14"/>
  <c r="E4530" i="14"/>
  <c r="D4531" i="14"/>
  <c r="E4101" i="14"/>
  <c r="D4102" i="14"/>
  <c r="D340" i="14"/>
  <c r="E339" i="14"/>
  <c r="D2930" i="14"/>
  <c r="E2929" i="14"/>
  <c r="D2435" i="14"/>
  <c r="E2434" i="14"/>
  <c r="D1672" i="14"/>
  <c r="E1671" i="14"/>
  <c r="D1264" i="14"/>
  <c r="E1263" i="14"/>
  <c r="D133" i="14"/>
  <c r="E132" i="14"/>
  <c r="D2618" i="14"/>
  <c r="E2617" i="14"/>
  <c r="D3143" i="14"/>
  <c r="E3142" i="14"/>
  <c r="D2250" i="14"/>
  <c r="E2249" i="14"/>
  <c r="D1052" i="14"/>
  <c r="E1051" i="14"/>
  <c r="D2068" i="14"/>
  <c r="E2067" i="14"/>
  <c r="D1883" i="14"/>
  <c r="E1882" i="14"/>
  <c r="D707" i="14"/>
  <c r="E706" i="14"/>
  <c r="D2763" i="14"/>
  <c r="E2762" i="14"/>
  <c r="D867" i="14"/>
  <c r="E866" i="14"/>
  <c r="D3355" i="14"/>
  <c r="E3354" i="14"/>
  <c r="D1478" i="14"/>
  <c r="E1477" i="14"/>
  <c r="D546" i="14"/>
  <c r="E545" i="14"/>
  <c r="D3568" i="14"/>
  <c r="E3567" i="14"/>
  <c r="D4532" i="14" l="1"/>
  <c r="E4531" i="14"/>
  <c r="E4811" i="14"/>
  <c r="D4812" i="14"/>
  <c r="D4103" i="14"/>
  <c r="E4102" i="14"/>
  <c r="E5205" i="14"/>
  <c r="D5206" i="14"/>
  <c r="E4317" i="14"/>
  <c r="D4318" i="14"/>
  <c r="E5025" i="14"/>
  <c r="D5026" i="14"/>
  <c r="D3356" i="14"/>
  <c r="E3355" i="14"/>
  <c r="D2764" i="14"/>
  <c r="E2763" i="14"/>
  <c r="D1884" i="14"/>
  <c r="E1883" i="14"/>
  <c r="D1053" i="14"/>
  <c r="E1052" i="14"/>
  <c r="D2251" i="14"/>
  <c r="E2250" i="14"/>
  <c r="D134" i="14"/>
  <c r="E133" i="14"/>
  <c r="D1673" i="14"/>
  <c r="E1672" i="14"/>
  <c r="D2931" i="14"/>
  <c r="E2930" i="14"/>
  <c r="D3569" i="14"/>
  <c r="E3568" i="14"/>
  <c r="D547" i="14"/>
  <c r="E546" i="14"/>
  <c r="D1479" i="14"/>
  <c r="E1478" i="14"/>
  <c r="D868" i="14"/>
  <c r="E867" i="14"/>
  <c r="D708" i="14"/>
  <c r="E707" i="14"/>
  <c r="D2069" i="14"/>
  <c r="E2068" i="14"/>
  <c r="D3144" i="14"/>
  <c r="E3143" i="14"/>
  <c r="D2619" i="14"/>
  <c r="E2618" i="14"/>
  <c r="D1265" i="14"/>
  <c r="E1264" i="14"/>
  <c r="D2436" i="14"/>
  <c r="E2435" i="14"/>
  <c r="D341" i="14"/>
  <c r="E340" i="14"/>
  <c r="D4319" i="14" l="1"/>
  <c r="E4318" i="14"/>
  <c r="E4103" i="14"/>
  <c r="D4104" i="14"/>
  <c r="E4532" i="14"/>
  <c r="D4533" i="14"/>
  <c r="E5026" i="14"/>
  <c r="D5027" i="14"/>
  <c r="E5206" i="14"/>
  <c r="D5207" i="14"/>
  <c r="E4812" i="14"/>
  <c r="D4813" i="14"/>
  <c r="D2437" i="14"/>
  <c r="E2436" i="14"/>
  <c r="D2620" i="14"/>
  <c r="E2619" i="14"/>
  <c r="D709" i="14"/>
  <c r="E708" i="14"/>
  <c r="D1480" i="14"/>
  <c r="E1479" i="14"/>
  <c r="D3570" i="14"/>
  <c r="E3569" i="14"/>
  <c r="D2932" i="14"/>
  <c r="E2931" i="14"/>
  <c r="D135" i="14"/>
  <c r="E134" i="14"/>
  <c r="D2252" i="14"/>
  <c r="E2251" i="14"/>
  <c r="D1885" i="14"/>
  <c r="E1884" i="14"/>
  <c r="D3357" i="14"/>
  <c r="E3356" i="14"/>
  <c r="D342" i="14"/>
  <c r="E341" i="14"/>
  <c r="D1266" i="14"/>
  <c r="E1265" i="14"/>
  <c r="D3145" i="14"/>
  <c r="E3144" i="14"/>
  <c r="D2070" i="14"/>
  <c r="E2069" i="14"/>
  <c r="D869" i="14"/>
  <c r="E868" i="14"/>
  <c r="D548" i="14"/>
  <c r="E547" i="14"/>
  <c r="D1674" i="14"/>
  <c r="E1673" i="14"/>
  <c r="D1054" i="14"/>
  <c r="E1053" i="14"/>
  <c r="D2765" i="14"/>
  <c r="E2764" i="14"/>
  <c r="E4813" i="14" l="1"/>
  <c r="D4814" i="14"/>
  <c r="E5027" i="14"/>
  <c r="D5028" i="14"/>
  <c r="E5207" i="14"/>
  <c r="D5208" i="14"/>
  <c r="D4534" i="14"/>
  <c r="E4533" i="14"/>
  <c r="D4105" i="14"/>
  <c r="E4104" i="14"/>
  <c r="E4319" i="14"/>
  <c r="D4320" i="14"/>
  <c r="D1055" i="14"/>
  <c r="E1054" i="14"/>
  <c r="D1675" i="14"/>
  <c r="E1674" i="14"/>
  <c r="D549" i="14"/>
  <c r="E548" i="14"/>
  <c r="D2071" i="14"/>
  <c r="E2070" i="14"/>
  <c r="D1267" i="14"/>
  <c r="E1266" i="14"/>
  <c r="D1886" i="14"/>
  <c r="E1885" i="14"/>
  <c r="D136" i="14"/>
  <c r="E135" i="14"/>
  <c r="D3571" i="14"/>
  <c r="E3570" i="14"/>
  <c r="D710" i="14"/>
  <c r="E709" i="14"/>
  <c r="D2621" i="14"/>
  <c r="E2620" i="14"/>
  <c r="D2766" i="14"/>
  <c r="E2765" i="14"/>
  <c r="D870" i="14"/>
  <c r="E869" i="14"/>
  <c r="D3146" i="14"/>
  <c r="E3145" i="14"/>
  <c r="D343" i="14"/>
  <c r="E342" i="14"/>
  <c r="D3358" i="14"/>
  <c r="E3357" i="14"/>
  <c r="D2253" i="14"/>
  <c r="E2252" i="14"/>
  <c r="D2933" i="14"/>
  <c r="E2932" i="14"/>
  <c r="D1481" i="14"/>
  <c r="E1480" i="14"/>
  <c r="D2438" i="14"/>
  <c r="E2437" i="14"/>
  <c r="E5208" i="14" l="1"/>
  <c r="D5209" i="14"/>
  <c r="E4814" i="14"/>
  <c r="D4815" i="14"/>
  <c r="E4105" i="14"/>
  <c r="D4106" i="14"/>
  <c r="D4321" i="14"/>
  <c r="E4320" i="14"/>
  <c r="E5028" i="14"/>
  <c r="D5029" i="14"/>
  <c r="E4534" i="14"/>
  <c r="D4535" i="14"/>
  <c r="D2934" i="14"/>
  <c r="E2933" i="14"/>
  <c r="D3359" i="14"/>
  <c r="E3358" i="14"/>
  <c r="D3147" i="14"/>
  <c r="E3146" i="14"/>
  <c r="D2767" i="14"/>
  <c r="E2766" i="14"/>
  <c r="D2622" i="14"/>
  <c r="E2621" i="14"/>
  <c r="D3572" i="14"/>
  <c r="E3571" i="14"/>
  <c r="D1887" i="14"/>
  <c r="E1886" i="14"/>
  <c r="D1268" i="14"/>
  <c r="E1267" i="14"/>
  <c r="D550" i="14"/>
  <c r="E549" i="14"/>
  <c r="D1056" i="14"/>
  <c r="E1055" i="14"/>
  <c r="D2439" i="14"/>
  <c r="E2438" i="14"/>
  <c r="D1482" i="14"/>
  <c r="E1481" i="14"/>
  <c r="D2254" i="14"/>
  <c r="E2253" i="14"/>
  <c r="D344" i="14"/>
  <c r="E343" i="14"/>
  <c r="D871" i="14"/>
  <c r="E870" i="14"/>
  <c r="D711" i="14"/>
  <c r="E710" i="14"/>
  <c r="D137" i="14"/>
  <c r="E136" i="14"/>
  <c r="D2072" i="14"/>
  <c r="E2071" i="14"/>
  <c r="D1676" i="14"/>
  <c r="E1675" i="14"/>
  <c r="D4536" i="14" l="1"/>
  <c r="E4535" i="14"/>
  <c r="E4815" i="14"/>
  <c r="D4816" i="14"/>
  <c r="E4321" i="14"/>
  <c r="D4322" i="14"/>
  <c r="E5029" i="14"/>
  <c r="D5030" i="14"/>
  <c r="D4107" i="14"/>
  <c r="E4106" i="14"/>
  <c r="E5209" i="14"/>
  <c r="D5210" i="14"/>
  <c r="D1677" i="14"/>
  <c r="E1676" i="14"/>
  <c r="D712" i="14"/>
  <c r="E711" i="14"/>
  <c r="D345" i="14"/>
  <c r="E344" i="14"/>
  <c r="D1483" i="14"/>
  <c r="E1482" i="14"/>
  <c r="D1057" i="14"/>
  <c r="E1056" i="14"/>
  <c r="D1269" i="14"/>
  <c r="E1268" i="14"/>
  <c r="D3573" i="14"/>
  <c r="E3572" i="14"/>
  <c r="D2768" i="14"/>
  <c r="E2767" i="14"/>
  <c r="D3148" i="14"/>
  <c r="E3147" i="14"/>
  <c r="D2935" i="14"/>
  <c r="E2934" i="14"/>
  <c r="D2073" i="14"/>
  <c r="E2072" i="14"/>
  <c r="D138" i="14"/>
  <c r="E137" i="14"/>
  <c r="D872" i="14"/>
  <c r="E871" i="14"/>
  <c r="D2255" i="14"/>
  <c r="E2254" i="14"/>
  <c r="D2440" i="14"/>
  <c r="E2439" i="14"/>
  <c r="D551" i="14"/>
  <c r="E550" i="14"/>
  <c r="D1888" i="14"/>
  <c r="E1887" i="14"/>
  <c r="D2623" i="14"/>
  <c r="E2622" i="14"/>
  <c r="D3360" i="14"/>
  <c r="E3359" i="14"/>
  <c r="D4323" i="14" l="1"/>
  <c r="E4322" i="14"/>
  <c r="E4107" i="14"/>
  <c r="D4108" i="14"/>
  <c r="E4536" i="14"/>
  <c r="D4537" i="14"/>
  <c r="E5210" i="14"/>
  <c r="D5211" i="14"/>
  <c r="E5030" i="14"/>
  <c r="D5031" i="14"/>
  <c r="E4816" i="14"/>
  <c r="D4817" i="14"/>
  <c r="D3361" i="14"/>
  <c r="E3360" i="14"/>
  <c r="D2624" i="14"/>
  <c r="E2623" i="14"/>
  <c r="D552" i="14"/>
  <c r="E551" i="14"/>
  <c r="D2256" i="14"/>
  <c r="E2255" i="14"/>
  <c r="D2074" i="14"/>
  <c r="E2073" i="14"/>
  <c r="D2936" i="14"/>
  <c r="E2935" i="14"/>
  <c r="D2769" i="14"/>
  <c r="E2768" i="14"/>
  <c r="D1270" i="14"/>
  <c r="E1269" i="14"/>
  <c r="D1484" i="14"/>
  <c r="E1483" i="14"/>
  <c r="D1889" i="14"/>
  <c r="E1888" i="14"/>
  <c r="D2441" i="14"/>
  <c r="E2440" i="14"/>
  <c r="D873" i="14"/>
  <c r="E872" i="14"/>
  <c r="D139" i="14"/>
  <c r="E138" i="14"/>
  <c r="D3149" i="14"/>
  <c r="E3148" i="14"/>
  <c r="D3574" i="14"/>
  <c r="E3573" i="14"/>
  <c r="D1058" i="14"/>
  <c r="E1057" i="14"/>
  <c r="D346" i="14"/>
  <c r="E345" i="14"/>
  <c r="D713" i="14"/>
  <c r="E712" i="14"/>
  <c r="D1678" i="14"/>
  <c r="E1677" i="14"/>
  <c r="E5031" i="14" l="1"/>
  <c r="D5032" i="14"/>
  <c r="D4538" i="14"/>
  <c r="E4537" i="14"/>
  <c r="E4323" i="14"/>
  <c r="D4324" i="14"/>
  <c r="E4817" i="14"/>
  <c r="D4818" i="14"/>
  <c r="E5211" i="14"/>
  <c r="D5212" i="14"/>
  <c r="D4109" i="14"/>
  <c r="E4108" i="14"/>
  <c r="D714" i="14"/>
  <c r="E713" i="14"/>
  <c r="D1059" i="14"/>
  <c r="E1058" i="14"/>
  <c r="D3150" i="14"/>
  <c r="E3149" i="14"/>
  <c r="D140" i="14"/>
  <c r="E139" i="14"/>
  <c r="D2442" i="14"/>
  <c r="E2441" i="14"/>
  <c r="D1485" i="14"/>
  <c r="E1484" i="14"/>
  <c r="D2770" i="14"/>
  <c r="E2769" i="14"/>
  <c r="D2075" i="14"/>
  <c r="E2074" i="14"/>
  <c r="D2257" i="14"/>
  <c r="E2256" i="14"/>
  <c r="D2625" i="14"/>
  <c r="E2624" i="14"/>
  <c r="D1679" i="14"/>
  <c r="E1678" i="14"/>
  <c r="D347" i="14"/>
  <c r="E346" i="14"/>
  <c r="D3575" i="14"/>
  <c r="E3574" i="14"/>
  <c r="D874" i="14"/>
  <c r="E873" i="14"/>
  <c r="D1890" i="14"/>
  <c r="E1889" i="14"/>
  <c r="D1271" i="14"/>
  <c r="E1270" i="14"/>
  <c r="D2937" i="14"/>
  <c r="E2936" i="14"/>
  <c r="D553" i="14"/>
  <c r="E552" i="14"/>
  <c r="D3362" i="14"/>
  <c r="E3361" i="14"/>
  <c r="E5212" i="14" l="1"/>
  <c r="D5213" i="14"/>
  <c r="D4325" i="14"/>
  <c r="E4324" i="14"/>
  <c r="E5032" i="14"/>
  <c r="D5033" i="14"/>
  <c r="D4819" i="14"/>
  <c r="E4818" i="14"/>
  <c r="E4109" i="14"/>
  <c r="D4110" i="14"/>
  <c r="E4538" i="14"/>
  <c r="D4539" i="14"/>
  <c r="D554" i="14"/>
  <c r="E553" i="14"/>
  <c r="D2938" i="14"/>
  <c r="E2937" i="14"/>
  <c r="D1891" i="14"/>
  <c r="E1890" i="14"/>
  <c r="D348" i="14"/>
  <c r="E347" i="14"/>
  <c r="D2626" i="14"/>
  <c r="E2625" i="14"/>
  <c r="D2076" i="14"/>
  <c r="E2075" i="14"/>
  <c r="D1486" i="14"/>
  <c r="E1485" i="14"/>
  <c r="D141" i="14"/>
  <c r="E140" i="14"/>
  <c r="D1060" i="14"/>
  <c r="E1059" i="14"/>
  <c r="D3363" i="14"/>
  <c r="E3362" i="14"/>
  <c r="D1272" i="14"/>
  <c r="E1271" i="14"/>
  <c r="D875" i="14"/>
  <c r="E874" i="14"/>
  <c r="D3576" i="14"/>
  <c r="E3575" i="14"/>
  <c r="D1680" i="14"/>
  <c r="E1679" i="14"/>
  <c r="D2258" i="14"/>
  <c r="E2257" i="14"/>
  <c r="D2771" i="14"/>
  <c r="E2770" i="14"/>
  <c r="D2443" i="14"/>
  <c r="E2442" i="14"/>
  <c r="D3151" i="14"/>
  <c r="E3150" i="14"/>
  <c r="D715" i="14"/>
  <c r="E714" i="14"/>
  <c r="D4540" i="14" l="1"/>
  <c r="E4539" i="14"/>
  <c r="E4819" i="14"/>
  <c r="D4820" i="14"/>
  <c r="D4326" i="14"/>
  <c r="E4325" i="14"/>
  <c r="D4111" i="14"/>
  <c r="E4110" i="14"/>
  <c r="E5033" i="14"/>
  <c r="D5034" i="14"/>
  <c r="E5213" i="14"/>
  <c r="D5214" i="14"/>
  <c r="D3152" i="14"/>
  <c r="E3151" i="14"/>
  <c r="D2259" i="14"/>
  <c r="E2258" i="14"/>
  <c r="D3577" i="14"/>
  <c r="E3576" i="14"/>
  <c r="D1061" i="14"/>
  <c r="E1060" i="14"/>
  <c r="D2077" i="14"/>
  <c r="E2076" i="14"/>
  <c r="D349" i="14"/>
  <c r="E348" i="14"/>
  <c r="D1892" i="14"/>
  <c r="E1891" i="14"/>
  <c r="D2939" i="14"/>
  <c r="E2938" i="14"/>
  <c r="D716" i="14"/>
  <c r="E715" i="14"/>
  <c r="D2444" i="14"/>
  <c r="E2443" i="14"/>
  <c r="D2772" i="14"/>
  <c r="E2771" i="14"/>
  <c r="D1681" i="14"/>
  <c r="E1680" i="14"/>
  <c r="D876" i="14"/>
  <c r="E875" i="14"/>
  <c r="D1273" i="14"/>
  <c r="E1272" i="14"/>
  <c r="D3364" i="14"/>
  <c r="E3363" i="14"/>
  <c r="D142" i="14"/>
  <c r="E141" i="14"/>
  <c r="D1487" i="14"/>
  <c r="E1486" i="14"/>
  <c r="D2627" i="14"/>
  <c r="E2626" i="14"/>
  <c r="D555" i="14"/>
  <c r="E554" i="14"/>
  <c r="E4820" i="14" l="1"/>
  <c r="D4821" i="14"/>
  <c r="E4111" i="14"/>
  <c r="D4112" i="14"/>
  <c r="E5034" i="14"/>
  <c r="D5035" i="14"/>
  <c r="E5214" i="14"/>
  <c r="D5215" i="14"/>
  <c r="D4327" i="14"/>
  <c r="E4326" i="14"/>
  <c r="E4540" i="14"/>
  <c r="D4541" i="14"/>
  <c r="D2628" i="14"/>
  <c r="E2627" i="14"/>
  <c r="D143" i="14"/>
  <c r="E142" i="14"/>
  <c r="D1274" i="14"/>
  <c r="E1273" i="14"/>
  <c r="D1682" i="14"/>
  <c r="E1681" i="14"/>
  <c r="D2445" i="14"/>
  <c r="E2444" i="14"/>
  <c r="D2940" i="14"/>
  <c r="E2939" i="14"/>
  <c r="D350" i="14"/>
  <c r="E349" i="14"/>
  <c r="D3578" i="14"/>
  <c r="E3577" i="14"/>
  <c r="D556" i="14"/>
  <c r="E555" i="14"/>
  <c r="D1488" i="14"/>
  <c r="E1487" i="14"/>
  <c r="D3365" i="14"/>
  <c r="E3364" i="14"/>
  <c r="D877" i="14"/>
  <c r="E876" i="14"/>
  <c r="D2773" i="14"/>
  <c r="E2772" i="14"/>
  <c r="D717" i="14"/>
  <c r="E716" i="14"/>
  <c r="D1893" i="14"/>
  <c r="E1892" i="14"/>
  <c r="D2078" i="14"/>
  <c r="E2077" i="14"/>
  <c r="D1062" i="14"/>
  <c r="E1061" i="14"/>
  <c r="D2260" i="14"/>
  <c r="E2259" i="14"/>
  <c r="D3153" i="14"/>
  <c r="E3152" i="14"/>
  <c r="E5035" i="14" l="1"/>
  <c r="D5036" i="14"/>
  <c r="E4821" i="14"/>
  <c r="D4822" i="14"/>
  <c r="E4327" i="14"/>
  <c r="D4328" i="14"/>
  <c r="D4542" i="14"/>
  <c r="E4541" i="14"/>
  <c r="E5215" i="14"/>
  <c r="D5216" i="14"/>
  <c r="D4113" i="14"/>
  <c r="E4112" i="14"/>
  <c r="D2261" i="14"/>
  <c r="E2260" i="14"/>
  <c r="D1063" i="14"/>
  <c r="E1062" i="14"/>
  <c r="D1894" i="14"/>
  <c r="E1893" i="14"/>
  <c r="D2774" i="14"/>
  <c r="E2773" i="14"/>
  <c r="D3366" i="14"/>
  <c r="E3365" i="14"/>
  <c r="D351" i="14"/>
  <c r="E350" i="14"/>
  <c r="D2446" i="14"/>
  <c r="E2445" i="14"/>
  <c r="D1275" i="14"/>
  <c r="E1274" i="14"/>
  <c r="D2629" i="14"/>
  <c r="E2628" i="14"/>
  <c r="D3154" i="14"/>
  <c r="E3153" i="14"/>
  <c r="D2079" i="14"/>
  <c r="E2078" i="14"/>
  <c r="D718" i="14"/>
  <c r="E717" i="14"/>
  <c r="D878" i="14"/>
  <c r="E877" i="14"/>
  <c r="D1489" i="14"/>
  <c r="E1488" i="14"/>
  <c r="D557" i="14"/>
  <c r="E556" i="14"/>
  <c r="D3579" i="14"/>
  <c r="E3578" i="14"/>
  <c r="D2941" i="14"/>
  <c r="E2940" i="14"/>
  <c r="D1683" i="14"/>
  <c r="E1682" i="14"/>
  <c r="D144" i="14"/>
  <c r="E143" i="14"/>
  <c r="E4113" i="14" l="1"/>
  <c r="D4114" i="14"/>
  <c r="E4542" i="14"/>
  <c r="D4543" i="14"/>
  <c r="E5216" i="14"/>
  <c r="D5217" i="14"/>
  <c r="D4329" i="14"/>
  <c r="E4328" i="14"/>
  <c r="E5036" i="14"/>
  <c r="D5037" i="14"/>
  <c r="E4822" i="14"/>
  <c r="D4823" i="14"/>
  <c r="D145" i="14"/>
  <c r="E144" i="14"/>
  <c r="D2942" i="14"/>
  <c r="E2941" i="14"/>
  <c r="D3580" i="14"/>
  <c r="E3579" i="14"/>
  <c r="D1490" i="14"/>
  <c r="E1489" i="14"/>
  <c r="D719" i="14"/>
  <c r="E718" i="14"/>
  <c r="D2630" i="14"/>
  <c r="E2629" i="14"/>
  <c r="D2447" i="14"/>
  <c r="E2446" i="14"/>
  <c r="D2775" i="14"/>
  <c r="E2774" i="14"/>
  <c r="D1064" i="14"/>
  <c r="E1063" i="14"/>
  <c r="D1684" i="14"/>
  <c r="E1683" i="14"/>
  <c r="D558" i="14"/>
  <c r="E557" i="14"/>
  <c r="D879" i="14"/>
  <c r="E878" i="14"/>
  <c r="D2080" i="14"/>
  <c r="E2079" i="14"/>
  <c r="D3155" i="14"/>
  <c r="E3154" i="14"/>
  <c r="D1276" i="14"/>
  <c r="E1275" i="14"/>
  <c r="D352" i="14"/>
  <c r="E351" i="14"/>
  <c r="D3367" i="14"/>
  <c r="E3366" i="14"/>
  <c r="D1895" i="14"/>
  <c r="E1894" i="14"/>
  <c r="D2262" i="14"/>
  <c r="E2261" i="14"/>
  <c r="E4329" i="14" l="1"/>
  <c r="D4330" i="14"/>
  <c r="E5037" i="14"/>
  <c r="D5038" i="14"/>
  <c r="E5217" i="14"/>
  <c r="D5218" i="14"/>
  <c r="D4115" i="14"/>
  <c r="E4114" i="14"/>
  <c r="E4823" i="14"/>
  <c r="D4824" i="14"/>
  <c r="D4544" i="14"/>
  <c r="E4543" i="14"/>
  <c r="D1896" i="14"/>
  <c r="E1895" i="14"/>
  <c r="D1277" i="14"/>
  <c r="E1276" i="14"/>
  <c r="D2081" i="14"/>
  <c r="E2080" i="14"/>
  <c r="D559" i="14"/>
  <c r="E558" i="14"/>
  <c r="D1685" i="14"/>
  <c r="E1684" i="14"/>
  <c r="D1065" i="14"/>
  <c r="E1064" i="14"/>
  <c r="D2448" i="14"/>
  <c r="E2447" i="14"/>
  <c r="D1491" i="14"/>
  <c r="E1490" i="14"/>
  <c r="D2943" i="14"/>
  <c r="E2942" i="14"/>
  <c r="D2263" i="14"/>
  <c r="E2262" i="14"/>
  <c r="D3368" i="14"/>
  <c r="E3367" i="14"/>
  <c r="D353" i="14"/>
  <c r="E352" i="14"/>
  <c r="D3156" i="14"/>
  <c r="E3155" i="14"/>
  <c r="D880" i="14"/>
  <c r="E879" i="14"/>
  <c r="D2776" i="14"/>
  <c r="E2775" i="14"/>
  <c r="D2631" i="14"/>
  <c r="E2630" i="14"/>
  <c r="D720" i="14"/>
  <c r="E719" i="14"/>
  <c r="D3581" i="14"/>
  <c r="E3580" i="14"/>
  <c r="D146" i="14"/>
  <c r="E145" i="14"/>
  <c r="E4824" i="14" l="1"/>
  <c r="D4825" i="14"/>
  <c r="E5218" i="14"/>
  <c r="D5219" i="14"/>
  <c r="D4331" i="14"/>
  <c r="E4330" i="14"/>
  <c r="E5038" i="14"/>
  <c r="D5039" i="14"/>
  <c r="E4544" i="14"/>
  <c r="D4545" i="14"/>
  <c r="E4115" i="14"/>
  <c r="D4116" i="14"/>
  <c r="D3582" i="14"/>
  <c r="E3581" i="14"/>
  <c r="D2632" i="14"/>
  <c r="E2632" i="14" s="1"/>
  <c r="E2631" i="14"/>
  <c r="D2777" i="14"/>
  <c r="E2776" i="14"/>
  <c r="D3157" i="14"/>
  <c r="E3156" i="14"/>
  <c r="D3369" i="14"/>
  <c r="E3368" i="14"/>
  <c r="D2944" i="14"/>
  <c r="E2943" i="14"/>
  <c r="D1686" i="14"/>
  <c r="E1685" i="14"/>
  <c r="D2082" i="14"/>
  <c r="E2081" i="14"/>
  <c r="D147" i="14"/>
  <c r="E146" i="14"/>
  <c r="D721" i="14"/>
  <c r="E720" i="14"/>
  <c r="D881" i="14"/>
  <c r="E880" i="14"/>
  <c r="D354" i="14"/>
  <c r="E353" i="14"/>
  <c r="D2264" i="14"/>
  <c r="E2263" i="14"/>
  <c r="D1492" i="14"/>
  <c r="E1491" i="14"/>
  <c r="D2449" i="14"/>
  <c r="E2448" i="14"/>
  <c r="D1066" i="14"/>
  <c r="E1065" i="14"/>
  <c r="D560" i="14"/>
  <c r="E559" i="14"/>
  <c r="D1278" i="14"/>
  <c r="E1277" i="14"/>
  <c r="D1897" i="14"/>
  <c r="E1896" i="14"/>
  <c r="D4546" i="14" l="1"/>
  <c r="E4545" i="14"/>
  <c r="E4825" i="14"/>
  <c r="D4826" i="14"/>
  <c r="E4331" i="14"/>
  <c r="D4332" i="14"/>
  <c r="D4117" i="14"/>
  <c r="E4116" i="14"/>
  <c r="E5039" i="14"/>
  <c r="D5040" i="14"/>
  <c r="E5219" i="14"/>
  <c r="D5220" i="14"/>
  <c r="D1279" i="14"/>
  <c r="E1278" i="14"/>
  <c r="D1067" i="14"/>
  <c r="E1066" i="14"/>
  <c r="D1493" i="14"/>
  <c r="E1492" i="14"/>
  <c r="D355" i="14"/>
  <c r="E354" i="14"/>
  <c r="D722" i="14"/>
  <c r="E721" i="14"/>
  <c r="D1687" i="14"/>
  <c r="E1686" i="14"/>
  <c r="D3370" i="14"/>
  <c r="E3369" i="14"/>
  <c r="D1898" i="14"/>
  <c r="E1897" i="14"/>
  <c r="D561" i="14"/>
  <c r="E560" i="14"/>
  <c r="D2450" i="14"/>
  <c r="E2449" i="14"/>
  <c r="D2265" i="14"/>
  <c r="E2264" i="14"/>
  <c r="D882" i="14"/>
  <c r="E881" i="14"/>
  <c r="D148" i="14"/>
  <c r="E147" i="14"/>
  <c r="D2083" i="14"/>
  <c r="E2082" i="14"/>
  <c r="D2945" i="14"/>
  <c r="E2944" i="14"/>
  <c r="D3158" i="14"/>
  <c r="E3157" i="14"/>
  <c r="D2778" i="14"/>
  <c r="E2777" i="14"/>
  <c r="D3583" i="14"/>
  <c r="E3582" i="14"/>
  <c r="D4333" i="14" l="1"/>
  <c r="E4332" i="14"/>
  <c r="E5220" i="14"/>
  <c r="D5221" i="14"/>
  <c r="E4826" i="14"/>
  <c r="D4827" i="14"/>
  <c r="E4117" i="14"/>
  <c r="D4118" i="14"/>
  <c r="E5040" i="14"/>
  <c r="D5041" i="14"/>
  <c r="E4546" i="14"/>
  <c r="D4547" i="14"/>
  <c r="D3584" i="14"/>
  <c r="E3583" i="14"/>
  <c r="D3159" i="14"/>
  <c r="E3158" i="14"/>
  <c r="D149" i="14"/>
  <c r="E148" i="14"/>
  <c r="D883" i="14"/>
  <c r="E882" i="14"/>
  <c r="D2451" i="14"/>
  <c r="E2450" i="14"/>
  <c r="D1899" i="14"/>
  <c r="E1898" i="14"/>
  <c r="D3371" i="14"/>
  <c r="E3370" i="14"/>
  <c r="D1688" i="14"/>
  <c r="E1687" i="14"/>
  <c r="D723" i="14"/>
  <c r="E722" i="14"/>
  <c r="D356" i="14"/>
  <c r="E355" i="14"/>
  <c r="D1068" i="14"/>
  <c r="E1067" i="14"/>
  <c r="D2779" i="14"/>
  <c r="E2778" i="14"/>
  <c r="D2946" i="14"/>
  <c r="E2945" i="14"/>
  <c r="D2084" i="14"/>
  <c r="E2083" i="14"/>
  <c r="D2266" i="14"/>
  <c r="E2265" i="14"/>
  <c r="D562" i="14"/>
  <c r="E561" i="14"/>
  <c r="D1494" i="14"/>
  <c r="E1493" i="14"/>
  <c r="D1280" i="14"/>
  <c r="E1279" i="14"/>
  <c r="D4119" i="14" l="1"/>
  <c r="E4118" i="14"/>
  <c r="E5041" i="14"/>
  <c r="D5042" i="14"/>
  <c r="E4827" i="14"/>
  <c r="D4828" i="14"/>
  <c r="D4548" i="14"/>
  <c r="E4547" i="14"/>
  <c r="E5221" i="14"/>
  <c r="D5222" i="14"/>
  <c r="D4334" i="14"/>
  <c r="E4333" i="14"/>
  <c r="D1281" i="14"/>
  <c r="E1280" i="14"/>
  <c r="D563" i="14"/>
  <c r="E562" i="14"/>
  <c r="D2947" i="14"/>
  <c r="E2946" i="14"/>
  <c r="D1069" i="14"/>
  <c r="E1068" i="14"/>
  <c r="D724" i="14"/>
  <c r="E723" i="14"/>
  <c r="D3372" i="14"/>
  <c r="E3371" i="14"/>
  <c r="D2452" i="14"/>
  <c r="E2451" i="14"/>
  <c r="D150" i="14"/>
  <c r="E149" i="14"/>
  <c r="D3160" i="14"/>
  <c r="E3159" i="14"/>
  <c r="D1495" i="14"/>
  <c r="E1494" i="14"/>
  <c r="D2267" i="14"/>
  <c r="E2266" i="14"/>
  <c r="D2085" i="14"/>
  <c r="E2084" i="14"/>
  <c r="D2780" i="14"/>
  <c r="E2779" i="14"/>
  <c r="D357" i="14"/>
  <c r="E356" i="14"/>
  <c r="D1689" i="14"/>
  <c r="E1688" i="14"/>
  <c r="D1900" i="14"/>
  <c r="E1899" i="14"/>
  <c r="D884" i="14"/>
  <c r="E883" i="14"/>
  <c r="D3585" i="14"/>
  <c r="E3584" i="14"/>
  <c r="E5042" i="14" l="1"/>
  <c r="D5043" i="14"/>
  <c r="D4335" i="14"/>
  <c r="E4334" i="14"/>
  <c r="E4548" i="14"/>
  <c r="D4549" i="14"/>
  <c r="E5222" i="14"/>
  <c r="D5223" i="14"/>
  <c r="E4828" i="14"/>
  <c r="D4829" i="14"/>
  <c r="E4119" i="14"/>
  <c r="D4120" i="14"/>
  <c r="D3586" i="14"/>
  <c r="E3585" i="14"/>
  <c r="D885" i="14"/>
  <c r="E884" i="14"/>
  <c r="D1690" i="14"/>
  <c r="E1689" i="14"/>
  <c r="D2781" i="14"/>
  <c r="E2780" i="14"/>
  <c r="D2268" i="14"/>
  <c r="E2267" i="14"/>
  <c r="D3161" i="14"/>
  <c r="E3160" i="14"/>
  <c r="D2453" i="14"/>
  <c r="E2452" i="14"/>
  <c r="D725" i="14"/>
  <c r="E724" i="14"/>
  <c r="D2948" i="14"/>
  <c r="E2947" i="14"/>
  <c r="D564" i="14"/>
  <c r="E563" i="14"/>
  <c r="D1901" i="14"/>
  <c r="E1900" i="14"/>
  <c r="D358" i="14"/>
  <c r="E357" i="14"/>
  <c r="D2086" i="14"/>
  <c r="E2085" i="14"/>
  <c r="D1496" i="14"/>
  <c r="E1495" i="14"/>
  <c r="D151" i="14"/>
  <c r="E150" i="14"/>
  <c r="D3373" i="14"/>
  <c r="E3372" i="14"/>
  <c r="D1070" i="14"/>
  <c r="E1069" i="14"/>
  <c r="D1282" i="14"/>
  <c r="E1281" i="14"/>
  <c r="D4121" i="14" l="1"/>
  <c r="E4120" i="14"/>
  <c r="E4335" i="14"/>
  <c r="D4336" i="14"/>
  <c r="E4829" i="14"/>
  <c r="D4830" i="14"/>
  <c r="D4550" i="14"/>
  <c r="E4549" i="14"/>
  <c r="E5043" i="14"/>
  <c r="D5044" i="14"/>
  <c r="E5223" i="14"/>
  <c r="D5224" i="14"/>
  <c r="D1283" i="14"/>
  <c r="E1282" i="14"/>
  <c r="D3374" i="14"/>
  <c r="E3373" i="14"/>
  <c r="D1497" i="14"/>
  <c r="E1496" i="14"/>
  <c r="D2087" i="14"/>
  <c r="E2086" i="14"/>
  <c r="D1902" i="14"/>
  <c r="E1901" i="14"/>
  <c r="D2949" i="14"/>
  <c r="E2948" i="14"/>
  <c r="D2454" i="14"/>
  <c r="E2453" i="14"/>
  <c r="D2782" i="14"/>
  <c r="E2781" i="14"/>
  <c r="D886" i="14"/>
  <c r="E885" i="14"/>
  <c r="D1071" i="14"/>
  <c r="E1070" i="14"/>
  <c r="D152" i="14"/>
  <c r="E151" i="14"/>
  <c r="D359" i="14"/>
  <c r="E358" i="14"/>
  <c r="D565" i="14"/>
  <c r="E564" i="14"/>
  <c r="D726" i="14"/>
  <c r="E725" i="14"/>
  <c r="D3162" i="14"/>
  <c r="E3161" i="14"/>
  <c r="D2269" i="14"/>
  <c r="E2268" i="14"/>
  <c r="D1691" i="14"/>
  <c r="E1690" i="14"/>
  <c r="D3587" i="14"/>
  <c r="E3586" i="14"/>
  <c r="D4337" i="14" l="1"/>
  <c r="E4336" i="14"/>
  <c r="E4550" i="14"/>
  <c r="D4551" i="14"/>
  <c r="E5224" i="14"/>
  <c r="D5225" i="14"/>
  <c r="E5044" i="14"/>
  <c r="D5045" i="14"/>
  <c r="E4830" i="14"/>
  <c r="D4831" i="14"/>
  <c r="E4121" i="14"/>
  <c r="D4122" i="14"/>
  <c r="D3588" i="14"/>
  <c r="E3587" i="14"/>
  <c r="D2270" i="14"/>
  <c r="E2269" i="14"/>
  <c r="D727" i="14"/>
  <c r="E726" i="14"/>
  <c r="D1072" i="14"/>
  <c r="E1071" i="14"/>
  <c r="D887" i="14"/>
  <c r="E886" i="14"/>
  <c r="D2950" i="14"/>
  <c r="E2949" i="14"/>
  <c r="D1903" i="14"/>
  <c r="E1902" i="14"/>
  <c r="D1498" i="14"/>
  <c r="E1497" i="14"/>
  <c r="D1692" i="14"/>
  <c r="E1691" i="14"/>
  <c r="D3163" i="14"/>
  <c r="E3162" i="14"/>
  <c r="D566" i="14"/>
  <c r="E565" i="14"/>
  <c r="D360" i="14"/>
  <c r="E359" i="14"/>
  <c r="D153" i="14"/>
  <c r="E152" i="14"/>
  <c r="D2783" i="14"/>
  <c r="E2782" i="14"/>
  <c r="D2455" i="14"/>
  <c r="E2454" i="14"/>
  <c r="D2088" i="14"/>
  <c r="E2087" i="14"/>
  <c r="D3375" i="14"/>
  <c r="E3374" i="14"/>
  <c r="D1284" i="14"/>
  <c r="E1283" i="14"/>
  <c r="E5045" i="14" l="1"/>
  <c r="D5046" i="14"/>
  <c r="E4831" i="14"/>
  <c r="D4832" i="14"/>
  <c r="E5225" i="14"/>
  <c r="D5226" i="14"/>
  <c r="D4123" i="14"/>
  <c r="E4122" i="14"/>
  <c r="D4552" i="14"/>
  <c r="E4551" i="14"/>
  <c r="E4337" i="14"/>
  <c r="D4338" i="14"/>
  <c r="D1285" i="14"/>
  <c r="E1284" i="14"/>
  <c r="D2089" i="14"/>
  <c r="E2088" i="14"/>
  <c r="D2456" i="14"/>
  <c r="E2455" i="14"/>
  <c r="D361" i="14"/>
  <c r="E360" i="14"/>
  <c r="D3164" i="14"/>
  <c r="E3163" i="14"/>
  <c r="D1904" i="14"/>
  <c r="E1903" i="14"/>
  <c r="D1073" i="14"/>
  <c r="E1072" i="14"/>
  <c r="D2271" i="14"/>
  <c r="E2270" i="14"/>
  <c r="D3376" i="14"/>
  <c r="E3375" i="14"/>
  <c r="D2784" i="14"/>
  <c r="E2783" i="14"/>
  <c r="D154" i="14"/>
  <c r="E153" i="14"/>
  <c r="D567" i="14"/>
  <c r="E566" i="14"/>
  <c r="D1693" i="14"/>
  <c r="E1692" i="14"/>
  <c r="D1499" i="14"/>
  <c r="E1498" i="14"/>
  <c r="D2951" i="14"/>
  <c r="E2950" i="14"/>
  <c r="D888" i="14"/>
  <c r="E887" i="14"/>
  <c r="D728" i="14"/>
  <c r="E727" i="14"/>
  <c r="D3589" i="14"/>
  <c r="E3588" i="14"/>
  <c r="E4552" i="14" l="1"/>
  <c r="D4553" i="14"/>
  <c r="D4339" i="14"/>
  <c r="E4338" i="14"/>
  <c r="E4832" i="14"/>
  <c r="D4833" i="14"/>
  <c r="E4123" i="14"/>
  <c r="D4124" i="14"/>
  <c r="E5226" i="14"/>
  <c r="D5227" i="14"/>
  <c r="E5046" i="14"/>
  <c r="D5047" i="14"/>
  <c r="D3590" i="14"/>
  <c r="E3589" i="14"/>
  <c r="D2952" i="14"/>
  <c r="E2951" i="14"/>
  <c r="D1694" i="14"/>
  <c r="E1693" i="14"/>
  <c r="D155" i="14"/>
  <c r="E154" i="14"/>
  <c r="D2272" i="14"/>
  <c r="E2271" i="14"/>
  <c r="D1074" i="14"/>
  <c r="E1073" i="14"/>
  <c r="D1905" i="14"/>
  <c r="E1904" i="14"/>
  <c r="D3165" i="14"/>
  <c r="E3164" i="14"/>
  <c r="D2090" i="14"/>
  <c r="E2089" i="14"/>
  <c r="D729" i="14"/>
  <c r="E728" i="14"/>
  <c r="D889" i="14"/>
  <c r="E888" i="14"/>
  <c r="D1500" i="14"/>
  <c r="E1499" i="14"/>
  <c r="D568" i="14"/>
  <c r="E567" i="14"/>
  <c r="D2785" i="14"/>
  <c r="E2784" i="14"/>
  <c r="D3377" i="14"/>
  <c r="E3376" i="14"/>
  <c r="D362" i="14"/>
  <c r="E361" i="14"/>
  <c r="D2457" i="14"/>
  <c r="E2456" i="14"/>
  <c r="D1286" i="14"/>
  <c r="E1285" i="14"/>
  <c r="D4125" i="14" l="1"/>
  <c r="E4124" i="14"/>
  <c r="E4339" i="14"/>
  <c r="D4340" i="14"/>
  <c r="E5227" i="14"/>
  <c r="D5228" i="14"/>
  <c r="E4833" i="14"/>
  <c r="D4834" i="14"/>
  <c r="D4554" i="14"/>
  <c r="E4553" i="14"/>
  <c r="E5047" i="14"/>
  <c r="D5048" i="14"/>
  <c r="D1287" i="14"/>
  <c r="E1286" i="14"/>
  <c r="D363" i="14"/>
  <c r="E362" i="14"/>
  <c r="D3378" i="14"/>
  <c r="E3377" i="14"/>
  <c r="D569" i="14"/>
  <c r="E568" i="14"/>
  <c r="D890" i="14"/>
  <c r="E889" i="14"/>
  <c r="D2091" i="14"/>
  <c r="E2090" i="14"/>
  <c r="D3166" i="14"/>
  <c r="E3165" i="14"/>
  <c r="D1075" i="14"/>
  <c r="E1074" i="14"/>
  <c r="D1695" i="14"/>
  <c r="E1694" i="14"/>
  <c r="D2458" i="14"/>
  <c r="E2457" i="14"/>
  <c r="D2786" i="14"/>
  <c r="E2785" i="14"/>
  <c r="D1501" i="14"/>
  <c r="E1500" i="14"/>
  <c r="D730" i="14"/>
  <c r="E729" i="14"/>
  <c r="D1906" i="14"/>
  <c r="E1905" i="14"/>
  <c r="D2273" i="14"/>
  <c r="E2272" i="14"/>
  <c r="D156" i="14"/>
  <c r="E155" i="14"/>
  <c r="D2953" i="14"/>
  <c r="E2952" i="14"/>
  <c r="D3591" i="14"/>
  <c r="E3590" i="14"/>
  <c r="E4834" i="14" l="1"/>
  <c r="D4835" i="14"/>
  <c r="E5228" i="14"/>
  <c r="D5229" i="14"/>
  <c r="E5048" i="14"/>
  <c r="D5049" i="14"/>
  <c r="E4340" i="14"/>
  <c r="D4341" i="14"/>
  <c r="E4554" i="14"/>
  <c r="D4555" i="14"/>
  <c r="E4125" i="14"/>
  <c r="D4126" i="14"/>
  <c r="D3592" i="14"/>
  <c r="E3591" i="14"/>
  <c r="D157" i="14"/>
  <c r="E156" i="14"/>
  <c r="D1907" i="14"/>
  <c r="E1906" i="14"/>
  <c r="D731" i="14"/>
  <c r="E730" i="14"/>
  <c r="D2787" i="14"/>
  <c r="E2786" i="14"/>
  <c r="D3167" i="14"/>
  <c r="E3166" i="14"/>
  <c r="D891" i="14"/>
  <c r="E890" i="14"/>
  <c r="D3379" i="14"/>
  <c r="E3378" i="14"/>
  <c r="D364" i="14"/>
  <c r="E363" i="14"/>
  <c r="D2954" i="14"/>
  <c r="E2953" i="14"/>
  <c r="D2274" i="14"/>
  <c r="E2273" i="14"/>
  <c r="D1502" i="14"/>
  <c r="E1501" i="14"/>
  <c r="D2459" i="14"/>
  <c r="E2458" i="14"/>
  <c r="D1696" i="14"/>
  <c r="E1695" i="14"/>
  <c r="D1076" i="14"/>
  <c r="E1075" i="14"/>
  <c r="D2092" i="14"/>
  <c r="E2091" i="14"/>
  <c r="D570" i="14"/>
  <c r="E569" i="14"/>
  <c r="D1288" i="14"/>
  <c r="E1287" i="14"/>
  <c r="D4556" i="14" l="1"/>
  <c r="E4555" i="14"/>
  <c r="E4835" i="14"/>
  <c r="D4836" i="14"/>
  <c r="D4127" i="14"/>
  <c r="E4126" i="14"/>
  <c r="E4341" i="14"/>
  <c r="D4342" i="14"/>
  <c r="E5229" i="14"/>
  <c r="D5230" i="14"/>
  <c r="E5049" i="14"/>
  <c r="D5050" i="14"/>
  <c r="D1289" i="14"/>
  <c r="E1288" i="14"/>
  <c r="D571" i="14"/>
  <c r="E570" i="14"/>
  <c r="D1077" i="14"/>
  <c r="E1076" i="14"/>
  <c r="D2460" i="14"/>
  <c r="E2459" i="14"/>
  <c r="D1503" i="14"/>
  <c r="E1502" i="14"/>
  <c r="D2275" i="14"/>
  <c r="E2274" i="14"/>
  <c r="D365" i="14"/>
  <c r="E364" i="14"/>
  <c r="D892" i="14"/>
  <c r="E891" i="14"/>
  <c r="D732" i="14"/>
  <c r="E731" i="14"/>
  <c r="D158" i="14"/>
  <c r="E157" i="14"/>
  <c r="D2093" i="14"/>
  <c r="E2092" i="14"/>
  <c r="D1697" i="14"/>
  <c r="E1696" i="14"/>
  <c r="D2955" i="14"/>
  <c r="E2954" i="14"/>
  <c r="D3380" i="14"/>
  <c r="E3379" i="14"/>
  <c r="D3168" i="14"/>
  <c r="E3167" i="14"/>
  <c r="D2788" i="14"/>
  <c r="E2787" i="14"/>
  <c r="D1908" i="14"/>
  <c r="E1907" i="14"/>
  <c r="D3593" i="14"/>
  <c r="E3592" i="14"/>
  <c r="E4836" i="14" l="1"/>
  <c r="D4837" i="14"/>
  <c r="E4342" i="14"/>
  <c r="D4343" i="14"/>
  <c r="E5230" i="14"/>
  <c r="D5231" i="14"/>
  <c r="E5050" i="14"/>
  <c r="D5051" i="14"/>
  <c r="E4127" i="14"/>
  <c r="D4128" i="14"/>
  <c r="E4556" i="14"/>
  <c r="D4557" i="14"/>
  <c r="D3594" i="14"/>
  <c r="E3593" i="14"/>
  <c r="D2789" i="14"/>
  <c r="E2788" i="14"/>
  <c r="D3169" i="14"/>
  <c r="E3168" i="14"/>
  <c r="D2956" i="14"/>
  <c r="E2955" i="14"/>
  <c r="D2094" i="14"/>
  <c r="E2093" i="14"/>
  <c r="D159" i="14"/>
  <c r="E158" i="14"/>
  <c r="D893" i="14"/>
  <c r="E892" i="14"/>
  <c r="D2276" i="14"/>
  <c r="E2275" i="14"/>
  <c r="D2461" i="14"/>
  <c r="E2460" i="14"/>
  <c r="D572" i="14"/>
  <c r="E571" i="14"/>
  <c r="D1909" i="14"/>
  <c r="E1908" i="14"/>
  <c r="D3381" i="14"/>
  <c r="E3380" i="14"/>
  <c r="D1698" i="14"/>
  <c r="E1697" i="14"/>
  <c r="D733" i="14"/>
  <c r="E732" i="14"/>
  <c r="D366" i="14"/>
  <c r="E365" i="14"/>
  <c r="D1504" i="14"/>
  <c r="E1503" i="14"/>
  <c r="D1078" i="14"/>
  <c r="E1077" i="14"/>
  <c r="D1290" i="14"/>
  <c r="E1289" i="14"/>
  <c r="D4129" i="14" l="1"/>
  <c r="E4128" i="14"/>
  <c r="E5231" i="14"/>
  <c r="D5232" i="14"/>
  <c r="E4837" i="14"/>
  <c r="D4838" i="14"/>
  <c r="D4558" i="14"/>
  <c r="E4557" i="14"/>
  <c r="E5051" i="14"/>
  <c r="D5052" i="14"/>
  <c r="E4343" i="14"/>
  <c r="D4344" i="14"/>
  <c r="D1291" i="14"/>
  <c r="E1290" i="14"/>
  <c r="D1505" i="14"/>
  <c r="E1504" i="14"/>
  <c r="D573" i="14"/>
  <c r="E572" i="14"/>
  <c r="D2277" i="14"/>
  <c r="E2276" i="14"/>
  <c r="D2095" i="14"/>
  <c r="E2094" i="14"/>
  <c r="D2957" i="14"/>
  <c r="E2956" i="14"/>
  <c r="D2790" i="14"/>
  <c r="E2789" i="14"/>
  <c r="D1079" i="14"/>
  <c r="E1078" i="14"/>
  <c r="E366" i="14"/>
  <c r="D367" i="14"/>
  <c r="D734" i="14"/>
  <c r="E733" i="14"/>
  <c r="D1699" i="14"/>
  <c r="E1698" i="14"/>
  <c r="D3382" i="14"/>
  <c r="E3381" i="14"/>
  <c r="D1910" i="14"/>
  <c r="E1909" i="14"/>
  <c r="D2462" i="14"/>
  <c r="E2461" i="14"/>
  <c r="D894" i="14"/>
  <c r="E893" i="14"/>
  <c r="D160" i="14"/>
  <c r="E159" i="14"/>
  <c r="D3170" i="14"/>
  <c r="E3169" i="14"/>
  <c r="D3595" i="14"/>
  <c r="E3594" i="14"/>
  <c r="E4558" i="14" l="1"/>
  <c r="D4559" i="14"/>
  <c r="E4344" i="14"/>
  <c r="D4345" i="14"/>
  <c r="E5232" i="14"/>
  <c r="D5233" i="14"/>
  <c r="E5052" i="14"/>
  <c r="D5053" i="14"/>
  <c r="E4838" i="14"/>
  <c r="D4839" i="14"/>
  <c r="E4129" i="14"/>
  <c r="D4130" i="14"/>
  <c r="D368" i="14"/>
  <c r="E367" i="14"/>
  <c r="D3596" i="14"/>
  <c r="E3595" i="14"/>
  <c r="D895" i="14"/>
  <c r="E894" i="14"/>
  <c r="D1911" i="14"/>
  <c r="E1910" i="14"/>
  <c r="D1700" i="14"/>
  <c r="E1699" i="14"/>
  <c r="D2791" i="14"/>
  <c r="E2790" i="14"/>
  <c r="D2096" i="14"/>
  <c r="E2095" i="14"/>
  <c r="D2278" i="14"/>
  <c r="E2277" i="14"/>
  <c r="D1506" i="14"/>
  <c r="E1505" i="14"/>
  <c r="D3171" i="14"/>
  <c r="E3170" i="14"/>
  <c r="D161" i="14"/>
  <c r="E160" i="14"/>
  <c r="D2463" i="14"/>
  <c r="E2462" i="14"/>
  <c r="D3383" i="14"/>
  <c r="E3382" i="14"/>
  <c r="D735" i="14"/>
  <c r="E734" i="14"/>
  <c r="D1080" i="14"/>
  <c r="E1079" i="14"/>
  <c r="D2958" i="14"/>
  <c r="E2957" i="14"/>
  <c r="D574" i="14"/>
  <c r="E574" i="14" s="1"/>
  <c r="E573" i="14"/>
  <c r="D1292" i="14"/>
  <c r="E1291" i="14"/>
  <c r="E4839" i="14" l="1"/>
  <c r="D4840" i="14"/>
  <c r="E5233" i="14"/>
  <c r="D5234" i="14"/>
  <c r="D4560" i="14"/>
  <c r="E4559" i="14"/>
  <c r="D4131" i="14"/>
  <c r="E4130" i="14"/>
  <c r="E5053" i="14"/>
  <c r="D5054" i="14"/>
  <c r="E4345" i="14"/>
  <c r="D4346" i="14"/>
  <c r="D1293" i="14"/>
  <c r="E1292" i="14"/>
  <c r="D1081" i="14"/>
  <c r="E1080" i="14"/>
  <c r="D3384" i="14"/>
  <c r="E3383" i="14"/>
  <c r="D162" i="14"/>
  <c r="E161" i="14"/>
  <c r="D1507" i="14"/>
  <c r="E1506" i="14"/>
  <c r="D2097" i="14"/>
  <c r="E2096" i="14"/>
  <c r="D1701" i="14"/>
  <c r="E1700" i="14"/>
  <c r="D896" i="14"/>
  <c r="E895" i="14"/>
  <c r="D3597" i="14"/>
  <c r="E3596" i="14"/>
  <c r="D2959" i="14"/>
  <c r="E2958" i="14"/>
  <c r="D736" i="14"/>
  <c r="E736" i="14" s="1"/>
  <c r="E735" i="14"/>
  <c r="D2464" i="14"/>
  <c r="E2463" i="14"/>
  <c r="D3172" i="14"/>
  <c r="E3171" i="14"/>
  <c r="D2279" i="14"/>
  <c r="E2278" i="14"/>
  <c r="D2792" i="14"/>
  <c r="E2791" i="14"/>
  <c r="D1912" i="14"/>
  <c r="E1911" i="14"/>
  <c r="D369" i="14"/>
  <c r="E368" i="14"/>
  <c r="E5234" i="14" l="1"/>
  <c r="D5235" i="14"/>
  <c r="E4131" i="14"/>
  <c r="D4132" i="14"/>
  <c r="E4346" i="14"/>
  <c r="D4347" i="14"/>
  <c r="E5054" i="14"/>
  <c r="D5055" i="14"/>
  <c r="E4840" i="14"/>
  <c r="D4841" i="14"/>
  <c r="E4560" i="14"/>
  <c r="D4561" i="14"/>
  <c r="D2793" i="14"/>
  <c r="E2792" i="14"/>
  <c r="D2465" i="14"/>
  <c r="E2464" i="14"/>
  <c r="D2960" i="14"/>
  <c r="E2959" i="14"/>
  <c r="D3598" i="14"/>
  <c r="E3597" i="14"/>
  <c r="D1702" i="14"/>
  <c r="E1701" i="14"/>
  <c r="D163" i="14"/>
  <c r="E162" i="14"/>
  <c r="D1082" i="14"/>
  <c r="E1081" i="14"/>
  <c r="D370" i="14"/>
  <c r="E369" i="14"/>
  <c r="D1913" i="14"/>
  <c r="E1912" i="14"/>
  <c r="D2280" i="14"/>
  <c r="E2279" i="14"/>
  <c r="D3173" i="14"/>
  <c r="E3172" i="14"/>
  <c r="D897" i="14"/>
  <c r="E896" i="14"/>
  <c r="D2098" i="14"/>
  <c r="E2097" i="14"/>
  <c r="D1508" i="14"/>
  <c r="E1507" i="14"/>
  <c r="D3385" i="14"/>
  <c r="E3384" i="14"/>
  <c r="D1294" i="14"/>
  <c r="E1293" i="14"/>
  <c r="E4841" i="14" l="1"/>
  <c r="D4842" i="14"/>
  <c r="E4347" i="14"/>
  <c r="D4348" i="14"/>
  <c r="E5235" i="14"/>
  <c r="D5236" i="14"/>
  <c r="D4562" i="14"/>
  <c r="E4561" i="14"/>
  <c r="E5055" i="14"/>
  <c r="D5056" i="14"/>
  <c r="D4133" i="14"/>
  <c r="E4132" i="14"/>
  <c r="D1295" i="14"/>
  <c r="E1294" i="14"/>
  <c r="D3386" i="14"/>
  <c r="E3385" i="14"/>
  <c r="D2099" i="14"/>
  <c r="E2098" i="14"/>
  <c r="D2281" i="14"/>
  <c r="E2280" i="14"/>
  <c r="D371" i="14"/>
  <c r="E370" i="14"/>
  <c r="D1083" i="14"/>
  <c r="E1082" i="14"/>
  <c r="D3599" i="14"/>
  <c r="E3598" i="14"/>
  <c r="D2466" i="14"/>
  <c r="E2465" i="14"/>
  <c r="D2794" i="14"/>
  <c r="E2793" i="14"/>
  <c r="D1509" i="14"/>
  <c r="E1508" i="14"/>
  <c r="D898" i="14"/>
  <c r="E897" i="14"/>
  <c r="D3174" i="14"/>
  <c r="E3173" i="14"/>
  <c r="D1914" i="14"/>
  <c r="E1913" i="14"/>
  <c r="D164" i="14"/>
  <c r="E163" i="14"/>
  <c r="D1703" i="14"/>
  <c r="E1702" i="14"/>
  <c r="D2961" i="14"/>
  <c r="E2960" i="14"/>
  <c r="E4348" i="14" l="1"/>
  <c r="D4349" i="14"/>
  <c r="E4133" i="14"/>
  <c r="D4134" i="14"/>
  <c r="E4562" i="14"/>
  <c r="D4563" i="14"/>
  <c r="E5056" i="14"/>
  <c r="D5057" i="14"/>
  <c r="E5236" i="14"/>
  <c r="D5237" i="14"/>
  <c r="E4842" i="14"/>
  <c r="D4843" i="14"/>
  <c r="D2962" i="14"/>
  <c r="E2961" i="14"/>
  <c r="D165" i="14"/>
  <c r="E164" i="14"/>
  <c r="D1915" i="14"/>
  <c r="E1914" i="14"/>
  <c r="D899" i="14"/>
  <c r="E898" i="14"/>
  <c r="D2467" i="14"/>
  <c r="E2466" i="14"/>
  <c r="D372" i="14"/>
  <c r="E371" i="14"/>
  <c r="D3387" i="14"/>
  <c r="E3386" i="14"/>
  <c r="D1704" i="14"/>
  <c r="E1703" i="14"/>
  <c r="D3175" i="14"/>
  <c r="E3174" i="14"/>
  <c r="D1510" i="14"/>
  <c r="E1509" i="14"/>
  <c r="D2795" i="14"/>
  <c r="E2794" i="14"/>
  <c r="D3600" i="14"/>
  <c r="E3599" i="14"/>
  <c r="D1084" i="14"/>
  <c r="E1083" i="14"/>
  <c r="D2282" i="14"/>
  <c r="E2281" i="14"/>
  <c r="D2100" i="14"/>
  <c r="E2099" i="14"/>
  <c r="D1296" i="14"/>
  <c r="E1295" i="14"/>
  <c r="E5057" i="14" l="1"/>
  <c r="D5058" i="14"/>
  <c r="E5237" i="14"/>
  <c r="D5238" i="14"/>
  <c r="D4564" i="14"/>
  <c r="E4563" i="14"/>
  <c r="E4349" i="14"/>
  <c r="D4350" i="14"/>
  <c r="E4843" i="14"/>
  <c r="D4844" i="14"/>
  <c r="D4135" i="14"/>
  <c r="E4134" i="14"/>
  <c r="D1297" i="14"/>
  <c r="E1296" i="14"/>
  <c r="D2283" i="14"/>
  <c r="E2282" i="14"/>
  <c r="D3601" i="14"/>
  <c r="E3600" i="14"/>
  <c r="D1511" i="14"/>
  <c r="E1510" i="14"/>
  <c r="D1916" i="14"/>
  <c r="E1915" i="14"/>
  <c r="D2963" i="14"/>
  <c r="E2962" i="14"/>
  <c r="D2101" i="14"/>
  <c r="E2100" i="14"/>
  <c r="D1085" i="14"/>
  <c r="E1084" i="14"/>
  <c r="D2796" i="14"/>
  <c r="E2795" i="14"/>
  <c r="D3176" i="14"/>
  <c r="E3175" i="14"/>
  <c r="D1705" i="14"/>
  <c r="E1704" i="14"/>
  <c r="D3388" i="14"/>
  <c r="E3387" i="14"/>
  <c r="D373" i="14"/>
  <c r="E372" i="14"/>
  <c r="D2468" i="14"/>
  <c r="E2467" i="14"/>
  <c r="D900" i="14"/>
  <c r="E899" i="14"/>
  <c r="D166" i="14"/>
  <c r="E165" i="14"/>
  <c r="E4844" i="14" l="1"/>
  <c r="D4845" i="14"/>
  <c r="E5058" i="14"/>
  <c r="D5059" i="14"/>
  <c r="E4564" i="14"/>
  <c r="D4565" i="14"/>
  <c r="E4350" i="14"/>
  <c r="D4351" i="14"/>
  <c r="E5238" i="14"/>
  <c r="D5239" i="14"/>
  <c r="E4135" i="14"/>
  <c r="D4136" i="14"/>
  <c r="D901" i="14"/>
  <c r="E900" i="14"/>
  <c r="D374" i="14"/>
  <c r="E373" i="14"/>
  <c r="D1706" i="14"/>
  <c r="E1705" i="14"/>
  <c r="D2797" i="14"/>
  <c r="E2796" i="14"/>
  <c r="D2102" i="14"/>
  <c r="E2101" i="14"/>
  <c r="D1917" i="14"/>
  <c r="E1916" i="14"/>
  <c r="D1512" i="14"/>
  <c r="E1511" i="14"/>
  <c r="D2284" i="14"/>
  <c r="E2283" i="14"/>
  <c r="D167" i="14"/>
  <c r="E166" i="14"/>
  <c r="D2469" i="14"/>
  <c r="E2468" i="14"/>
  <c r="D3389" i="14"/>
  <c r="E3388" i="14"/>
  <c r="D3177" i="14"/>
  <c r="E3176" i="14"/>
  <c r="E1085" i="14"/>
  <c r="D1086" i="14"/>
  <c r="D2964" i="14"/>
  <c r="E2963" i="14"/>
  <c r="D3602" i="14"/>
  <c r="E3601" i="14"/>
  <c r="D1298" i="14"/>
  <c r="E1297" i="14"/>
  <c r="E4351" i="14" l="1"/>
  <c r="D4352" i="14"/>
  <c r="E5239" i="14"/>
  <c r="D5240" i="14"/>
  <c r="E4565" i="14"/>
  <c r="D4566" i="14"/>
  <c r="E4845" i="14"/>
  <c r="D4846" i="14"/>
  <c r="D4137" i="14"/>
  <c r="E4136" i="14"/>
  <c r="E5059" i="14"/>
  <c r="D5060" i="14"/>
  <c r="D1299" i="14"/>
  <c r="E1298" i="14"/>
  <c r="D3390" i="14"/>
  <c r="E3389" i="14"/>
  <c r="D168" i="14"/>
  <c r="E167" i="14"/>
  <c r="D1513" i="14"/>
  <c r="E1512" i="14"/>
  <c r="D2103" i="14"/>
  <c r="E2102" i="14"/>
  <c r="D1707" i="14"/>
  <c r="E1706" i="14"/>
  <c r="D902" i="14"/>
  <c r="E901" i="14"/>
  <c r="D1087" i="14"/>
  <c r="E1086" i="14"/>
  <c r="D3603" i="14"/>
  <c r="E3602" i="14"/>
  <c r="D2965" i="14"/>
  <c r="E2964" i="14"/>
  <c r="D3178" i="14"/>
  <c r="E3177" i="14"/>
  <c r="D2470" i="14"/>
  <c r="E2469" i="14"/>
  <c r="D2285" i="14"/>
  <c r="E2284" i="14"/>
  <c r="D1918" i="14"/>
  <c r="E1917" i="14"/>
  <c r="D2798" i="14"/>
  <c r="E2797" i="14"/>
  <c r="D375" i="14"/>
  <c r="E374" i="14"/>
  <c r="E4566" i="14" l="1"/>
  <c r="D4567" i="14"/>
  <c r="E4352" i="14"/>
  <c r="D4353" i="14"/>
  <c r="E5060" i="14"/>
  <c r="D5061" i="14"/>
  <c r="E4846" i="14"/>
  <c r="D4847" i="14"/>
  <c r="E5240" i="14"/>
  <c r="D5241" i="14"/>
  <c r="E4137" i="14"/>
  <c r="D4138" i="14"/>
  <c r="D2799" i="14"/>
  <c r="E2799" i="14" s="1"/>
  <c r="E2798" i="14"/>
  <c r="D2471" i="14"/>
  <c r="E2470" i="14"/>
  <c r="D2966" i="14"/>
  <c r="E2965" i="14"/>
  <c r="D3604" i="14"/>
  <c r="E3603" i="14"/>
  <c r="D903" i="14"/>
  <c r="E902" i="14"/>
  <c r="D2104" i="14"/>
  <c r="E2103" i="14"/>
  <c r="D1514" i="14"/>
  <c r="E1513" i="14"/>
  <c r="D3391" i="14"/>
  <c r="E3390" i="14"/>
  <c r="D376" i="14"/>
  <c r="E375" i="14"/>
  <c r="D1919" i="14"/>
  <c r="E1918" i="14"/>
  <c r="D2286" i="14"/>
  <c r="E2285" i="14"/>
  <c r="D3179" i="14"/>
  <c r="E3178" i="14"/>
  <c r="D1088" i="14"/>
  <c r="E1087" i="14"/>
  <c r="D1708" i="14"/>
  <c r="E1707" i="14"/>
  <c r="D169" i="14"/>
  <c r="E168" i="14"/>
  <c r="D1300" i="14"/>
  <c r="E1299" i="14"/>
  <c r="D4139" i="14" l="1"/>
  <c r="E4138" i="14"/>
  <c r="E4847" i="14"/>
  <c r="D4848" i="14"/>
  <c r="E5241" i="14"/>
  <c r="D5242" i="14"/>
  <c r="E5061" i="14"/>
  <c r="D5062" i="14"/>
  <c r="D4568" i="14"/>
  <c r="E4567" i="14"/>
  <c r="E4353" i="14"/>
  <c r="D4354" i="14"/>
  <c r="D170" i="14"/>
  <c r="E169" i="14"/>
  <c r="D1709" i="14"/>
  <c r="E1708" i="14"/>
  <c r="D2287" i="14"/>
  <c r="E2286" i="14"/>
  <c r="D377" i="14"/>
  <c r="E376" i="14"/>
  <c r="D3392" i="14"/>
  <c r="E3391" i="14"/>
  <c r="D2105" i="14"/>
  <c r="E2104" i="14"/>
  <c r="D3605" i="14"/>
  <c r="E3604" i="14"/>
  <c r="D2472" i="14"/>
  <c r="E2471" i="14"/>
  <c r="D1301" i="14"/>
  <c r="E1300" i="14"/>
  <c r="D1089" i="14"/>
  <c r="E1088" i="14"/>
  <c r="D3180" i="14"/>
  <c r="E3179" i="14"/>
  <c r="D1920" i="14"/>
  <c r="E1919" i="14"/>
  <c r="D1515" i="14"/>
  <c r="E1514" i="14"/>
  <c r="D904" i="14"/>
  <c r="E903" i="14"/>
  <c r="D2967" i="14"/>
  <c r="E2966" i="14"/>
  <c r="E4354" i="14" l="1"/>
  <c r="D4355" i="14"/>
  <c r="E4848" i="14"/>
  <c r="D4849" i="14"/>
  <c r="E5242" i="14"/>
  <c r="D5243" i="14"/>
  <c r="E5062" i="14"/>
  <c r="D5063" i="14"/>
  <c r="E4568" i="14"/>
  <c r="D4569" i="14"/>
  <c r="E4139" i="14"/>
  <c r="D4140" i="14"/>
  <c r="D905" i="14"/>
  <c r="E904" i="14"/>
  <c r="D3181" i="14"/>
  <c r="E3180" i="14"/>
  <c r="D1302" i="14"/>
  <c r="E1301" i="14"/>
  <c r="D3606" i="14"/>
  <c r="E3605" i="14"/>
  <c r="D3393" i="14"/>
  <c r="E3392" i="14"/>
  <c r="D2288" i="14"/>
  <c r="E2287" i="14"/>
  <c r="D1710" i="14"/>
  <c r="E1709" i="14"/>
  <c r="D2968" i="14"/>
  <c r="E2967" i="14"/>
  <c r="D1516" i="14"/>
  <c r="E1515" i="14"/>
  <c r="D1921" i="14"/>
  <c r="E1920" i="14"/>
  <c r="D1090" i="14"/>
  <c r="E1089" i="14"/>
  <c r="D2473" i="14"/>
  <c r="E2472" i="14"/>
  <c r="D2106" i="14"/>
  <c r="E2105" i="14"/>
  <c r="D378" i="14"/>
  <c r="E377" i="14"/>
  <c r="D171" i="14"/>
  <c r="E170" i="14"/>
  <c r="E4569" i="14" l="1"/>
  <c r="D4570" i="14"/>
  <c r="E5243" i="14"/>
  <c r="D5244" i="14"/>
  <c r="E4355" i="14"/>
  <c r="D4356" i="14"/>
  <c r="D4141" i="14"/>
  <c r="E4140" i="14"/>
  <c r="E5063" i="14"/>
  <c r="D5064" i="14"/>
  <c r="E4849" i="14"/>
  <c r="D4850" i="14"/>
  <c r="D2107" i="14"/>
  <c r="E2106" i="14"/>
  <c r="D1922" i="14"/>
  <c r="E1921" i="14"/>
  <c r="D2969" i="14"/>
  <c r="E2968" i="14"/>
  <c r="D1711" i="14"/>
  <c r="E1710" i="14"/>
  <c r="D3394" i="14"/>
  <c r="E3393" i="14"/>
  <c r="D1303" i="14"/>
  <c r="E1302" i="14"/>
  <c r="D3182" i="14"/>
  <c r="E3181" i="14"/>
  <c r="D906" i="14"/>
  <c r="E905" i="14"/>
  <c r="D172" i="14"/>
  <c r="E171" i="14"/>
  <c r="D379" i="14"/>
  <c r="E378" i="14"/>
  <c r="D2474" i="14"/>
  <c r="E2473" i="14"/>
  <c r="D1091" i="14"/>
  <c r="E1090" i="14"/>
  <c r="D1517" i="14"/>
  <c r="E1516" i="14"/>
  <c r="D2289" i="14"/>
  <c r="E2288" i="14"/>
  <c r="D3607" i="14"/>
  <c r="E3606" i="14"/>
  <c r="E5064" i="14" l="1"/>
  <c r="D5065" i="14"/>
  <c r="E4356" i="14"/>
  <c r="D4357" i="14"/>
  <c r="E4570" i="14"/>
  <c r="D4571" i="14"/>
  <c r="E4850" i="14"/>
  <c r="D4851" i="14"/>
  <c r="E5244" i="14"/>
  <c r="D5245" i="14"/>
  <c r="E4141" i="14"/>
  <c r="D4142" i="14"/>
  <c r="D3608" i="14"/>
  <c r="E3607" i="14"/>
  <c r="D1092" i="14"/>
  <c r="E1091" i="14"/>
  <c r="D380" i="14"/>
  <c r="E379" i="14"/>
  <c r="D907" i="14"/>
  <c r="E906" i="14"/>
  <c r="D1304" i="14"/>
  <c r="E1303" i="14"/>
  <c r="D1712" i="14"/>
  <c r="E1711" i="14"/>
  <c r="D1923" i="14"/>
  <c r="E1922" i="14"/>
  <c r="D2108" i="14"/>
  <c r="E2107" i="14"/>
  <c r="D2290" i="14"/>
  <c r="E2289" i="14"/>
  <c r="D1518" i="14"/>
  <c r="E1517" i="14"/>
  <c r="D2475" i="14"/>
  <c r="E2474" i="14"/>
  <c r="D173" i="14"/>
  <c r="E172" i="14"/>
  <c r="D3183" i="14"/>
  <c r="E3182" i="14"/>
  <c r="D3395" i="14"/>
  <c r="E3394" i="14"/>
  <c r="D2970" i="14"/>
  <c r="E2969" i="14"/>
  <c r="E5245" i="14" l="1"/>
  <c r="D5246" i="14"/>
  <c r="E4571" i="14"/>
  <c r="D4572" i="14"/>
  <c r="E5065" i="14"/>
  <c r="D5066" i="14"/>
  <c r="D4143" i="14"/>
  <c r="E4142" i="14"/>
  <c r="E4851" i="14"/>
  <c r="D4852" i="14"/>
  <c r="E4357" i="14"/>
  <c r="D4358" i="14"/>
  <c r="D3396" i="14"/>
  <c r="E3395" i="14"/>
  <c r="D174" i="14"/>
  <c r="E173" i="14"/>
  <c r="D1519" i="14"/>
  <c r="E1518" i="14"/>
  <c r="D2109" i="14"/>
  <c r="E2108" i="14"/>
  <c r="D1713" i="14"/>
  <c r="E1712" i="14"/>
  <c r="D908" i="14"/>
  <c r="E907" i="14"/>
  <c r="D1093" i="14"/>
  <c r="E1092" i="14"/>
  <c r="D3609" i="14"/>
  <c r="E3608" i="14"/>
  <c r="D2971" i="14"/>
  <c r="E2970" i="14"/>
  <c r="D3184" i="14"/>
  <c r="E3183" i="14"/>
  <c r="D2476" i="14"/>
  <c r="E2475" i="14"/>
  <c r="D2291" i="14"/>
  <c r="E2290" i="14"/>
  <c r="D1924" i="14"/>
  <c r="E1923" i="14"/>
  <c r="D1305" i="14"/>
  <c r="E1304" i="14"/>
  <c r="D381" i="14"/>
  <c r="E380" i="14"/>
  <c r="E4852" i="14" l="1"/>
  <c r="D4853" i="14"/>
  <c r="E5246" i="14"/>
  <c r="D5247" i="14"/>
  <c r="E4358" i="14"/>
  <c r="D4359" i="14"/>
  <c r="E4572" i="14"/>
  <c r="D4573" i="14"/>
  <c r="E4143" i="14"/>
  <c r="D4144" i="14"/>
  <c r="E5066" i="14"/>
  <c r="D5067" i="14"/>
  <c r="D1306" i="14"/>
  <c r="E1305" i="14"/>
  <c r="D2477" i="14"/>
  <c r="E2476" i="14"/>
  <c r="D2972" i="14"/>
  <c r="E2971" i="14"/>
  <c r="D3610" i="14"/>
  <c r="E3609" i="14"/>
  <c r="D909" i="14"/>
  <c r="E908" i="14"/>
  <c r="D2110" i="14"/>
  <c r="E2109" i="14"/>
  <c r="D1520" i="14"/>
  <c r="E1519" i="14"/>
  <c r="D3397" i="14"/>
  <c r="E3396" i="14"/>
  <c r="D382" i="14"/>
  <c r="E381" i="14"/>
  <c r="D1925" i="14"/>
  <c r="E1924" i="14"/>
  <c r="D2292" i="14"/>
  <c r="E2291" i="14"/>
  <c r="D3185" i="14"/>
  <c r="E3184" i="14"/>
  <c r="D1094" i="14"/>
  <c r="E1093" i="14"/>
  <c r="D1714" i="14"/>
  <c r="E1713" i="14"/>
  <c r="D175" i="14"/>
  <c r="E174" i="14"/>
  <c r="E5067" i="14" l="1"/>
  <c r="D5068" i="14"/>
  <c r="E4573" i="14"/>
  <c r="D4574" i="14"/>
  <c r="D4145" i="14"/>
  <c r="E4144" i="14"/>
  <c r="E4359" i="14"/>
  <c r="D4360" i="14"/>
  <c r="E4853" i="14"/>
  <c r="D4854" i="14"/>
  <c r="E5247" i="14"/>
  <c r="D5248" i="14"/>
  <c r="D176" i="14"/>
  <c r="E175" i="14"/>
  <c r="D1715" i="14"/>
  <c r="E1714" i="14"/>
  <c r="D2293" i="14"/>
  <c r="E2292" i="14"/>
  <c r="D383" i="14"/>
  <c r="E382" i="14"/>
  <c r="D3398" i="14"/>
  <c r="E3397" i="14"/>
  <c r="D2111" i="14"/>
  <c r="E2110" i="14"/>
  <c r="D3611" i="14"/>
  <c r="E3610" i="14"/>
  <c r="D2478" i="14"/>
  <c r="E2477" i="14"/>
  <c r="D1307" i="14"/>
  <c r="E1306" i="14"/>
  <c r="D1095" i="14"/>
  <c r="E1094" i="14"/>
  <c r="D3186" i="14"/>
  <c r="E3185" i="14"/>
  <c r="D1926" i="14"/>
  <c r="E1925" i="14"/>
  <c r="D1521" i="14"/>
  <c r="E1520" i="14"/>
  <c r="D910" i="14"/>
  <c r="E909" i="14"/>
  <c r="D2973" i="14"/>
  <c r="E2972" i="14"/>
  <c r="E4574" i="14" l="1"/>
  <c r="D4575" i="14"/>
  <c r="E5248" i="14"/>
  <c r="D5249" i="14"/>
  <c r="E4854" i="14"/>
  <c r="D4855" i="14"/>
  <c r="E5068" i="14"/>
  <c r="D5069" i="14"/>
  <c r="E4360" i="14"/>
  <c r="D4361" i="14"/>
  <c r="E4145" i="14"/>
  <c r="D4146" i="14"/>
  <c r="D911" i="14"/>
  <c r="E910" i="14"/>
  <c r="D3187" i="14"/>
  <c r="E3186" i="14"/>
  <c r="D1308" i="14"/>
  <c r="E1307" i="14"/>
  <c r="D3612" i="14"/>
  <c r="E3611" i="14"/>
  <c r="D3399" i="14"/>
  <c r="E3398" i="14"/>
  <c r="D2294" i="14"/>
  <c r="E2293" i="14"/>
  <c r="D1716" i="14"/>
  <c r="E1715" i="14"/>
  <c r="D2974" i="14"/>
  <c r="E2973" i="14"/>
  <c r="D1522" i="14"/>
  <c r="E1521" i="14"/>
  <c r="D1927" i="14"/>
  <c r="E1926" i="14"/>
  <c r="D1096" i="14"/>
  <c r="E1095" i="14"/>
  <c r="D2479" i="14"/>
  <c r="E2478" i="14"/>
  <c r="D2112" i="14"/>
  <c r="E2111" i="14"/>
  <c r="D384" i="14"/>
  <c r="E383" i="14"/>
  <c r="D177" i="14"/>
  <c r="E176" i="14"/>
  <c r="D4147" i="14" l="1"/>
  <c r="E4146" i="14"/>
  <c r="E5069" i="14"/>
  <c r="D5070" i="14"/>
  <c r="E5249" i="14"/>
  <c r="D5250" i="14"/>
  <c r="E4361" i="14"/>
  <c r="D4362" i="14"/>
  <c r="E4855" i="14"/>
  <c r="D4856" i="14"/>
  <c r="D4576" i="14"/>
  <c r="E4575" i="14"/>
  <c r="D2113" i="14"/>
  <c r="E2112" i="14"/>
  <c r="D1928" i="14"/>
  <c r="E1927" i="14"/>
  <c r="D2975" i="14"/>
  <c r="E2974" i="14"/>
  <c r="D1717" i="14"/>
  <c r="E1716" i="14"/>
  <c r="D3400" i="14"/>
  <c r="E3399" i="14"/>
  <c r="D1309" i="14"/>
  <c r="E1308" i="14"/>
  <c r="D3188" i="14"/>
  <c r="E3187" i="14"/>
  <c r="D912" i="14"/>
  <c r="E911" i="14"/>
  <c r="D178" i="14"/>
  <c r="E177" i="14"/>
  <c r="D385" i="14"/>
  <c r="E384" i="14"/>
  <c r="D2480" i="14"/>
  <c r="E2479" i="14"/>
  <c r="D1097" i="14"/>
  <c r="E1096" i="14"/>
  <c r="D1523" i="14"/>
  <c r="E1522" i="14"/>
  <c r="D2295" i="14"/>
  <c r="E2294" i="14"/>
  <c r="D3613" i="14"/>
  <c r="E3612" i="14"/>
  <c r="E4362" i="14" l="1"/>
  <c r="D4363" i="14"/>
  <c r="E4576" i="14"/>
  <c r="D4577" i="14"/>
  <c r="E4856" i="14"/>
  <c r="D4857" i="14"/>
  <c r="E5250" i="14"/>
  <c r="D5251" i="14"/>
  <c r="E5070" i="14"/>
  <c r="D5071" i="14"/>
  <c r="E4147" i="14"/>
  <c r="D4148" i="14"/>
  <c r="D3614" i="14"/>
  <c r="E3613" i="14"/>
  <c r="D1098" i="14"/>
  <c r="E1097" i="14"/>
  <c r="D386" i="14"/>
  <c r="E385" i="14"/>
  <c r="D913" i="14"/>
  <c r="E912" i="14"/>
  <c r="D1310" i="14"/>
  <c r="E1309" i="14"/>
  <c r="D1718" i="14"/>
  <c r="E1717" i="14"/>
  <c r="D1929" i="14"/>
  <c r="E1928" i="14"/>
  <c r="D2114" i="14"/>
  <c r="E2113" i="14"/>
  <c r="D2296" i="14"/>
  <c r="E2295" i="14"/>
  <c r="D1524" i="14"/>
  <c r="E1523" i="14"/>
  <c r="D2481" i="14"/>
  <c r="E2480" i="14"/>
  <c r="D179" i="14"/>
  <c r="E178" i="14"/>
  <c r="D3189" i="14"/>
  <c r="E3188" i="14"/>
  <c r="D3401" i="14"/>
  <c r="E3400" i="14"/>
  <c r="D2976" i="14"/>
  <c r="E2975" i="14"/>
  <c r="D4149" i="14" l="1"/>
  <c r="E4148" i="14"/>
  <c r="E5251" i="14"/>
  <c r="D5252" i="14"/>
  <c r="E4577" i="14"/>
  <c r="D4578" i="14"/>
  <c r="E5071" i="14"/>
  <c r="D5072" i="14"/>
  <c r="E4857" i="14"/>
  <c r="D4858" i="14"/>
  <c r="E4363" i="14"/>
  <c r="D4364" i="14"/>
  <c r="D3402" i="14"/>
  <c r="E3401" i="14"/>
  <c r="D180" i="14"/>
  <c r="E179" i="14"/>
  <c r="D1525" i="14"/>
  <c r="E1524" i="14"/>
  <c r="D1930" i="14"/>
  <c r="E1929" i="14"/>
  <c r="D1311" i="14"/>
  <c r="E1310" i="14"/>
  <c r="D387" i="14"/>
  <c r="E386" i="14"/>
  <c r="D2977" i="14"/>
  <c r="E2976" i="14"/>
  <c r="D3190" i="14"/>
  <c r="E3189" i="14"/>
  <c r="D2482" i="14"/>
  <c r="E2481" i="14"/>
  <c r="D2297" i="14"/>
  <c r="E2296" i="14"/>
  <c r="D2115" i="14"/>
  <c r="E2114" i="14"/>
  <c r="D1719" i="14"/>
  <c r="E1718" i="14"/>
  <c r="D914" i="14"/>
  <c r="E913" i="14"/>
  <c r="D1099" i="14"/>
  <c r="E1098" i="14"/>
  <c r="D3615" i="14"/>
  <c r="E3614" i="14"/>
  <c r="E4364" i="14" l="1"/>
  <c r="D4365" i="14"/>
  <c r="E5252" i="14"/>
  <c r="D5253" i="14"/>
  <c r="E4858" i="14"/>
  <c r="D4859" i="14"/>
  <c r="E4578" i="14"/>
  <c r="D4579" i="14"/>
  <c r="E5072" i="14"/>
  <c r="D5073" i="14"/>
  <c r="E4149" i="14"/>
  <c r="D4150" i="14"/>
  <c r="D1100" i="14"/>
  <c r="E1099" i="14"/>
  <c r="D3616" i="14"/>
  <c r="E3615" i="14"/>
  <c r="D915" i="14"/>
  <c r="E914" i="14"/>
  <c r="D2116" i="14"/>
  <c r="E2115" i="14"/>
  <c r="D2483" i="14"/>
  <c r="E2482" i="14"/>
  <c r="D2978" i="14"/>
  <c r="E2977" i="14"/>
  <c r="D388" i="14"/>
  <c r="E387" i="14"/>
  <c r="D1931" i="14"/>
  <c r="E1930" i="14"/>
  <c r="D1526" i="14"/>
  <c r="E1525" i="14"/>
  <c r="D3403" i="14"/>
  <c r="E3402" i="14"/>
  <c r="D1720" i="14"/>
  <c r="E1719" i="14"/>
  <c r="D2298" i="14"/>
  <c r="E2297" i="14"/>
  <c r="D3191" i="14"/>
  <c r="E3190" i="14"/>
  <c r="D1312" i="14"/>
  <c r="E1311" i="14"/>
  <c r="D181" i="14"/>
  <c r="E180" i="14"/>
  <c r="E4859" i="14" l="1"/>
  <c r="D4860" i="14"/>
  <c r="E4365" i="14"/>
  <c r="D4366" i="14"/>
  <c r="D4151" i="14"/>
  <c r="E4150" i="14"/>
  <c r="E4579" i="14"/>
  <c r="D4580" i="14"/>
  <c r="E5253" i="14"/>
  <c r="D5254" i="14"/>
  <c r="E5073" i="14"/>
  <c r="D5074" i="14"/>
  <c r="E5074" i="14" s="1"/>
  <c r="D182" i="14"/>
  <c r="E181" i="14"/>
  <c r="D1313" i="14"/>
  <c r="E1312" i="14"/>
  <c r="D2299" i="14"/>
  <c r="E2298" i="14"/>
  <c r="D1527" i="14"/>
  <c r="E1526" i="14"/>
  <c r="D389" i="14"/>
  <c r="E388" i="14"/>
  <c r="D2979" i="14"/>
  <c r="E2978" i="14"/>
  <c r="D2117" i="14"/>
  <c r="E2116" i="14"/>
  <c r="D3617" i="14"/>
  <c r="E3616" i="14"/>
  <c r="D3192" i="14"/>
  <c r="E3191" i="14"/>
  <c r="D1721" i="14"/>
  <c r="E1720" i="14"/>
  <c r="D3404" i="14"/>
  <c r="E3403" i="14"/>
  <c r="D1932" i="14"/>
  <c r="E1931" i="14"/>
  <c r="D2484" i="14"/>
  <c r="E2483" i="14"/>
  <c r="D916" i="14"/>
  <c r="E915" i="14"/>
  <c r="D1101" i="14"/>
  <c r="E1100" i="14"/>
  <c r="E5254" i="14" l="1"/>
  <c r="D5255" i="14"/>
  <c r="E4860" i="14"/>
  <c r="D4861" i="14"/>
  <c r="E4151" i="14"/>
  <c r="D4152" i="14"/>
  <c r="E4580" i="14"/>
  <c r="D4581" i="14"/>
  <c r="E4366" i="14"/>
  <c r="D4367" i="14"/>
  <c r="D1102" i="14"/>
  <c r="E1101" i="14"/>
  <c r="D2485" i="14"/>
  <c r="E2484" i="14"/>
  <c r="D1933" i="14"/>
  <c r="E1932" i="14"/>
  <c r="D1722" i="14"/>
  <c r="E1721" i="14"/>
  <c r="D3618" i="14"/>
  <c r="E3617" i="14"/>
  <c r="D2980" i="14"/>
  <c r="E2979" i="14"/>
  <c r="D1528" i="14"/>
  <c r="E1527" i="14"/>
  <c r="D2300" i="14"/>
  <c r="E2299" i="14"/>
  <c r="D1314" i="14"/>
  <c r="E1313" i="14"/>
  <c r="D917" i="14"/>
  <c r="E916" i="14"/>
  <c r="D3405" i="14"/>
  <c r="E3404" i="14"/>
  <c r="D3193" i="14"/>
  <c r="E3192" i="14"/>
  <c r="D2118" i="14"/>
  <c r="E2117" i="14"/>
  <c r="D390" i="14"/>
  <c r="E389" i="14"/>
  <c r="D183" i="14"/>
  <c r="E182" i="14"/>
  <c r="E4861" i="14" l="1"/>
  <c r="D4862" i="14"/>
  <c r="E4367" i="14"/>
  <c r="D4368" i="14"/>
  <c r="D4153" i="14"/>
  <c r="E4152" i="14"/>
  <c r="E5255" i="14"/>
  <c r="D5256" i="14"/>
  <c r="E4581" i="14"/>
  <c r="D4582" i="14"/>
  <c r="D184" i="14"/>
  <c r="E183" i="14"/>
  <c r="D2119" i="14"/>
  <c r="E2119" i="14" s="1"/>
  <c r="E2118" i="14"/>
  <c r="D3194" i="14"/>
  <c r="E3193" i="14"/>
  <c r="D1315" i="14"/>
  <c r="E1314" i="14"/>
  <c r="D1529" i="14"/>
  <c r="E1528" i="14"/>
  <c r="D3619" i="14"/>
  <c r="E3618" i="14"/>
  <c r="D1723" i="14"/>
  <c r="E1722" i="14"/>
  <c r="D2486" i="14"/>
  <c r="E2485" i="14"/>
  <c r="D391" i="14"/>
  <c r="E390" i="14"/>
  <c r="D3406" i="14"/>
  <c r="E3405" i="14"/>
  <c r="D918" i="14"/>
  <c r="E917" i="14"/>
  <c r="D2301" i="14"/>
  <c r="E2300" i="14"/>
  <c r="D2981" i="14"/>
  <c r="E2980" i="14"/>
  <c r="D1934" i="14"/>
  <c r="E1933" i="14"/>
  <c r="D1103" i="14"/>
  <c r="E1102" i="14"/>
  <c r="E4368" i="14" l="1"/>
  <c r="D4369" i="14"/>
  <c r="E4582" i="14"/>
  <c r="D4583" i="14"/>
  <c r="E4862" i="14"/>
  <c r="D4863" i="14"/>
  <c r="E5256" i="14"/>
  <c r="D5257" i="14"/>
  <c r="E4153" i="14"/>
  <c r="D4154" i="14"/>
  <c r="D1104" i="14"/>
  <c r="E1103" i="14"/>
  <c r="D2302" i="14"/>
  <c r="E2301" i="14"/>
  <c r="D3407" i="14"/>
  <c r="E3406" i="14"/>
  <c r="D392" i="14"/>
  <c r="E391" i="14"/>
  <c r="D2487" i="14"/>
  <c r="E2487" i="14" s="1"/>
  <c r="E2486" i="14"/>
  <c r="D3620" i="14"/>
  <c r="E3619" i="14"/>
  <c r="D1316" i="14"/>
  <c r="E1315" i="14"/>
  <c r="D3195" i="14"/>
  <c r="E3194" i="14"/>
  <c r="D1935" i="14"/>
  <c r="E1935" i="14" s="1"/>
  <c r="E1934" i="14"/>
  <c r="D2982" i="14"/>
  <c r="E2981" i="14"/>
  <c r="D919" i="14"/>
  <c r="E918" i="14"/>
  <c r="D1724" i="14"/>
  <c r="E1723" i="14"/>
  <c r="D1530" i="14"/>
  <c r="E1529" i="14"/>
  <c r="D185" i="14"/>
  <c r="E184" i="14"/>
  <c r="D4155" i="14" l="1"/>
  <c r="E4154" i="14"/>
  <c r="E4863" i="14"/>
  <c r="D4864" i="14"/>
  <c r="E4369" i="14"/>
  <c r="D4370" i="14"/>
  <c r="E5257" i="14"/>
  <c r="D5258" i="14"/>
  <c r="D4584" i="14"/>
  <c r="E4583" i="14"/>
  <c r="D1725" i="14"/>
  <c r="E1724" i="14"/>
  <c r="D2983" i="14"/>
  <c r="E2982" i="14"/>
  <c r="D1317" i="14"/>
  <c r="E1316" i="14"/>
  <c r="D3408" i="14"/>
  <c r="E3407" i="14"/>
  <c r="D186" i="14"/>
  <c r="E185" i="14"/>
  <c r="D1531" i="14"/>
  <c r="E1530" i="14"/>
  <c r="D920" i="14"/>
  <c r="E919" i="14"/>
  <c r="D3196" i="14"/>
  <c r="E3195" i="14"/>
  <c r="D3621" i="14"/>
  <c r="E3620" i="14"/>
  <c r="D393" i="14"/>
  <c r="E392" i="14"/>
  <c r="D2303" i="14"/>
  <c r="E2303" i="14" s="1"/>
  <c r="E2302" i="14"/>
  <c r="D1105" i="14"/>
  <c r="E1104" i="14"/>
  <c r="E5258" i="14" l="1"/>
  <c r="D5259" i="14"/>
  <c r="E4370" i="14"/>
  <c r="D4371" i="14"/>
  <c r="E4864" i="14"/>
  <c r="D4865" i="14"/>
  <c r="E4584" i="14"/>
  <c r="D4585" i="14"/>
  <c r="E4155" i="14"/>
  <c r="D4156" i="14"/>
  <c r="D3622" i="14"/>
  <c r="E3621" i="14"/>
  <c r="D921" i="14"/>
  <c r="E921" i="14" s="1"/>
  <c r="E920" i="14"/>
  <c r="D1532" i="14"/>
  <c r="E1531" i="14"/>
  <c r="D1318" i="14"/>
  <c r="E1317" i="14"/>
  <c r="D2984" i="14"/>
  <c r="E2983" i="14"/>
  <c r="D1726" i="14"/>
  <c r="E1725" i="14"/>
  <c r="D1106" i="14"/>
  <c r="E1105" i="14"/>
  <c r="D394" i="14"/>
  <c r="E393" i="14"/>
  <c r="D3197" i="14"/>
  <c r="E3196" i="14"/>
  <c r="D187" i="14"/>
  <c r="E186" i="14"/>
  <c r="D3409" i="14"/>
  <c r="E3408" i="14"/>
  <c r="E4585" i="14" l="1"/>
  <c r="D4586" i="14"/>
  <c r="D4157" i="14"/>
  <c r="E4156" i="14"/>
  <c r="E4865" i="14"/>
  <c r="D4866" i="14"/>
  <c r="E5259" i="14"/>
  <c r="D5260" i="14"/>
  <c r="E4371" i="14"/>
  <c r="D4372" i="14"/>
  <c r="D188" i="14"/>
  <c r="E187" i="14"/>
  <c r="D3198" i="14"/>
  <c r="E3197" i="14"/>
  <c r="D1107" i="14"/>
  <c r="E1106" i="14"/>
  <c r="D2985" i="14"/>
  <c r="E2984" i="14"/>
  <c r="D3410" i="14"/>
  <c r="E3409" i="14"/>
  <c r="D395" i="14"/>
  <c r="E394" i="14"/>
  <c r="D1727" i="14"/>
  <c r="E1726" i="14"/>
  <c r="D1319" i="14"/>
  <c r="E1318" i="14"/>
  <c r="D1533" i="14"/>
  <c r="E1532" i="14"/>
  <c r="D3623" i="14"/>
  <c r="E3622" i="14"/>
  <c r="E4372" i="14" l="1"/>
  <c r="D4373" i="14"/>
  <c r="E4866" i="14"/>
  <c r="D4867" i="14"/>
  <c r="E4586" i="14"/>
  <c r="D4587" i="14"/>
  <c r="E5260" i="14"/>
  <c r="D5261" i="14"/>
  <c r="E4157" i="14"/>
  <c r="D4158" i="14"/>
  <c r="D1534" i="14"/>
  <c r="E1533" i="14"/>
  <c r="D1728" i="14"/>
  <c r="E1727" i="14"/>
  <c r="D2986" i="14"/>
  <c r="E2985" i="14"/>
  <c r="D3199" i="14"/>
  <c r="E3198" i="14"/>
  <c r="D3624" i="14"/>
  <c r="E3623" i="14"/>
  <c r="D1320" i="14"/>
  <c r="E1319" i="14"/>
  <c r="D396" i="14"/>
  <c r="E395" i="14"/>
  <c r="D3411" i="14"/>
  <c r="E3410" i="14"/>
  <c r="D1108" i="14"/>
  <c r="E1107" i="14"/>
  <c r="D189" i="14"/>
  <c r="E188" i="14"/>
  <c r="E4867" i="14" l="1"/>
  <c r="D4868" i="14"/>
  <c r="D4159" i="14"/>
  <c r="E4158" i="14"/>
  <c r="E4587" i="14"/>
  <c r="D4588" i="14"/>
  <c r="E4373" i="14"/>
  <c r="D4374" i="14"/>
  <c r="E5261" i="14"/>
  <c r="D5262" i="14"/>
  <c r="D190" i="14"/>
  <c r="E189" i="14"/>
  <c r="D397" i="14"/>
  <c r="E396" i="14"/>
  <c r="D3625" i="14"/>
  <c r="E3624" i="14"/>
  <c r="D3200" i="14"/>
  <c r="E3199" i="14"/>
  <c r="D1729" i="14"/>
  <c r="E1728" i="14"/>
  <c r="D1109" i="14"/>
  <c r="E1108" i="14"/>
  <c r="D3412" i="14"/>
  <c r="E3411" i="14"/>
  <c r="D1321" i="14"/>
  <c r="E1320" i="14"/>
  <c r="D2987" i="14"/>
  <c r="E2986" i="14"/>
  <c r="D1535" i="14"/>
  <c r="E1534" i="14"/>
  <c r="E5262" i="14" l="1"/>
  <c r="D5263" i="14"/>
  <c r="D4589" i="14"/>
  <c r="E4588" i="14"/>
  <c r="E4868" i="14"/>
  <c r="D4869" i="14"/>
  <c r="E4374" i="14"/>
  <c r="D4375" i="14"/>
  <c r="E4159" i="14"/>
  <c r="D4160" i="14"/>
  <c r="D3413" i="14"/>
  <c r="E3412" i="14"/>
  <c r="D3626" i="14"/>
  <c r="E3625" i="14"/>
  <c r="D1536" i="14"/>
  <c r="E1535" i="14"/>
  <c r="D2988" i="14"/>
  <c r="E2987" i="14"/>
  <c r="D1322" i="14"/>
  <c r="E1321" i="14"/>
  <c r="D1110" i="14"/>
  <c r="E1109" i="14"/>
  <c r="D1730" i="14"/>
  <c r="E1729" i="14"/>
  <c r="D3201" i="14"/>
  <c r="E3200" i="14"/>
  <c r="D398" i="14"/>
  <c r="E397" i="14"/>
  <c r="D191" i="14"/>
  <c r="E190" i="14"/>
  <c r="E4589" i="14" l="1"/>
  <c r="D4590" i="14"/>
  <c r="E4375" i="14"/>
  <c r="D4376" i="14"/>
  <c r="D4161" i="14"/>
  <c r="E4160" i="14"/>
  <c r="E4869" i="14"/>
  <c r="D4870" i="14"/>
  <c r="E5263" i="14"/>
  <c r="D5264" i="14"/>
  <c r="D399" i="14"/>
  <c r="E398" i="14"/>
  <c r="D1731" i="14"/>
  <c r="E1730" i="14"/>
  <c r="D1323" i="14"/>
  <c r="E1322" i="14"/>
  <c r="D1537" i="14"/>
  <c r="E1536" i="14"/>
  <c r="D3627" i="14"/>
  <c r="E3626" i="14"/>
  <c r="D192" i="14"/>
  <c r="E191" i="14"/>
  <c r="D3202" i="14"/>
  <c r="E3201" i="14"/>
  <c r="D1111" i="14"/>
  <c r="E1110" i="14"/>
  <c r="D2989" i="14"/>
  <c r="E2988" i="14"/>
  <c r="D3414" i="14"/>
  <c r="E3413" i="14"/>
  <c r="E4870" i="14" l="1"/>
  <c r="D4871" i="14"/>
  <c r="E5264" i="14"/>
  <c r="D5265" i="14"/>
  <c r="D4591" i="14"/>
  <c r="E4590" i="14"/>
  <c r="E4376" i="14"/>
  <c r="D4377" i="14"/>
  <c r="E4161" i="14"/>
  <c r="D4162" i="14"/>
  <c r="D3415" i="14"/>
  <c r="E3414" i="14"/>
  <c r="D1112" i="14"/>
  <c r="E1111" i="14"/>
  <c r="D193" i="14"/>
  <c r="E192" i="14"/>
  <c r="D1538" i="14"/>
  <c r="E1537" i="14"/>
  <c r="D1732" i="14"/>
  <c r="E1731" i="14"/>
  <c r="D2990" i="14"/>
  <c r="E2989" i="14"/>
  <c r="D3203" i="14"/>
  <c r="E3202" i="14"/>
  <c r="D3628" i="14"/>
  <c r="E3627" i="14"/>
  <c r="D1324" i="14"/>
  <c r="E1323" i="14"/>
  <c r="D400" i="14"/>
  <c r="E399" i="14"/>
  <c r="D4163" i="14" l="1"/>
  <c r="E4162" i="14"/>
  <c r="E4871" i="14"/>
  <c r="D4872" i="14"/>
  <c r="E4591" i="14"/>
  <c r="D4592" i="14"/>
  <c r="E4377" i="14"/>
  <c r="D4378" i="14"/>
  <c r="E5265" i="14"/>
  <c r="D5266" i="14"/>
  <c r="D1325" i="14"/>
  <c r="E1324" i="14"/>
  <c r="D2991" i="14"/>
  <c r="E2990" i="14"/>
  <c r="D1539" i="14"/>
  <c r="E1538" i="14"/>
  <c r="D194" i="14"/>
  <c r="E193" i="14"/>
  <c r="D401" i="14"/>
  <c r="E400" i="14"/>
  <c r="D3629" i="14"/>
  <c r="E3628" i="14"/>
  <c r="D3204" i="14"/>
  <c r="E3203" i="14"/>
  <c r="D1733" i="14"/>
  <c r="E1732" i="14"/>
  <c r="D1113" i="14"/>
  <c r="E1112" i="14"/>
  <c r="D3416" i="14"/>
  <c r="E3415" i="14"/>
  <c r="E4872" i="14" l="1"/>
  <c r="D4873" i="14"/>
  <c r="E5266" i="14"/>
  <c r="D5267" i="14"/>
  <c r="D4593" i="14"/>
  <c r="E4592" i="14"/>
  <c r="E4378" i="14"/>
  <c r="D4379" i="14"/>
  <c r="E4163" i="14"/>
  <c r="D4164" i="14"/>
  <c r="D1114" i="14"/>
  <c r="E1113" i="14"/>
  <c r="D1734" i="14"/>
  <c r="E1733" i="14"/>
  <c r="D3205" i="14"/>
  <c r="E3204" i="14"/>
  <c r="D402" i="14"/>
  <c r="E401" i="14"/>
  <c r="D195" i="14"/>
  <c r="E194" i="14"/>
  <c r="D3417" i="14"/>
  <c r="E3416" i="14"/>
  <c r="D3630" i="14"/>
  <c r="E3629" i="14"/>
  <c r="D1540" i="14"/>
  <c r="E1539" i="14"/>
  <c r="D2992" i="14"/>
  <c r="E2991" i="14"/>
  <c r="D1326" i="14"/>
  <c r="E1325" i="14"/>
  <c r="E4379" i="14" l="1"/>
  <c r="D4380" i="14"/>
  <c r="D4165" i="14"/>
  <c r="E4164" i="14"/>
  <c r="E4873" i="14"/>
  <c r="D4874" i="14"/>
  <c r="E5267" i="14"/>
  <c r="D5268" i="14"/>
  <c r="E4593" i="14"/>
  <c r="D4594" i="14"/>
  <c r="D2993" i="14"/>
  <c r="E2992" i="14"/>
  <c r="D3418" i="14"/>
  <c r="E3417" i="14"/>
  <c r="D403" i="14"/>
  <c r="E402" i="14"/>
  <c r="D1735" i="14"/>
  <c r="E1734" i="14"/>
  <c r="D1327" i="14"/>
  <c r="E1326" i="14"/>
  <c r="D1541" i="14"/>
  <c r="E1541" i="14" s="1"/>
  <c r="E1540" i="14"/>
  <c r="D3631" i="14"/>
  <c r="E3630" i="14"/>
  <c r="D196" i="14"/>
  <c r="E195" i="14"/>
  <c r="D3206" i="14"/>
  <c r="E3205" i="14"/>
  <c r="D1115" i="14"/>
  <c r="E1114" i="14"/>
  <c r="D4595" i="14" l="1"/>
  <c r="E4594" i="14"/>
  <c r="E4874" i="14"/>
  <c r="D4875" i="14"/>
  <c r="E4380" i="14"/>
  <c r="D4381" i="14"/>
  <c r="E5268" i="14"/>
  <c r="D5269" i="14"/>
  <c r="E4165" i="14"/>
  <c r="D4166" i="14"/>
  <c r="D3207" i="14"/>
  <c r="E3206" i="14"/>
  <c r="D3632" i="14"/>
  <c r="E3631" i="14"/>
  <c r="D1328" i="14"/>
  <c r="E1327" i="14"/>
  <c r="D404" i="14"/>
  <c r="E403" i="14"/>
  <c r="D3419" i="14"/>
  <c r="E3418" i="14"/>
  <c r="D1116" i="14"/>
  <c r="E1115" i="14"/>
  <c r="D197" i="14"/>
  <c r="E196" i="14"/>
  <c r="D1736" i="14"/>
  <c r="E1735" i="14"/>
  <c r="D2994" i="14"/>
  <c r="E2993" i="14"/>
  <c r="E5269" i="14" l="1"/>
  <c r="D5270" i="14"/>
  <c r="E4875" i="14"/>
  <c r="D4876" i="14"/>
  <c r="E4381" i="14"/>
  <c r="D4382" i="14"/>
  <c r="D4167" i="14"/>
  <c r="E4166" i="14"/>
  <c r="E4595" i="14"/>
  <c r="D4596" i="14"/>
  <c r="E4596" i="14" s="1"/>
  <c r="D2995" i="14"/>
  <c r="E2994" i="14"/>
  <c r="D1117" i="14"/>
  <c r="E1116" i="14"/>
  <c r="D3420" i="14"/>
  <c r="E3419" i="14"/>
  <c r="D1329" i="14"/>
  <c r="E1328" i="14"/>
  <c r="D1737" i="14"/>
  <c r="E1736" i="14"/>
  <c r="D198" i="14"/>
  <c r="E197" i="14"/>
  <c r="D405" i="14"/>
  <c r="E404" i="14"/>
  <c r="D3633" i="14"/>
  <c r="E3632" i="14"/>
  <c r="D3208" i="14"/>
  <c r="E3207" i="14"/>
  <c r="E4167" i="14" l="1"/>
  <c r="D4168" i="14"/>
  <c r="E4382" i="14"/>
  <c r="D4383" i="14"/>
  <c r="E5270" i="14"/>
  <c r="D5271" i="14"/>
  <c r="E4876" i="14"/>
  <c r="D4877" i="14"/>
  <c r="D3209" i="14"/>
  <c r="E3208" i="14"/>
  <c r="D406" i="14"/>
  <c r="E405" i="14"/>
  <c r="D199" i="14"/>
  <c r="E198" i="14"/>
  <c r="D1330" i="14"/>
  <c r="E1329" i="14"/>
  <c r="D1118" i="14"/>
  <c r="E1117" i="14"/>
  <c r="D3634" i="14"/>
  <c r="E3633" i="14"/>
  <c r="D1738" i="14"/>
  <c r="E1737" i="14"/>
  <c r="D3421" i="14"/>
  <c r="E3420" i="14"/>
  <c r="D2996" i="14"/>
  <c r="E2995" i="14"/>
  <c r="E4877" i="14" l="1"/>
  <c r="D4878" i="14"/>
  <c r="E5271" i="14"/>
  <c r="D5272" i="14"/>
  <c r="D4169" i="14"/>
  <c r="E4168" i="14"/>
  <c r="E4383" i="14"/>
  <c r="D4384" i="14"/>
  <c r="D2997" i="14"/>
  <c r="E2996" i="14"/>
  <c r="D3422" i="14"/>
  <c r="E3421" i="14"/>
  <c r="D1739" i="14"/>
  <c r="E1738" i="14"/>
  <c r="D3635" i="14"/>
  <c r="E3634" i="14"/>
  <c r="D1119" i="14"/>
  <c r="E1118" i="14"/>
  <c r="D407" i="14"/>
  <c r="E406" i="14"/>
  <c r="D1331" i="14"/>
  <c r="E1330" i="14"/>
  <c r="D200" i="14"/>
  <c r="E199" i="14"/>
  <c r="D3210" i="14"/>
  <c r="E3209" i="14"/>
  <c r="E5272" i="14" l="1"/>
  <c r="D5273" i="14"/>
  <c r="E4878" i="14"/>
  <c r="D4879" i="14"/>
  <c r="E4384" i="14"/>
  <c r="D4385" i="14"/>
  <c r="E4169" i="14"/>
  <c r="D4170" i="14"/>
  <c r="D201" i="14"/>
  <c r="E200" i="14"/>
  <c r="D3636" i="14"/>
  <c r="E3635" i="14"/>
  <c r="D3423" i="14"/>
  <c r="E3422" i="14"/>
  <c r="D3211" i="14"/>
  <c r="E3210" i="14"/>
  <c r="D1332" i="14"/>
  <c r="E1331" i="14"/>
  <c r="D408" i="14"/>
  <c r="E407" i="14"/>
  <c r="D1120" i="14"/>
  <c r="E1119" i="14"/>
  <c r="D1740" i="14"/>
  <c r="E1739" i="14"/>
  <c r="D2998" i="14"/>
  <c r="E2997" i="14"/>
  <c r="D4171" i="14" l="1"/>
  <c r="E4170" i="14"/>
  <c r="E4385" i="14"/>
  <c r="D4386" i="14"/>
  <c r="E5273" i="14"/>
  <c r="D5274" i="14"/>
  <c r="E4879" i="14"/>
  <c r="D4880" i="14"/>
  <c r="D1741" i="14"/>
  <c r="E1740" i="14"/>
  <c r="D409" i="14"/>
  <c r="E408" i="14"/>
  <c r="D1333" i="14"/>
  <c r="E1332" i="14"/>
  <c r="D3424" i="14"/>
  <c r="E3423" i="14"/>
  <c r="D2999" i="14"/>
  <c r="E2998" i="14"/>
  <c r="D1121" i="14"/>
  <c r="E1120" i="14"/>
  <c r="D3212" i="14"/>
  <c r="E3211" i="14"/>
  <c r="D3637" i="14"/>
  <c r="E3636" i="14"/>
  <c r="D202" i="14"/>
  <c r="E201" i="14"/>
  <c r="E4880" i="14" l="1"/>
  <c r="D4881" i="14"/>
  <c r="E4386" i="14"/>
  <c r="D4387" i="14"/>
  <c r="E5274" i="14"/>
  <c r="D5275" i="14"/>
  <c r="E4171" i="14"/>
  <c r="D4172" i="14"/>
  <c r="D3213" i="14"/>
  <c r="E3212" i="14"/>
  <c r="D1122" i="14"/>
  <c r="E1121" i="14"/>
  <c r="D3425" i="14"/>
  <c r="E3424" i="14"/>
  <c r="D410" i="14"/>
  <c r="E409" i="14"/>
  <c r="D203" i="14"/>
  <c r="E202" i="14"/>
  <c r="D3638" i="14"/>
  <c r="E3637" i="14"/>
  <c r="D3000" i="14"/>
  <c r="E2999" i="14"/>
  <c r="D1334" i="14"/>
  <c r="E1333" i="14"/>
  <c r="D1742" i="14"/>
  <c r="E1741" i="14"/>
  <c r="D4173" i="14" l="1"/>
  <c r="E4172" i="14"/>
  <c r="E5275" i="14"/>
  <c r="D5276" i="14"/>
  <c r="E4881" i="14"/>
  <c r="D4882" i="14"/>
  <c r="E4387" i="14"/>
  <c r="D4388" i="14"/>
  <c r="D1335" i="14"/>
  <c r="E1334" i="14"/>
  <c r="D3001" i="14"/>
  <c r="E3000" i="14"/>
  <c r="D3639" i="14"/>
  <c r="E3638" i="14"/>
  <c r="D411" i="14"/>
  <c r="E410" i="14"/>
  <c r="D3214" i="14"/>
  <c r="E3213" i="14"/>
  <c r="D1743" i="14"/>
  <c r="E1742" i="14"/>
  <c r="D204" i="14"/>
  <c r="E203" i="14"/>
  <c r="D3426" i="14"/>
  <c r="E3425" i="14"/>
  <c r="D1123" i="14"/>
  <c r="E1122" i="14"/>
  <c r="E4388" i="14" l="1"/>
  <c r="D4389" i="14"/>
  <c r="E4882" i="14"/>
  <c r="D4883" i="14"/>
  <c r="E5276" i="14"/>
  <c r="D5277" i="14"/>
  <c r="E4173" i="14"/>
  <c r="D4174" i="14"/>
  <c r="D1124" i="14"/>
  <c r="E1123" i="14"/>
  <c r="D205" i="14"/>
  <c r="E204" i="14"/>
  <c r="D3215" i="14"/>
  <c r="E3214" i="14"/>
  <c r="D412" i="14"/>
  <c r="E411" i="14"/>
  <c r="D3002" i="14"/>
  <c r="E3001" i="14"/>
  <c r="D3427" i="14"/>
  <c r="E3426" i="14"/>
  <c r="D1744" i="14"/>
  <c r="E1743" i="14"/>
  <c r="D3640" i="14"/>
  <c r="E3639" i="14"/>
  <c r="D1336" i="14"/>
  <c r="E1335" i="14"/>
  <c r="E4883" i="14" l="1"/>
  <c r="D4884" i="14"/>
  <c r="E5277" i="14"/>
  <c r="D5278" i="14"/>
  <c r="E4389" i="14"/>
  <c r="D4390" i="14"/>
  <c r="D4175" i="14"/>
  <c r="E4174" i="14"/>
  <c r="D1745" i="14"/>
  <c r="E1744" i="14"/>
  <c r="D3428" i="14"/>
  <c r="E3427" i="14"/>
  <c r="D3003" i="14"/>
  <c r="E3002" i="14"/>
  <c r="D3216" i="14"/>
  <c r="E3215" i="14"/>
  <c r="D206" i="14"/>
  <c r="E205" i="14"/>
  <c r="D3641" i="14"/>
  <c r="E3640" i="14"/>
  <c r="D1337" i="14"/>
  <c r="E1336" i="14"/>
  <c r="D413" i="14"/>
  <c r="E412" i="14"/>
  <c r="D1125" i="14"/>
  <c r="E1124" i="14"/>
  <c r="E4175" i="14" l="1"/>
  <c r="D4176" i="14"/>
  <c r="E4884" i="14"/>
  <c r="D4885" i="14"/>
  <c r="E5278" i="14"/>
  <c r="D5279" i="14"/>
  <c r="E4390" i="14"/>
  <c r="D4391" i="14"/>
  <c r="D3642" i="14"/>
  <c r="E3641" i="14"/>
  <c r="D3217" i="14"/>
  <c r="E3216" i="14"/>
  <c r="D3429" i="14"/>
  <c r="E3428" i="14"/>
  <c r="D1126" i="14"/>
  <c r="E1125" i="14"/>
  <c r="D414" i="14"/>
  <c r="E414" i="14" s="1"/>
  <c r="E413" i="14"/>
  <c r="D1338" i="14"/>
  <c r="E1337" i="14"/>
  <c r="D207" i="14"/>
  <c r="E206" i="14"/>
  <c r="D3004" i="14"/>
  <c r="E3003" i="14"/>
  <c r="D1746" i="14"/>
  <c r="E1745" i="14"/>
  <c r="E4391" i="14" l="1"/>
  <c r="D4392" i="14"/>
  <c r="E5279" i="14"/>
  <c r="D5280" i="14"/>
  <c r="D4177" i="14"/>
  <c r="E4176" i="14"/>
  <c r="E4885" i="14"/>
  <c r="D4886" i="14"/>
  <c r="D1339" i="14"/>
  <c r="E1338" i="14"/>
  <c r="D3218" i="14"/>
  <c r="E3217" i="14"/>
  <c r="D3005" i="14"/>
  <c r="E3004" i="14"/>
  <c r="D1747" i="14"/>
  <c r="E1746" i="14"/>
  <c r="D208" i="14"/>
  <c r="E207" i="14"/>
  <c r="D1127" i="14"/>
  <c r="E1126" i="14"/>
  <c r="D3430" i="14"/>
  <c r="E3429" i="14"/>
  <c r="D3643" i="14"/>
  <c r="E3642" i="14"/>
  <c r="E5280" i="14" l="1"/>
  <c r="D5281" i="14"/>
  <c r="E4886" i="14"/>
  <c r="D4887" i="14"/>
  <c r="E4392" i="14"/>
  <c r="D4393" i="14"/>
  <c r="E4177" i="14"/>
  <c r="D4178" i="14"/>
  <c r="D3431" i="14"/>
  <c r="E3430" i="14"/>
  <c r="D1748" i="14"/>
  <c r="E1747" i="14"/>
  <c r="D3644" i="14"/>
  <c r="E3643" i="14"/>
  <c r="D1128" i="14"/>
  <c r="E1127" i="14"/>
  <c r="D209" i="14"/>
  <c r="E209" i="14" s="1"/>
  <c r="E208" i="14"/>
  <c r="D3006" i="14"/>
  <c r="E3005" i="14"/>
  <c r="D3219" i="14"/>
  <c r="E3218" i="14"/>
  <c r="D1340" i="14"/>
  <c r="E1339" i="14"/>
  <c r="D4179" i="14" l="1"/>
  <c r="E4178" i="14"/>
  <c r="E4393" i="14"/>
  <c r="D4394" i="14"/>
  <c r="E5281" i="14"/>
  <c r="D5282" i="14"/>
  <c r="E4887" i="14"/>
  <c r="D4888" i="14"/>
  <c r="D1341" i="14"/>
  <c r="E1340" i="14"/>
  <c r="D3007" i="14"/>
  <c r="E3006" i="14"/>
  <c r="D1129" i="14"/>
  <c r="E1128" i="14"/>
  <c r="D1749" i="14"/>
  <c r="E1748" i="14"/>
  <c r="D3432" i="14"/>
  <c r="E3431" i="14"/>
  <c r="D3220" i="14"/>
  <c r="E3219" i="14"/>
  <c r="D3645" i="14"/>
  <c r="E3644" i="14"/>
  <c r="E4394" i="14" l="1"/>
  <c r="D4395" i="14"/>
  <c r="E4888" i="14"/>
  <c r="D4889" i="14"/>
  <c r="E5282" i="14"/>
  <c r="D5283" i="14"/>
  <c r="E4179" i="14"/>
  <c r="D4180" i="14"/>
  <c r="D3646" i="14"/>
  <c r="E3645" i="14"/>
  <c r="D3433" i="14"/>
  <c r="E3432" i="14"/>
  <c r="D3008" i="14"/>
  <c r="E3007" i="14"/>
  <c r="D3221" i="14"/>
  <c r="E3220" i="14"/>
  <c r="D1750" i="14"/>
  <c r="E1749" i="14"/>
  <c r="D1130" i="14"/>
  <c r="E1129" i="14"/>
  <c r="D1342" i="14"/>
  <c r="E1341" i="14"/>
  <c r="D4181" i="14" l="1"/>
  <c r="E4180" i="14"/>
  <c r="E5283" i="14"/>
  <c r="D5284" i="14"/>
  <c r="E4395" i="14"/>
  <c r="D4396" i="14"/>
  <c r="E4889" i="14"/>
  <c r="D4890" i="14"/>
  <c r="D1751" i="14"/>
  <c r="E1750" i="14"/>
  <c r="D1131" i="14"/>
  <c r="E1130" i="14"/>
  <c r="D3222" i="14"/>
  <c r="E3221" i="14"/>
  <c r="D3009" i="14"/>
  <c r="E3008" i="14"/>
  <c r="D3434" i="14"/>
  <c r="E3433" i="14"/>
  <c r="D1343" i="14"/>
  <c r="E1342" i="14"/>
  <c r="D3647" i="14"/>
  <c r="E3646" i="14"/>
  <c r="E5284" i="14" l="1"/>
  <c r="D5285" i="14"/>
  <c r="E4396" i="14"/>
  <c r="D4397" i="14"/>
  <c r="E4890" i="14"/>
  <c r="D4891" i="14"/>
  <c r="E4181" i="14"/>
  <c r="D4182" i="14"/>
  <c r="D3648" i="14"/>
  <c r="E3647" i="14"/>
  <c r="D3435" i="14"/>
  <c r="E3434" i="14"/>
  <c r="D1132" i="14"/>
  <c r="E1131" i="14"/>
  <c r="D1344" i="14"/>
  <c r="E1343" i="14"/>
  <c r="D3010" i="14"/>
  <c r="E3009" i="14"/>
  <c r="D3223" i="14"/>
  <c r="E3222" i="14"/>
  <c r="D1752" i="14"/>
  <c r="E1752" i="14" s="1"/>
  <c r="E1751" i="14"/>
  <c r="E4891" i="14" l="1"/>
  <c r="D4892" i="14"/>
  <c r="E5285" i="14"/>
  <c r="D5286" i="14"/>
  <c r="E5286" i="14" s="1"/>
  <c r="D4183" i="14"/>
  <c r="E4182" i="14"/>
  <c r="E4397" i="14"/>
  <c r="D4398" i="14"/>
  <c r="D3011" i="14"/>
  <c r="E3010" i="14"/>
  <c r="D3224" i="14"/>
  <c r="E3224" i="14" s="1"/>
  <c r="E3223" i="14"/>
  <c r="D1345" i="14"/>
  <c r="E1344" i="14"/>
  <c r="D1133" i="14"/>
  <c r="E1133" i="14" s="1"/>
  <c r="E1132" i="14"/>
  <c r="D3436" i="14"/>
  <c r="E3435" i="14"/>
  <c r="D3649" i="14"/>
  <c r="E3648" i="14"/>
  <c r="E4398" i="14" l="1"/>
  <c r="D4399" i="14"/>
  <c r="E4399" i="14" s="1"/>
  <c r="E4892" i="14"/>
  <c r="D4893" i="14"/>
  <c r="E4893" i="14" s="1"/>
  <c r="E4183" i="14"/>
  <c r="D4184" i="14"/>
  <c r="D3650" i="14"/>
  <c r="E3649" i="14"/>
  <c r="D3437" i="14"/>
  <c r="E3437" i="14" s="1"/>
  <c r="E3436" i="14"/>
  <c r="D1346" i="14"/>
  <c r="E1345" i="14"/>
  <c r="D3012" i="14"/>
  <c r="E3012" i="14" s="1"/>
  <c r="E3011" i="14"/>
  <c r="D4185" i="14" l="1"/>
  <c r="E4185" i="14" s="1"/>
  <c r="E4184" i="14"/>
  <c r="D1347" i="14"/>
  <c r="E1347" i="14" s="1"/>
  <c r="E1346" i="14"/>
  <c r="D3651" i="14"/>
  <c r="E3651" i="14" s="1"/>
  <c r="E3650" i="1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yes terrday</author>
  </authors>
  <commentList>
    <comment ref="D1" authorId="0" shapeId="0" xr:uid="{754334E6-C1E7-4F8F-86D6-A3512CC9CD8E}">
      <text>
        <r>
          <rPr>
            <b/>
            <sz val="9"/>
            <color indexed="81"/>
            <rFont val="Tahoma"/>
            <charset val="1"/>
          </rPr>
          <t>sort by:
indicator + value desc + country</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yes terrday</author>
  </authors>
  <commentList>
    <comment ref="H1" authorId="0" shapeId="0" xr:uid="{DCE7923D-89F7-4C2C-9F7F-F9A590F9B49B}">
      <text>
        <r>
          <rPr>
            <b/>
            <sz val="9"/>
            <color indexed="81"/>
            <rFont val="Tahoma"/>
            <charset val="1"/>
          </rPr>
          <t>averages everywhere where applicable?</t>
        </r>
      </text>
    </comment>
  </commentList>
</comments>
</file>

<file path=xl/sharedStrings.xml><?xml version="1.0" encoding="utf-8"?>
<sst xmlns="http://schemas.openxmlformats.org/spreadsheetml/2006/main" count="12122" uniqueCount="471">
  <si>
    <t>Indicator</t>
  </si>
  <si>
    <t>GDP (current US$)</t>
  </si>
  <si>
    <t>GDP, PPP (current international $)</t>
  </si>
  <si>
    <t>GDP per capita (current US$)</t>
  </si>
  <si>
    <t>GDP per capita, PPP (current international $)</t>
  </si>
  <si>
    <t>https://data.worldbank.org/indicator/NY.GDP.MKTP.CD</t>
  </si>
  <si>
    <t>Value</t>
  </si>
  <si>
    <t>id</t>
  </si>
  <si>
    <t>Country</t>
  </si>
  <si>
    <t xml:space="preserve"> </t>
  </si>
  <si>
    <t>Aruba</t>
  </si>
  <si>
    <t>Afghanistan</t>
  </si>
  <si>
    <t>Angola</t>
  </si>
  <si>
    <t>Albania</t>
  </si>
  <si>
    <t>Andorra</t>
  </si>
  <si>
    <t>United Arab Emirates</t>
  </si>
  <si>
    <t>Argentina</t>
  </si>
  <si>
    <t>Armenia</t>
  </si>
  <si>
    <t>American Samoa</t>
  </si>
  <si>
    <t>Antigua and Barbuda</t>
  </si>
  <si>
    <t>Australia</t>
  </si>
  <si>
    <t>Austria</t>
  </si>
  <si>
    <t>Azerbaijan</t>
  </si>
  <si>
    <t>Burundi</t>
  </si>
  <si>
    <t>Belgium</t>
  </si>
  <si>
    <t>Benin</t>
  </si>
  <si>
    <t>Burkina Faso</t>
  </si>
  <si>
    <t>Bangladesh</t>
  </si>
  <si>
    <t>Bulgaria</t>
  </si>
  <si>
    <t>Bahrain</t>
  </si>
  <si>
    <t>Bahamas, The</t>
  </si>
  <si>
    <t>Bosnia and Herzegovina</t>
  </si>
  <si>
    <t>Belarus</t>
  </si>
  <si>
    <t>Belize</t>
  </si>
  <si>
    <t>Bermuda</t>
  </si>
  <si>
    <t>Bolivia</t>
  </si>
  <si>
    <t>Brazil</t>
  </si>
  <si>
    <t>Barbados</t>
  </si>
  <si>
    <t>Brunei Darussalam</t>
  </si>
  <si>
    <t>Bhutan</t>
  </si>
  <si>
    <t>Botswana</t>
  </si>
  <si>
    <t>Central African Republic</t>
  </si>
  <si>
    <t>Canada</t>
  </si>
  <si>
    <t>Switzerland</t>
  </si>
  <si>
    <t>Channel Islands</t>
  </si>
  <si>
    <t>Chile</t>
  </si>
  <si>
    <t>China</t>
  </si>
  <si>
    <t>Cote d'Ivoire</t>
  </si>
  <si>
    <t>Cameroon</t>
  </si>
  <si>
    <t>Congo, Dem. Rep.</t>
  </si>
  <si>
    <t>Congo, Rep.</t>
  </si>
  <si>
    <t>Colombia</t>
  </si>
  <si>
    <t>Comoros</t>
  </si>
  <si>
    <t>Cabo Verde</t>
  </si>
  <si>
    <t>Costa Rica</t>
  </si>
  <si>
    <t>Cuba</t>
  </si>
  <si>
    <t>Curacao</t>
  </si>
  <si>
    <t>Cayman Islands</t>
  </si>
  <si>
    <t>Cyprus</t>
  </si>
  <si>
    <t>Czechia</t>
  </si>
  <si>
    <t>Germany</t>
  </si>
  <si>
    <t>Djibouti</t>
  </si>
  <si>
    <t>Dominica</t>
  </si>
  <si>
    <t>Denmark</t>
  </si>
  <si>
    <t>Dominican Republic</t>
  </si>
  <si>
    <t>Algeria</t>
  </si>
  <si>
    <t>Ecuador</t>
  </si>
  <si>
    <t>Egypt, Arab Rep.</t>
  </si>
  <si>
    <t>Spain</t>
  </si>
  <si>
    <t>Estonia</t>
  </si>
  <si>
    <t>Ethiopia</t>
  </si>
  <si>
    <t>Finland</t>
  </si>
  <si>
    <t>Fiji</t>
  </si>
  <si>
    <t>France</t>
  </si>
  <si>
    <t>Faroe Islands</t>
  </si>
  <si>
    <t>Micronesia, Fed. Sts.</t>
  </si>
  <si>
    <t>Gabon</t>
  </si>
  <si>
    <t>United Kingdom</t>
  </si>
  <si>
    <t>Georgia</t>
  </si>
  <si>
    <t>Ghana</t>
  </si>
  <si>
    <t>Guinea</t>
  </si>
  <si>
    <t>Gambia, The</t>
  </si>
  <si>
    <t>Guinea-Bissau</t>
  </si>
  <si>
    <t>Equatorial Guinea</t>
  </si>
  <si>
    <t>Greece</t>
  </si>
  <si>
    <t>Grenada</t>
  </si>
  <si>
    <t>Greenland</t>
  </si>
  <si>
    <t>Guatemala</t>
  </si>
  <si>
    <t>Guam</t>
  </si>
  <si>
    <t>Guyana</t>
  </si>
  <si>
    <t>Hong Kong SAR, China</t>
  </si>
  <si>
    <t>Honduras</t>
  </si>
  <si>
    <t>Croatia</t>
  </si>
  <si>
    <t>Haiti</t>
  </si>
  <si>
    <t>Hungary</t>
  </si>
  <si>
    <t>Indonesia</t>
  </si>
  <si>
    <t>Isle of Man</t>
  </si>
  <si>
    <t>India</t>
  </si>
  <si>
    <t>Ireland</t>
  </si>
  <si>
    <t>Iran, Islamic Rep.</t>
  </si>
  <si>
    <t>Iraq</t>
  </si>
  <si>
    <t>Iceland</t>
  </si>
  <si>
    <t>Israel</t>
  </si>
  <si>
    <t>Italy</t>
  </si>
  <si>
    <t>Jamaica</t>
  </si>
  <si>
    <t>Jordan</t>
  </si>
  <si>
    <t>Japan</t>
  </si>
  <si>
    <t>Kazakhstan</t>
  </si>
  <si>
    <t>Kenya</t>
  </si>
  <si>
    <t>Kyrgyz Republic</t>
  </si>
  <si>
    <t>Cambodia</t>
  </si>
  <si>
    <t>Kiribati</t>
  </si>
  <si>
    <t>St. Kitts and Nevis</t>
  </si>
  <si>
    <t>Korea, Rep.</t>
  </si>
  <si>
    <t>Kuwait</t>
  </si>
  <si>
    <t>Lao PDR</t>
  </si>
  <si>
    <t>Lebanon</t>
  </si>
  <si>
    <t>Liberia</t>
  </si>
  <si>
    <t>Libya</t>
  </si>
  <si>
    <t>St. Lucia</t>
  </si>
  <si>
    <t>Liechtenstein</t>
  </si>
  <si>
    <t>Sri Lanka</t>
  </si>
  <si>
    <t>Lesotho</t>
  </si>
  <si>
    <t>Lithuania</t>
  </si>
  <si>
    <t>Luxembourg</t>
  </si>
  <si>
    <t>Latvia</t>
  </si>
  <si>
    <t>Macao SAR, China</t>
  </si>
  <si>
    <t>Morocco</t>
  </si>
  <si>
    <t>Monaco</t>
  </si>
  <si>
    <t>Moldova</t>
  </si>
  <si>
    <t>Madagascar</t>
  </si>
  <si>
    <t>Maldives</t>
  </si>
  <si>
    <t>Mexico</t>
  </si>
  <si>
    <t>Marshall Islands</t>
  </si>
  <si>
    <t>North Macedonia</t>
  </si>
  <si>
    <t>Mali</t>
  </si>
  <si>
    <t>Malta</t>
  </si>
  <si>
    <t>Myanmar</t>
  </si>
  <si>
    <t>Montenegro</t>
  </si>
  <si>
    <t>Mongolia</t>
  </si>
  <si>
    <t>Northern Mariana Islands</t>
  </si>
  <si>
    <t>Mozambique</t>
  </si>
  <si>
    <t>Mauritania</t>
  </si>
  <si>
    <t>Mauritius</t>
  </si>
  <si>
    <t>Malawi</t>
  </si>
  <si>
    <t>Malaysia</t>
  </si>
  <si>
    <t>Namibia</t>
  </si>
  <si>
    <t>New Caledonia</t>
  </si>
  <si>
    <t>Niger</t>
  </si>
  <si>
    <t>Nigeria</t>
  </si>
  <si>
    <t>Nicaragua</t>
  </si>
  <si>
    <t>Netherlands</t>
  </si>
  <si>
    <t>Norway</t>
  </si>
  <si>
    <t>Nepal</t>
  </si>
  <si>
    <t>Nauru</t>
  </si>
  <si>
    <t>New Zealand</t>
  </si>
  <si>
    <t>Oman</t>
  </si>
  <si>
    <t>Pakistan</t>
  </si>
  <si>
    <t>Panama</t>
  </si>
  <si>
    <t>Peru</t>
  </si>
  <si>
    <t>Philippines</t>
  </si>
  <si>
    <t>Palau</t>
  </si>
  <si>
    <t>Papua New Guinea</t>
  </si>
  <si>
    <t>Poland</t>
  </si>
  <si>
    <t>Puerto Rico (US)</t>
  </si>
  <si>
    <t>Portugal</t>
  </si>
  <si>
    <t>Paraguay</t>
  </si>
  <si>
    <t>West Bank and Gaza</t>
  </si>
  <si>
    <t>French Polynesia</t>
  </si>
  <si>
    <t>Qatar</t>
  </si>
  <si>
    <t>Romania</t>
  </si>
  <si>
    <t>Russian Federation</t>
  </si>
  <si>
    <t>Rwanda</t>
  </si>
  <si>
    <t>Saudi Arabia</t>
  </si>
  <si>
    <t>Sudan</t>
  </si>
  <si>
    <t>Senegal</t>
  </si>
  <si>
    <t>Singapore</t>
  </si>
  <si>
    <t>Solomon Islands</t>
  </si>
  <si>
    <t>Sierra Leone</t>
  </si>
  <si>
    <t>El Salvador</t>
  </si>
  <si>
    <t>San Marino</t>
  </si>
  <si>
    <t>Somalia</t>
  </si>
  <si>
    <t>Serbia</t>
  </si>
  <si>
    <t>South Sudan</t>
  </si>
  <si>
    <t>Sao Tome and Principe</t>
  </si>
  <si>
    <t>Suriname</t>
  </si>
  <si>
    <t>Slovak Republic</t>
  </si>
  <si>
    <t>Slovenia</t>
  </si>
  <si>
    <t>Sweden</t>
  </si>
  <si>
    <t>Eswatini</t>
  </si>
  <si>
    <t>Sint Maarten (Dutch part)</t>
  </si>
  <si>
    <t>Seychelles</t>
  </si>
  <si>
    <t>Syrian Arab Republic</t>
  </si>
  <si>
    <t>Turks and Caicos Islands</t>
  </si>
  <si>
    <t>Chad</t>
  </si>
  <si>
    <t>Togo</t>
  </si>
  <si>
    <t>Thailand</t>
  </si>
  <si>
    <t>Tajikistan</t>
  </si>
  <si>
    <t>Turkmenistan</t>
  </si>
  <si>
    <t>Timor-Leste</t>
  </si>
  <si>
    <t>Tonga</t>
  </si>
  <si>
    <t>Trinidad and Tobago</t>
  </si>
  <si>
    <t>Tunisia</t>
  </si>
  <si>
    <t>Turkiye</t>
  </si>
  <si>
    <t>Tuvalu</t>
  </si>
  <si>
    <t>Tanzania</t>
  </si>
  <si>
    <t>Uganda</t>
  </si>
  <si>
    <t>Ukraine</t>
  </si>
  <si>
    <t>Uruguay</t>
  </si>
  <si>
    <t>United States</t>
  </si>
  <si>
    <t>Uzbekistan</t>
  </si>
  <si>
    <t>St. Vincent and the Grenadines</t>
  </si>
  <si>
    <t>Virgin Islands (U.S.)</t>
  </si>
  <si>
    <t>Viet Nam</t>
  </si>
  <si>
    <t>Vanuatu</t>
  </si>
  <si>
    <t>Samoa</t>
  </si>
  <si>
    <t>Kosovo</t>
  </si>
  <si>
    <t>Yemen, Rep.</t>
  </si>
  <si>
    <t>South Africa</t>
  </si>
  <si>
    <t>Zambia</t>
  </si>
  <si>
    <t>Zimbabwe</t>
  </si>
  <si>
    <t>St. Martin (French part)</t>
  </si>
  <si>
    <t>Somalia, Fed. Rep.</t>
  </si>
  <si>
    <t>Venezuela, RB</t>
  </si>
  <si>
    <t>Eritrea</t>
  </si>
  <si>
    <t>url</t>
  </si>
  <si>
    <t>https://data.worldbank.org/indicator/NY.GDP.PCAP.CD</t>
  </si>
  <si>
    <t>https://data.worldbank.org/indicator/NY.GDP.MKTP.PP.CD</t>
  </si>
  <si>
    <t>https://data.worldbank.org/indicator/NY.GDP.PCAP.PP.CD</t>
  </si>
  <si>
    <t>Region</t>
  </si>
  <si>
    <t>Latin America &amp; Caribbean</t>
  </si>
  <si>
    <t>High income</t>
  </si>
  <si>
    <t>Middle East &amp; North Africa</t>
  </si>
  <si>
    <t>Low income</t>
  </si>
  <si>
    <t>The reporting period for national accounts data is designated as either calendar year basis (CY) or fiscal year basis (FY). For this country, it is fiscal year-based (fiscal year-end: March 20). Also, an estimate (PA.NUS.ATLS) of the exchange rate covers the same period and thus differs from the official exchange rate (CY).
In addition, the World Bank systematically assesses the appropriateness of official exchange rates as conversion factors. In this country, multiple or dual exchange rate activity exists and must be accounted for appropriately in underlying statistics. An alternative estimate (“alternative conversion factor” - PA.NUS.ATLS) is thus calculated as a weighted average of the different exchange rates in use in the country. Doing so better reflects economic reality and leads to more accurate cross-country comparisons and country classifications by income level. For this country, this applies to the period 1960-2006. Alternative conversion factors are used in the Atlas methodology and elsewhere in World Development Indicators as single-year conversion factors.</t>
  </si>
  <si>
    <t>Sub-Saharan Africa</t>
  </si>
  <si>
    <t>Lower middle income</t>
  </si>
  <si>
    <t>The World Bank systematically assesses the appropriateness of official exchange rates as conversion factors. In this country, multiple or dual exchange rate activity exists and must be accounted for appropriately in underlying statistics. An alternative estimate (“alternative conversion factor” - PA.NUS.ATLS) is thus calculated as a weighted average of the different exchange rates in use in the country. Doing so better reflects economic reality and leads to more accurate cross-country comparisons and country classifications by income level. For this country, this applies to the period 1994-2024. Alternative conversion factors are used in the Atlas methodology and elsewhere in World Development Indicators as single-year conversion factors.</t>
  </si>
  <si>
    <t>Europe &amp; Central Asia</t>
  </si>
  <si>
    <t>Upper middle income</t>
  </si>
  <si>
    <t>The World Bank systematically assesses the appropriateness of official exchange rates as conversion factors. In this country, multiple or dual exchange rate activity exists and must be accounted for appropriately in underlying statistics. An alternative estimate (“alternative conversion factor” - PA.NUS.ATLS) is thus calculated as a weighted average of the different exchange rates in use in the country. Doing so better reflects economic reality and leads to more accurate cross-country comparisons and country classifications by income level. For this country, this applies to the period 1971-2018. Alternative conversion factors are used in the Atlas methodology and elsewhere in World Development Indicators as single-year conversion factors.</t>
  </si>
  <si>
    <t>East Asia &amp; Pacific</t>
  </si>
  <si>
    <t>The reporting period for national accounts data is designated as either calendar year basis (CY) or fiscal year basis (FY). For this country, it is fiscal year-based (fiscal year-end: June 30). Also, an estimate (PA.NUS.ATLS) of the exchange rate covers the same period and thus differs from the official exchange rate (CY).</t>
  </si>
  <si>
    <t>A simple multiplier is used to convert the national currencies of EMU members to euros. The following irrevocable euro conversion rate was adopted by the EU Council on January 1, 1999: 1 euro = 13.7603 Austrian schilling. Please note that historical data before 1999 are not actual euros and are not comparable or suitable for aggregation across countries.</t>
  </si>
  <si>
    <t>The World Bank systematically assesses the appropriateness of official exchange rates as conversion factors. In this country, multiple or dual exchange rate activity exists and must be accounted for appropriately in underlying statistics. An alternative estimate (“alternative conversion factor” - PA.NUS.ATLS) is thus calculated as a weighted average of the different exchange rates in use in the country. Doing so better reflects economic reality and leads to more accurate cross-country comparisons and country classifications by income level. For this country, this applies to the period 1983-2024. Alternative conversion factors are used in the Atlas methodology and elsewhere in World Development Indicators as single-year conversion factors.</t>
  </si>
  <si>
    <t>A simple multiplier is used to convert the national currencies of EMU members to euros. The following irrevocable euro conversion rate was adopted by the EU Council on January 1, 1999: 1 euro = 40.3399 Belgian franc. Please note that historical data before 1999 are not actual euros and are not comparable or suitable for aggregation across countries.</t>
  </si>
  <si>
    <t>South Asia</t>
  </si>
  <si>
    <t>Data before 2015 were adjusted to reflect the new denomination effective from July 1, 2016 (BYN), a decrease of 10,000 times (1 BYN = 10,000 BYR)</t>
  </si>
  <si>
    <t>North America</t>
  </si>
  <si>
    <t>Fiscal year end: March 31; reporting period for national accounts data: CY.</t>
  </si>
  <si>
    <t>On 1 July 1997 China resumed its exercise of sovereignty over Hong Kong, and on 20 December 1999, China resumed its exercise of sovereignty over Macao. Unless otherwise noted, data for China do not include data for Hong Kong SAR, China; Macao SAR, China; or Taiwan, China.
The World Bank systematically assesses the appropriateness of official exchange rates as conversion factors. In this country, multiple or dual exchange rate activity exists and must be accounted for appropriately in underlying statistics. An alternative estimate (“alternative conversion factor” - PA.NUS.ATLS) is thus calculated as a weighted average of the different exchange rates in use in the country. Doing so better reflects economic reality and leads to more accurate cross-country comparisons and country classifications by income level. For this country, this applies to the period 1978-1993. Alternative conversion factors are used in the Atlas methodology and elsewhere in World Development Indicators as single-year conversion factors.</t>
  </si>
  <si>
    <t>The World Bank systematically assesses the appropriateness of official exchange rates as conversion factors. In this country, multiple or dual exchange rate activity exists and must be accounted for appropriately in underlying statistics. An alternative estimate (“alternative conversion factor” - PA.NUS.ATLS) is thus calculated as a weighted average of the different exchange rates in use in the country. Doing so better reflects economic reality and leads to more accurate cross-country comparisons and country classifications by income level. For this country, this applies to the period 1999-2004. Alternative conversion factors are used in the Atlas methodology and elsewhere in World Development Indicators as single-year conversion factors.</t>
  </si>
  <si>
    <t>A simple multiplier is used to convert the national currencies of EMU members to euros. The following irrevocable euro conversion rate entered into force on January 1, 2008: 1 euro = 0.585274 Cyprus pounds. Please note that historical data are not actual euros and are not comparable or suitable for aggregation across countries.</t>
  </si>
  <si>
    <t>A simple multiplier is used to convert the national currencies of EMU members to euros. The following irrevocable euro conversion rate was adopted by the EU Council on January 1, 1999: 1 euro = 1.95583 Deutsche Mark. Please note that historical data before 1999 are not actual euros and are not comparable or suitable for aggregation across countries. GDP data before 1991 are calculated by applying backward GDP growth rates of the former Federal Republic of Germany starting from the first official GDP value for the unified Germany (1991).</t>
  </si>
  <si>
    <t>The reporting period for national accounts data is designated as either calendar year basis (CY) or fiscal year basis (FY). For this country, it is fiscal year-based (fiscal year-end: June 30) for the years 1980 and after. The data from 1973 to 1979 refer to the calendar year data. Also, an estimate (PA.NUS.ATLS) of the exchange rate covers the same period and thus differs from the official exchange rate (CY). 
In addition, the World Bank systematically assesses the appropriateness of official exchange rates as conversion factors. In this country, multiple or dual exchange rate activity exists and must be accounted for appropriately in underlying statistics. An alternative estimate (“alternative conversion factor” - PA.NUS.ATLS) is thus calculated as a weighted average of the different exchange rates in use in the country. Doing so better reflects economic reality and leads to more accurate cross-country comparisons and country classifications by income level. For this country, this applies to the period 1965-2021. Alternative conversion factors are used in the Atlas methodology and elsewhere in World Development Indicators as single-year conversion factors.
The national accounts data for Egypt has been updated to reflect local constant prices in the year 2022, moving from the previous reference of 2017.</t>
  </si>
  <si>
    <t>The World Bank systematically assesses the appropriateness of official exchange rates as conversion factors. In this country, multiple or dual exchange rate activity exists and must be accounted for appropriately in underlying statistics. An alternative estimate (“alternative conversion factor” - PA.NUS.ATLS) is thus calculated as a weighted average of the different exchange rates in use in the country. Doing so better reflects economic reality and leads to more accurate cross-country comparisons and country classifications by income level. For this country, this applies to the period 1992-1997. Alternative conversion factors are used in the Atlas methodology and elsewhere in World Development Indicators as single-year conversion factors.</t>
  </si>
  <si>
    <t>A simple multiplier is used to convert the national currencies of EMU members to euros. The following irrevocable euro conversion rate was adopted by the EU Council on January 1, 1999: 1 euro = 166.386 Spanish peseta. Please note that historical data before 1999 are not actual euros and are not comparable or suitable for aggregation across countries.</t>
  </si>
  <si>
    <t>The following irrevocable euro conversion rate entered into force on January 1, 2011: 1 euro = 15.6466 Estonian kroon. Please note that historical data are not actual euros and are not comparable or suitable for aggregation across countries.</t>
  </si>
  <si>
    <t>The reporting period for national accounts data is designated as either calendar year basis (CY) or fiscal year basis (FY). For this country, it is fiscal year-based (fiscal year-end: July 7). Also, an estimate (PA.NUS.ATLS) of the exchange rate covers the same period and thus differs from the official exchange rate (CY).</t>
  </si>
  <si>
    <t>A simple multiplier is used to convert the national currencies of EMU members to euros. The following irrevocable euro conversion rate was adopted by the EU Council on January 1, 1999: 1 euro = 5.94573 Finnish markka. Please note that historical data before 1999 are not actual euros and are not comparable or suitable for aggregation across countries.</t>
  </si>
  <si>
    <t>The following irrevocable euro conversion rate was adopted by the EU Council on January 1, 1999: 1 euro = 6.55957 French franc. Please note that historical data before 1999 are not actual euros and are not comparable or suitable for aggregation across countries.</t>
  </si>
  <si>
    <t>Fiscal year ends on September 30; reporting period for national accounts data: FY. The source for national accounts data is the Pacific and Virgin Islands Training Initiative.</t>
  </si>
  <si>
    <t>Includes self-governed areas only, which mostly exclude Abkhazia and South Ossetia, but small areas in Abkhazia and South Ossetia are included before 2008 or 2009 because of the changes in self-governed areas.</t>
  </si>
  <si>
    <t>The World Bank systematically assesses the appropriateness of official exchange rates as conversion factors. In this country, multiple or dual exchange rate activity exists and must be accounted for appropriately in underlying statistics. An alternative estimate (“alternative conversion factor” - PA.NUS.ATLS) is thus calculated as a weighted average of the different exchange rates in use in the country. Doing so better reflects economic reality and leads to more accurate cross-country comparisons and country classifications by income level. For this country, this applies to the period 1974-1987. Alternative conversion factors are used in the Atlas methodology and elsewhere in World Development Indicators as single-year conversion factors.</t>
  </si>
  <si>
    <t>A simple multiplier is used to convert the national currencies of EMU members to euros. The following irrevocable euro conversion rate was adopted by the EU Council on January 1, 1999: 1 euro = 340.75 Greek drachma. Please note that historical data before 1999 are not actual euros and are not comparable or suitable for aggregation across countries.</t>
  </si>
  <si>
    <t>The World Bank systematically assesses the appropriateness of official exchange rates as conversion factors. In this country, multiple or dual exchange rate activity exists and must be accounted for appropriately in underlying statistics. An alternative estimate (“alternative conversion factor” - PA.NUS.ATLS) is thus calculated as a weighted average of the different exchange rates in use in the country. Doing so better reflects economic reality and leads to more accurate cross-country comparisons and country classifications by income level. For this country, this applies to the period 1985-2003. Alternative conversion factors are used in the Atlas methodology and elsewhere in World Development Indicators as single-year conversion factors.</t>
  </si>
  <si>
    <t>On 1 July 1997 China resumed its exercise of sovereignty over Hong Kong. Unless otherwise noted, data for China do not include data for Hong Kong SAR, China; Macao SAR, China; or Taiwan, China. Agriculture value added includes mining and quarrying.</t>
  </si>
  <si>
    <t>The World Bank systematically assesses the appropriateness of official exchange rates as conversion factors. In this country, multiple or dual exchange rate activity exists and must be accounted for appropriately in underlying statistics. An alternative estimate (“alternative conversion factor” - PA.NUS.ATLS) is thus calculated as a weighted average of the different exchange rates in use in the country. Doing so better reflects economic reality and leads to more accurate cross-country comparisons and country classifications by income level. For this country, this applies to the period 1988-1989. Alternative conversion factors are used in the Atlas methodology and elsewhere in World Development Indicators as single-year conversion factors.</t>
  </si>
  <si>
    <t>A simple multiplier is used to convert the national currencies of EMU members to euros. The following irrevocable euro conversion rate entered into force on January 1, 2023: 1 euro = 7.53450 Croatian kuna. Please note that historical data are not actual euros and are not comparable or suitable for aggregation across countries.</t>
  </si>
  <si>
    <t>The reporting period for national accounts data is designated as either calendar year basis (CY) or fiscal year basis (FY). For this country, it is fiscal year-based (fiscal year-end: September 30). Also, an estimate (PA.NUS.ATLS) of the exchange rate covers the same period and thus differs from the official exchange rate (CY).</t>
  </si>
  <si>
    <t>Fiscal year end: March 31; reporting period for national accounts data: CY. Data for Indonesia include Timor-Leste through 1999 unless otherwise noted.</t>
  </si>
  <si>
    <t>Classification for years after 2012 was adjusted and figures were re-estimated by the World Bank, based on the detailed data published by the Cabinet Office, and are not consistent with data for 2011 and before.</t>
  </si>
  <si>
    <t>The reporting period for national accounts data is designated as either calendar year basis (CY) or fiscal year basis (FY). For this country, it is fiscal year-based (fiscal year-end: March 31). Also, an estimate (PA.NUS.ATLS) of the exchange rate covers the same period and thus differs from the official exchange rate (CY).</t>
  </si>
  <si>
    <t>A simple multiplier is used to convert the national currencies of EMU members to euros. The following irrevocable euro conversion rate was adopted by the EU Council on January 1, 1999: 1 euro = 0.787564 Irish pound. Please note that historical data before 1999 are not actual euros and are not comparable or suitable for aggregation across countries.</t>
  </si>
  <si>
    <t>The reporting period for national accounts data is designated as either calendar year basis (CY) or fiscal year basis (FY). For this country, it is fiscal year-based (fiscal year-end: March 20). Also, the World Bank systematically assesses the appropriateness of official exchange rates as conversion factors. In this country, multiple or dual exchange rate activity exists and must be accounted for appropriately in underlying statistics. An alternative estimate (“alternative conversion factor” - PA.NUS.ATLS) is thus calculated as a weighted average of the different exchange rates in use in the country. Doing so better reflects economic reality and leads to more accurate cross-country comparisons and country classifications by income level. For this country, this applies to 1972-2024. Alternative conversion factors are used in the Atlas methodology and elsewhere in World Development Indicators as single-year conversion factors.</t>
  </si>
  <si>
    <t>A simple multiplier is used to convert the national currencies of EMU members to euros. The following irrevocable euro conversion rate was adopted by the EU Council on January 1, 1999: 1 euro = 1936.27 Italian lira. Please note that historical data before 1999 are not actual euros and are not comparable or suitable for aggregation across countries.</t>
  </si>
  <si>
    <t>Fiscal year end: June 30; reporting period for national accounts data: CY.</t>
  </si>
  <si>
    <t>The World Bank systematically assesses the appropriateness of official exchange rates as conversion factors. In this country, multiple or dual exchange rate activity exists and must be accounted for appropriately in underlying statistics. An alternative estimate (“alternative conversion factor” - PA.NUS.ATLS) is thus calculated as a weighted average of the different exchange rates in use in the country. Doing so better reflects economic reality and leads to more accurate cross-country comparisons and country classifications by income level. For this country, this applies to the period 1963-2004. Alternative conversion factors are used in the Atlas methodology and elsewhere in World Development Indicators as single-year conversion factors.</t>
  </si>
  <si>
    <t>The World Bank systematically assesses the appropriateness of official exchange rates as conversion factors. In this country, multiple or dual exchange rate activity exists and must be accounted for appropriately in underlying statistics. An alternative estimate (“alternative conversion factor” - PA.NUS.ATLS) is thus calculated as a weighted average of the different exchange rates in use in the country. Doing so better reflects economic reality and leads to more accurate cross-country comparisons and country classifications by income level. For this country, this applies to the period 1960-2020. Alternative conversion factors are used in the Atlas methodology and elsewhere in World Development Indicators as single-year conversion factors.</t>
  </si>
  <si>
    <t>The World Bank systematically assesses the appropriateness of official exchange rates as conversion factors. In this country, multiple or dual exchange rate activity exists and must be accounted for appropriately in underlying statistics. An alternative estimate (“alternative conversion factor” - PA.NUS.ATLS) is thus calculated as a weighted average of the different exchange rates in use in the country. Doing so better reflects economic reality and leads to more accurate cross-country comparisons and country classifications by income level. For this country, this applies to the period 1984-2024. Alternative conversion factors are used in the Atlas methodology and elsewhere in World Development Indicators as single-year conversion factors.</t>
  </si>
  <si>
    <t>National accounts data are provided in the US dollar.</t>
  </si>
  <si>
    <t>A simple multiplier is used to convert the national currencies of EMU members to euros. The following irrevocable euro conversion rate entered into force on January 1, 2015: 1 euro = 3.45280 Lithuanian litas. Please note that historical data are not actual euros and are not comparable or suitable for aggregation across countries.</t>
  </si>
  <si>
    <t>A simple multiplier is used to convert the national currencies of EMU members to euros. The following irrevocable euro conversion rate was adopted by the EU Council on January 1, 1999: 1 euro = 40.3399 Luxembourg franc. Please note that historical data before 1999 are not actual euros and are not comparable or suitable for aggregation across countries.</t>
  </si>
  <si>
    <t>A simple multiplier is used to convert the national currencies of EMU members to euros. The following irrevocable euro conversion rate entered into force on January 1, 2014: 1 euro = 0.702804 Latvian lats. Please note that historical data are not actual euros and are not comparable or suitable for aggregation across countries. Based on data from EUROSTAT, the new reference year is 2010.</t>
  </si>
  <si>
    <t>On 20 December 1999 China resumed its exercise of sovereignty over Macao. Unless otherwise noted, data for China do not include data for Hong Kong SAR, China; Macao SAR, China; or Taiwan, China.</t>
  </si>
  <si>
    <t>Excluding Transnistria. For 1950-94, World Bank estimates using UN World Population Prospects' growth rates of whole Moldova.</t>
  </si>
  <si>
    <t>Fiscal year ends on September 30; reporting period for national accounts data: FY.</t>
  </si>
  <si>
    <t>A simple multiplier is used to convert the national currencies of EMU members to euros. The following irrevocable euro conversion rate entered into force on January 1, 2008: 1 euro = 0.4293 Maltese lira. Please note that historical data are not actual euros and are not comparable or suitable for aggregation across countries. National accounts data source from 1995 to 2015 is Eurostat; prior to 1995 is UN.</t>
  </si>
  <si>
    <t>The reporting period for national accounts data is designated as either calendar year basis (CY) or fiscal year basis (FY). For this country, it is fiscal year-based (fiscal year-end: September 30). Also, an estimate (PA.NUS.ATLS) of the exchange rate covers the same period and thus differs from the official exchange rate (CY). 	  
In addition, the World Bank systematically assesses the appropriateness of official exchange rates as conversion factors. In this country, multiple or dual exchange rate activity exists and must be accounted for appropriately in underlying statistics. An alternative estimate (“alternative conversion factor” - PA.NUS.ATLS) is thus calculated as a weighted average of the different exchange rates in use in the country. Doing so better reflects economic reality and leads to more accurate cross-country comparisons and country classifications by income level. For this country, this applies to the period 1960-2014. Alternative conversion factors are used in the Atlas methodology and elsewhere in World Development Indicators as single-year conversion factors.</t>
  </si>
  <si>
    <t>Montenegro declared independence from Serbia and Montenegro on June 3, 2006. Where available, data for each country are shown separately. However, for Serbia, some indicators continue to include data for Montenegro through 2005.</t>
  </si>
  <si>
    <t>The World Bank systematically assesses the appropriateness of official exchange rates as conversion factors. In this country, multiple or dual exchange rate activity exists and must be accounted for appropriately in underlying statistics. An alternative estimate (“alternative conversion factor” - PA.NUS.ATLS) is thus calculated as a weighted average of the different exchange rates in use in the country. Doing so better reflects economic reality and leads to more accurate cross-country comparisons and country classifications by income level. For this country, this applies to the period 1991-2004. Alternative conversion factors are used in the Atlas methodology and elsewhere in World Development Indicators as single-year conversion factors.</t>
  </si>
  <si>
    <t>National account data were adjusted to reflect the new banknote (1 new ouguiya = 10 old ouguiya)</t>
  </si>
  <si>
    <t>The World Bank systematically assesses the appropriateness of official exchange rates as conversion factors. In this country, multiple or dual exchange rate activity exists and must be accounted for appropriately in underlying statistics. An alternative estimate (“alternative conversion factor” - PA.NUS.ATLS) is thus calculated as a weighted average of the different exchange rates in use in the country. Doing so better reflects economic reality and leads to more accurate cross-country comparisons and country classifications by income level. For this country, this applies to 1970-2020. Alternative conversion factors are used in the Atlas methodology and elsewhere in World Development Indicators as single-year conversion factors.</t>
  </si>
  <si>
    <t>The World Bank systematically assesses the appropriateness of official exchange rates as conversion factors. In this country, multiple or dual exchange rate activity exists and must be accounted for appropriately in underlying statistics. An alternative estimate (“alternative conversion factor” - PA.NUS.ATLS) is thus calculated as a weighted average of the different exchange rates in use in the country. Doing so better reflects economic reality and leads to more accurate cross-country comparisons and country classifications by income level. For this country, this applies to the period 1988-2006. Alternative conversion factors are used in the Atlas methodology and elsewhere in World Development Indicators as single-year conversion factors.</t>
  </si>
  <si>
    <t>A simple multiplier is used to convert the national currencies of EMU members to euros. The following irrevocable euro conversion rate was adopted by the EU Council on January 1, 1999: 1 euro = 2.20371 Netherlands guilder. Please note that historical data before 1999 are not actual euros and are not comparable or suitable for aggregation across countries.</t>
  </si>
  <si>
    <t>The reporting period for national accounts data is designated as either calendar year basis (CY) or fiscal year basis (FY). For this country, it is fiscal year-based (fiscal year-end: July 14). Also, an estimate (PA.NUS.ATLS) of the exchange rate covers the same period and thus differs from the official exchange rate (CY).</t>
  </si>
  <si>
    <t>The World Bank systematically assesses the appropriateness of official exchange rates as conversion factors. In this country, multiple or dual exchange rate activity exists and must be accounted for appropriately in underlying statistics. An alternative estimate (“alternative conversion factor” - PA.NUS.ATLS) is thus calculated as a weighted average of the different exchange rates in use in the country. Doing so better reflects economic reality and leads to more accurate cross-country comparisons and country classifications by income level. For this country, this applies to the period 1988-2009. Alternative conversion factors are used in the Atlas methodology and elsewhere in World Development Indicators as single-year conversion factors.</t>
  </si>
  <si>
    <t>Fiscal year end: June 30; reporting period for national accounts data: FY.</t>
  </si>
  <si>
    <t>A simple multiplier is used to convert the national currencies of EMU members to euros. The following irrevocable euro conversion rate was adopted by the EU Council on January 1, 1999: 1 euro = 200.482 Portuguese escudo. Please note that historical data before 1999 are not actual euros and are not comparable or suitable for aggregation across countries.</t>
  </si>
  <si>
    <t>The World Bank systematically assesses the appropriateness of official exchange rates as conversion factors. In this country, multiple or dual exchange rate activity exists and must be accounted for appropriately in underlying statistics. An alternative estimate (“alternative conversion factor” - PA.NUS.ATLS) is thus calculated as a weighted average of the different exchange rates in use in the country. Doing so better reflects economic reality and leads to more accurate cross-country comparisons and country classifications by income level. For this country, this applies to the period 1982-1988. Alternative conversion factors are used in the Atlas methodology and elsewhere in World Development Indicators as single-year conversion factors. Kindly note that GDP per capita and GNI per capita reported are calculated from the UN WPP data which likely creates discrepancy with the official per capita figures, calculated from the latest population census results.</t>
  </si>
  <si>
    <t>The World Bank systematically assesses the appropriateness of official exchange rates as conversion factors. In this country, multiple or dual exchange rate activity exists and must be accounted for appropriately in underlying statistics. An alternative estimate (“alternative conversion factor” - PA.NUS.ATLS) is thus calculated as a weighted average of the different exchange rates in use in the country. Doing so better reflects economic reality and leads to more accurate cross-country comparisons and country classifications by income level. For this country, this applies to the period 1987-1992. Alternative conversion factors are used in the Atlas methodology and elsewhere in World Development Indicators as single-year conversion factors.</t>
  </si>
  <si>
    <t>The World Bank systematically assesses the appropriateness of official exchange rates as conversion factors. In this country, multiple or dual exchange rate activity exists and must be accounted for appropriately in underlying statistics. An alternative estimate (“alternative conversion factor” - PA.NUS.ATLS) is thus calculated as a weighted average of the different exchange rates in use in the country. Doing so better reflects economic reality and leads to more accurate cross-country comparisons and country classifications by income level. For this country, this applies to the period 2018-2020. Alternative conversion factors are used in the Atlas methodology and elsewhere in World Development Indicators as single-year conversion factors.</t>
  </si>
  <si>
    <t>The World Bank systematically assesses the appropriateness of official exchange rates as conversion factors. In this country, multiple or dual exchange rate activity exists and must be accounted for appropriately in underlying statistics. An alternative estimate (“alternative conversion factor” - PA.NUS.ATLS) is thus calculated as a weighted average of the different exchange rates in use in the country. Doing so better reflects economic reality and leads to more accurate cross-country comparisons and country classifications by income level. For this country, this applies to the period 1977-2017. Alternative conversion factors are used in the Atlas methodology and elsewhere in World Development Indicators as single-year conversion factors.</t>
  </si>
  <si>
    <t>Montenegro declared independence from Serbia and Montenegro on June 3, 2006. Where available, data for each country are shown separately. However, for Serbia, some indicators, such as those series for which data appear only for Serbia and not Montenegro--e.g., aid, environment, external debt, balance of payments, various social indicators excluding population--continue to include data for Montenegro through 2005. Moreover, data from 1999 onward for Serbia for most indicators exclude data for Kosovo, 1999 being the year when Kosovo became a territory under international administration pursuant to UN Security Council Resolution 1244 (1999); any exceptions are noted. Kosovo became a World Bank member on June 29, 2009; available data are shown separately for Kosovo. In 2011, the Statistical Office of Serbia improved the methodology of national accounts data for 2003 onward. Specifically, the classification of sectors was revised.</t>
  </si>
  <si>
    <t>National account data were adjusted to reflect the new banknote (1 new Dobra STN = 1000 old Dobra STD)</t>
  </si>
  <si>
    <t>The World Bank systematically assesses the appropriateness of official exchange rates as conversion factors. In this country, multiple or dual exchange rate activity exists and must be accounted for appropriately in underlying statistics. An alternative estimate (“alternative conversion factor” - PA.NUS.ATLS) is thus calculated as a weighted average of the different exchange rates in use in the country. Doing so better reflects economic reality and leads to more accurate cross-country comparisons and country classifications by income level. For this country, this applies to 1989-2021. Alternative conversion factors are used in the Atlas methodology and elsewhere in World Development Indicators as single-year conversion factors.</t>
  </si>
  <si>
    <t>A simple multiplier is used to convert the national currencies of EMU members to euros. The following irrevocable euro conversion rate entered into force on January 1, 2009: 1 euro = 30.126 Slovak koruna. Please note that historical data are not actual euros and are not comparable or suitable for aggregation across countries.</t>
  </si>
  <si>
    <t>A simple multiplier is used to convert the national currencies of EMU members to euros. The following irrevocable euro conversion rate entered into force on January 1, 2007: 1 euro = 239.64 Slovenian tolar. Please note that historical data are not actual euros and are not comparable or suitable for aggregation across countries.</t>
  </si>
  <si>
    <t>Fiscal year end: March 31; reporting period for national accounts data: CY. Authorities revised national accounts from 1999 to 2015.</t>
  </si>
  <si>
    <t>The World Bank systematically assesses the appropriateness of official exchange rates as conversion factors. In this country, multiple or dual exchange rate activity exists and must be accounted for appropriately in underlying statistics. An alternative estimate (“alternative conversion factor” - PA.NUS.ATLS) is thus calculated as a weighted average of the different exchange rates in use in the country. Doing so better reflects economic reality and leads to more accurate cross-country comparisons and country classifications by income level. For this country, this applies to the period 2011-2024. Alternative conversion factors are used in the Atlas methodology and elsewhere in World Development Indicators as single-year conversion factors.</t>
  </si>
  <si>
    <t>Fiscal year end: September 30; reporting period for national accounts data: CY.</t>
  </si>
  <si>
    <t>The reporting period for national accounts data is designated as either calendar year basis (CY) or fiscal year basis (FY). For this country, it is fiscal year-based (fiscal year-end: June 30). Also, an estimate (PA.NUS.ATLS) of the exchange rate covers the same period and thus differs from the official exchange rate (CY). In addition, the World Bank systematically assesses the appropriateness of official exchange rates as conversion factors. In this country, multiple or dual exchange rate activity exists and must be accounted for appropriately in underlying statistics. An alternative estimate (“alternative conversion factor” - PA.NUS.ATLS) is thus calculated as a weighted average of the different exchange rates in use in the country. Doing so better reflects economic reality and leads to more accurate cross-country comparisons and country classifications by income level. For this country, this applies to 1960-2009. Alternative conversion factors are used in the Atlas methodology and elsewhere in World Development Indicators as single-year conversion factors.</t>
  </si>
  <si>
    <t>The World Bank systematically assesses the appropriateness of official exchange rates as conversion factors. In this country, multiple or dual exchange rate activity exists and must be accounted for appropriately in underlying statistics. An alternative estimate (“alternative conversion factor” - PA.NUS.ATLS) is thus calculated as a weighted average of the different exchange rates in use in the country. Doing so better reflects economic reality and leads to more accurate cross-country comparisons and country classifications by income level. Alternative conversion factors are used in the Atlas methodology and elsewhere in World Development Indicators as single-year conversion factors.</t>
  </si>
  <si>
    <t>National accounts data were rebased to reflect the January 1, 2013, introduction of the new Zambian kwacha at a rate of 1,000 old kwacha = 1 new kwacha.</t>
  </si>
  <si>
    <t>National Accounts data are reported in Zimbabwe Gold (ZIG). 
The World Bank systematically assesses the appropriateness of official exchange rates as conversion factors. In this country, multiple or dual exchange rate activity exists and must be accounted for appropriately in underlying statistics. An alternative estimate (“alternative conversion factor” - PA.NUS.ATLS) is thus calculated as a weighted average of the different exchange rates in use in the country. Doing so better reflects economic reality and leads to more accurate cross-country comparisons and country classifications by income level. Alternative conversion factors are used in the Atlas methodology and elsewhere in World Development Indicators as single-year conversion factors.</t>
  </si>
  <si>
    <t>Income_Group</t>
  </si>
  <si>
    <t>Special_Notes</t>
  </si>
  <si>
    <t>General government final consumption expenditure (current US$)</t>
  </si>
  <si>
    <t>https://data.worldbank.org/indicator/NE.CON.GOVT.CD</t>
  </si>
  <si>
    <t>year</t>
  </si>
  <si>
    <t>comment</t>
  </si>
  <si>
    <t>countries_count</t>
  </si>
  <si>
    <t>General government final consumption expenditure (% of GDP)</t>
  </si>
  <si>
    <t>https://data.worldbank.org/indicator/NE.CON.GOVT.ZS</t>
  </si>
  <si>
    <t>GDP</t>
  </si>
  <si>
    <t>GDP per capita</t>
  </si>
  <si>
    <t>GDP, PPP</t>
  </si>
  <si>
    <t>GDP per capita, PPP</t>
  </si>
  <si>
    <t>UoM</t>
  </si>
  <si>
    <t>Budget</t>
  </si>
  <si>
    <t>Budget (% of GDP)</t>
  </si>
  <si>
    <t>Inflation, consumer prices (annual %)</t>
  </si>
  <si>
    <t>https://data.worldbank.org/indicator/FP.CPI.TOTL.ZG</t>
  </si>
  <si>
    <t>one chart</t>
  </si>
  <si>
    <t>abs</t>
  </si>
  <si>
    <t>per capita</t>
  </si>
  <si>
    <t>Unemployment, total (% of total labor force) (modeled ILO estimate)</t>
  </si>
  <si>
    <t>https://data.worldbank.org/indicator/SL.UEM.TOTL.ZS</t>
  </si>
  <si>
    <t>add breakdown(s) by sex, etc.?</t>
  </si>
  <si>
    <t>Debt (% of GDP)</t>
  </si>
  <si>
    <t>https://www.imf.org/external/datamapper/DEBT1@DEBT/FAD_G20Adv/FAD_G20Emg/FAD_LIC/CAN</t>
  </si>
  <si>
    <t>Foreign direct investment, net inflows (BoP, current US$)</t>
  </si>
  <si>
    <t>https://data.worldbank.org/indicator/BX.KLT.DINV.CD.WD</t>
  </si>
  <si>
    <t>source</t>
  </si>
  <si>
    <t>World Bank</t>
  </si>
  <si>
    <t>IMF</t>
  </si>
  <si>
    <t>Inflation</t>
  </si>
  <si>
    <t>Unemployment</t>
  </si>
  <si>
    <t>US$, thousands</t>
  </si>
  <si>
    <t>US$, billions</t>
  </si>
  <si>
    <t>"international $", billions</t>
  </si>
  <si>
    <t>"international $", thousands</t>
  </si>
  <si>
    <t>negative or positive on top?</t>
  </si>
  <si>
    <t>Foreign direct investment, net</t>
  </si>
  <si>
    <t>indicator</t>
  </si>
  <si>
    <t>Indicator_full</t>
  </si>
  <si>
    <t>Population, total</t>
  </si>
  <si>
    <t>Population</t>
  </si>
  <si>
    <t>https://data.worldbank.org/indicator/SP.POP.TOTL</t>
  </si>
  <si>
    <t>Population, female (% of total population)</t>
  </si>
  <si>
    <t>Female population share</t>
  </si>
  <si>
    <t>https://data.worldbank.org/indicator/SP.POP.TOTL.FE.ZS</t>
  </si>
  <si>
    <t>Population ages 65 and above (% of total population)</t>
  </si>
  <si>
    <t>show all 3 as stacked bar?</t>
  </si>
  <si>
    <t>https://data.worldbank.org/indicator/SP.POP.65UP.TO.ZS</t>
  </si>
  <si>
    <t>Population density (people per sq. km of land area)</t>
  </si>
  <si>
    <t>Density</t>
  </si>
  <si>
    <t>https://data.worldbank.org/indicator/EN.POP.DNST</t>
  </si>
  <si>
    <t>Life expectancy at birth, total (years)</t>
  </si>
  <si>
    <t>Life expectancy</t>
  </si>
  <si>
    <t>by sex</t>
  </si>
  <si>
    <t>https://data.worldbank.org/indicator/SP.DYN.LE00.IN</t>
  </si>
  <si>
    <t>Urban population (% of total population)</t>
  </si>
  <si>
    <t>Urban population share</t>
  </si>
  <si>
    <t>https://data.worldbank.org/indicator/SP.URB.TOTL.IN.ZS</t>
  </si>
  <si>
    <t>Literacy rate, adult total (% of people ages 15 and above)</t>
  </si>
  <si>
    <t>Adult literacy rate</t>
  </si>
  <si>
    <t>https://data.worldbank.org/indicator/SE.ADT.LITR.ZS</t>
  </si>
  <si>
    <t>under 100</t>
  </si>
  <si>
    <t>million</t>
  </si>
  <si>
    <t>%</t>
  </si>
  <si>
    <t>years</t>
  </si>
  <si>
    <t>people per sq. km</t>
  </si>
  <si>
    <t>Surface area (sq. km)</t>
  </si>
  <si>
    <t>https://data.worldbank.org/indicator/AG.SRF.TOTL.K2</t>
  </si>
  <si>
    <t>Korea, Dem. People's Rep.</t>
  </si>
  <si>
    <t>abs too?</t>
  </si>
  <si>
    <t>Agricultural land (% of land area)</t>
  </si>
  <si>
    <t>Agricultural land share</t>
  </si>
  <si>
    <t>https://data.worldbank.org/indicator/AG.LND.AGRI.ZS</t>
  </si>
  <si>
    <t>Arable land (% of land area)</t>
  </si>
  <si>
    <t>Arable land share</t>
  </si>
  <si>
    <t>https://data.worldbank.org/indicator/AG.LND.ARBL.ZS</t>
  </si>
  <si>
    <t>Forest area (% of land area)</t>
  </si>
  <si>
    <t>Forest area share</t>
  </si>
  <si>
    <t>https://data.worldbank.org/indicator/AG.LND.FRST.ZS</t>
  </si>
  <si>
    <t>sq.km, thousands</t>
  </si>
  <si>
    <t>Surface area</t>
  </si>
  <si>
    <t>Land area</t>
  </si>
  <si>
    <t>Land area (sq. km)</t>
  </si>
  <si>
    <t>https://data.worldbank.org/indicator/AG.LND.TOTL.K2</t>
  </si>
  <si>
    <t>Scientific and technical journal articles</t>
  </si>
  <si>
    <t>https://data.worldbank.org/indicator/IP.JRN.ARTC.SC</t>
  </si>
  <si>
    <t>per capita?</t>
  </si>
  <si>
    <t>Patent applications, residents</t>
  </si>
  <si>
    <t>https://data.worldbank.org/indicator/IP.PAT.RESD</t>
  </si>
  <si>
    <t>Patent applications, nonresidents</t>
  </si>
  <si>
    <t>https://data.worldbank.org/indicator/IP.PAT.NRES</t>
  </si>
  <si>
    <t>High-technology exports (current US$)</t>
  </si>
  <si>
    <t>High-technology exports</t>
  </si>
  <si>
    <t>https://data.worldbank.org/indicator/TX.VAL.TECH.CD</t>
  </si>
  <si>
    <t>Research and development expenditure (% of GDP)</t>
  </si>
  <si>
    <t>R&amp;D (% of GDP)</t>
  </si>
  <si>
    <t>https://data.worldbank.org/indicator/GB.XPD.RSDV.GD.ZS</t>
  </si>
  <si>
    <t>Publications</t>
  </si>
  <si>
    <t>check the merged countires list</t>
  </si>
  <si>
    <t>Anguilla</t>
  </si>
  <si>
    <t>China, People's Republic of</t>
  </si>
  <si>
    <t>Congo, Dem. Rep. of the</t>
  </si>
  <si>
    <t xml:space="preserve">Congo, Republic of </t>
  </si>
  <si>
    <t>Czech Republic</t>
  </si>
  <si>
    <t>Côte d'Ivoire</t>
  </si>
  <si>
    <t>Egypt</t>
  </si>
  <si>
    <t>Hong Kong SAR</t>
  </si>
  <si>
    <t>Iran</t>
  </si>
  <si>
    <t>Korea, Republic of</t>
  </si>
  <si>
    <t>Lao P.D.R.</t>
  </si>
  <si>
    <t>Micronesia, Fed. States of</t>
  </si>
  <si>
    <t xml:space="preserve">North Macedonia </t>
  </si>
  <si>
    <t>Puerto Rico</t>
  </si>
  <si>
    <t>Saint Kitts and Nevis</t>
  </si>
  <si>
    <t>Saint Lucia</t>
  </si>
  <si>
    <t>Saint Vincent and the Grenadines</t>
  </si>
  <si>
    <t>South Sudan, Republic of</t>
  </si>
  <si>
    <t>São Tomé and Príncipe</t>
  </si>
  <si>
    <t>Taiwan Province of China</t>
  </si>
  <si>
    <t>Türkiye, Republic of</t>
  </si>
  <si>
    <t>Venezuela</t>
  </si>
  <si>
    <t>Vietnam</t>
  </si>
  <si>
    <t>Yemen</t>
  </si>
  <si>
    <t>thousands</t>
  </si>
  <si>
    <t>https://pgav.org.au/file/14545/6389</t>
  </si>
  <si>
    <t>UNESCO</t>
  </si>
  <si>
    <t>Number of museums per country</t>
  </si>
  <si>
    <t>Museums</t>
  </si>
  <si>
    <t>Patents, residents</t>
  </si>
  <si>
    <t>Patents, nonresidents</t>
  </si>
  <si>
    <t>NOT USED (shitty data)</t>
  </si>
  <si>
    <t>Net migration</t>
  </si>
  <si>
    <t>International migrant stock, total</t>
  </si>
  <si>
    <t>International migrant stock (% of population)</t>
  </si>
  <si>
    <t>International migrants</t>
  </si>
  <si>
    <t>International migrants share</t>
  </si>
  <si>
    <t>millions</t>
  </si>
  <si>
    <t>https://data.worldbank.org/indicator/SM.POP.NETM</t>
  </si>
  <si>
    <t>not used</t>
  </si>
  <si>
    <t>https://data.worldbank.org/indicator/SM.POP.TOTL</t>
  </si>
  <si>
    <t>Population ages 65+ share</t>
  </si>
  <si>
    <t>Rank</t>
  </si>
  <si>
    <t>Country_with_rank</t>
  </si>
  <si>
    <t>URL</t>
  </si>
  <si>
    <t>Source</t>
  </si>
  <si>
    <t>Year</t>
  </si>
  <si>
    <t>Id</t>
  </si>
  <si>
    <t>Group</t>
  </si>
  <si>
    <t>Economy</t>
  </si>
  <si>
    <t>People</t>
  </si>
  <si>
    <t>Geography</t>
  </si>
  <si>
    <t>Science</t>
  </si>
  <si>
    <t>Max_value</t>
  </si>
  <si>
    <t>Min_value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</si>
</sst>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20" x14ac:knownFonts="1">
    <font>
      <sz val="11"/>
      <color theme="1"/>
      <name val="Calibri"/>
      <family val="2"/>
      <scheme val="minor"/>
    </font>
    <font>
      <b/>
      <sz val="11"/>
      <color theme="1"/>
      <name val="Calibri"/>
      <family val="2"/>
      <scheme val="minor"/>
    </font>
    <font>
      <sz val="11"/>
      <color theme="1"/>
      <name val="Calibri"/>
      <scheme val="minor"/>
    </font>
    <font>
      <b/>
      <sz val="11"/>
      <color theme="0" tint="-0.249977111117893"/>
      <name val="Calibri"/>
      <family val="2"/>
      <scheme val="minor"/>
    </font>
    <font>
      <sz val="11"/>
      <color theme="0" tint="-0.249977111117893"/>
      <name val="Calibri"/>
      <family val="2"/>
      <scheme val="minor"/>
    </font>
    <font>
      <sz val="11"/>
      <color theme="1"/>
      <name val="Calibri"/>
      <family val="2"/>
      <scheme val="minor"/>
    </font>
    <font>
      <sz val="11"/>
      <color rgb="FFFF0000"/>
      <name val="Calibri"/>
      <family val="2"/>
      <scheme val="minor"/>
    </font>
    <font>
      <u/>
      <sz val="11"/>
      <color theme="10"/>
      <name val="Calibri"/>
      <family val="2"/>
      <scheme val="minor"/>
    </font>
    <font>
      <b/>
      <u/>
      <sz val="11"/>
      <color theme="10"/>
      <name val="Calibri"/>
      <family val="2"/>
      <scheme val="minor"/>
    </font>
    <font>
      <sz val="11"/>
      <color theme="0" tint="-0.34998626667073579"/>
      <name val="Calibri"/>
      <family val="2"/>
      <scheme val="minor"/>
    </font>
    <font>
      <u/>
      <sz val="11"/>
      <color theme="0" tint="-0.34998626667073579"/>
      <name val="Calibri"/>
      <family val="2"/>
      <scheme val="minor"/>
    </font>
    <font>
      <sz val="11"/>
      <name val="Calibri"/>
      <family val="2"/>
      <scheme val="minor"/>
    </font>
    <font>
      <b/>
      <sz val="11"/>
      <color rgb="FFFF0000"/>
      <name val="Calibri"/>
      <family val="2"/>
      <scheme val="minor"/>
    </font>
    <font>
      <sz val="11"/>
      <color rgb="FF00B050"/>
      <name val="Calibri"/>
      <family val="2"/>
      <scheme val="minor"/>
    </font>
    <font>
      <u/>
      <sz val="11"/>
      <color rgb="FFFF0000"/>
      <name val="Calibri"/>
      <family val="2"/>
      <scheme val="minor"/>
    </font>
    <font>
      <b/>
      <sz val="9"/>
      <color indexed="81"/>
      <name val="Tahoma"/>
      <charset val="1"/>
    </font>
    <font>
      <sz val="11"/>
      <color indexed="8"/>
      <name val="Calibri"/>
      <family val="2"/>
    </font>
    <font>
      <b/>
      <sz val="24"/>
      <color rgb="FFFF0000"/>
      <name val="Calibri"/>
      <family val="2"/>
      <scheme val="minor"/>
    </font>
    <font>
      <b/>
      <sz val="16"/>
      <color rgb="FFFF0000"/>
      <name val="Calibri"/>
      <family val="2"/>
      <scheme val="minor"/>
    </font>
    <font>
      <b/>
      <sz val="11"/>
      <name val="Calibri"/>
      <family val="2"/>
      <scheme val="minor"/>
    </font>
  </fonts>
  <fills count="13">
    <fill>
      <patternFill patternType="none"/>
    </fill>
    <fill>
      <patternFill patternType="gray125"/>
    </fill>
    <fill>
      <patternFill patternType="solid">
        <fgColor theme="7" tint="0.79998168889431442"/>
        <bgColor indexed="64"/>
      </patternFill>
    </fill>
    <fill>
      <patternFill patternType="solid">
        <fgColor theme="4" tint="0.59999389629810485"/>
        <bgColor indexed="64"/>
      </patternFill>
    </fill>
    <fill>
      <patternFill patternType="solid">
        <fgColor theme="9" tint="0.59999389629810485"/>
        <bgColor indexed="64"/>
      </patternFill>
    </fill>
    <fill>
      <patternFill patternType="solid">
        <fgColor rgb="FFFFC000"/>
        <bgColor indexed="64"/>
      </patternFill>
    </fill>
    <fill>
      <patternFill patternType="solid">
        <fgColor theme="4" tint="0.79998168889431442"/>
        <bgColor indexed="64"/>
      </patternFill>
    </fill>
    <fill>
      <patternFill patternType="solid">
        <fgColor theme="9" tint="0.79998168889431442"/>
        <bgColor indexed="64"/>
      </patternFill>
    </fill>
    <fill>
      <patternFill patternType="solid">
        <fgColor theme="5" tint="0.79998168889431442"/>
        <bgColor indexed="64"/>
      </patternFill>
    </fill>
    <fill>
      <patternFill patternType="solid">
        <fgColor theme="0" tint="-0.14999847407452621"/>
        <bgColor indexed="64"/>
      </patternFill>
    </fill>
    <fill>
      <patternFill patternType="solid">
        <fgColor rgb="FFFFFF00"/>
        <bgColor indexed="64"/>
      </patternFill>
    </fill>
    <fill>
      <patternFill patternType="solid">
        <fgColor theme="0" tint="-0.249977111117893"/>
        <bgColor indexed="64"/>
      </patternFill>
    </fill>
    <fill>
      <patternFill patternType="solid">
        <fgColor theme="7" tint="0.59999389629810485"/>
        <bgColor indexed="64"/>
      </patternFill>
    </fill>
  </fills>
  <borders count="2">
    <border>
      <left/>
      <right/>
      <top/>
      <bottom/>
      <diagonal/>
    </border>
    <border>
      <left/>
      <right/>
      <top/>
      <bottom style="thin">
        <color indexed="64"/>
      </bottom>
      <diagonal/>
    </border>
  </borders>
  <cellStyleXfs count="3">
    <xf numFmtId="0" fontId="0" fillId="0" borderId="0"/>
    <xf numFmtId="0" fontId="2" fillId="0" borderId="0"/>
    <xf numFmtId="0" fontId="7" fillId="0" borderId="0" applyNumberFormat="0" applyFill="0" applyBorder="0" applyAlignment="0" applyProtection="0"/>
  </cellStyleXfs>
  <cellXfs count="75">
    <xf numFmtId="0" fontId="0" fillId="0" borderId="0" xfId="0"/>
    <xf numFmtId="0" fontId="2" fillId="0" borderId="0" xfId="1" applyAlignment="1">
      <alignment vertical="center"/>
    </xf>
    <xf numFmtId="0" fontId="2" fillId="2" borderId="0" xfId="1" applyFill="1" applyAlignment="1">
      <alignment vertical="center"/>
    </xf>
    <xf numFmtId="0" fontId="1" fillId="0" borderId="0" xfId="1" applyFont="1" applyAlignment="1">
      <alignment vertical="center"/>
    </xf>
    <xf numFmtId="0" fontId="3" fillId="0" borderId="0" xfId="1" applyFont="1" applyAlignment="1">
      <alignment vertical="center"/>
    </xf>
    <xf numFmtId="0" fontId="4" fillId="0" borderId="0" xfId="1" applyFont="1" applyAlignment="1">
      <alignment vertical="center"/>
    </xf>
    <xf numFmtId="0" fontId="7" fillId="0" borderId="0" xfId="2"/>
    <xf numFmtId="0" fontId="0" fillId="3" borderId="0" xfId="0" applyFill="1"/>
    <xf numFmtId="0" fontId="7" fillId="3" borderId="0" xfId="2" applyFill="1"/>
    <xf numFmtId="0" fontId="0" fillId="4" borderId="0" xfId="0" applyFill="1"/>
    <xf numFmtId="0" fontId="7" fillId="4" borderId="0" xfId="2" applyFill="1"/>
    <xf numFmtId="0" fontId="1" fillId="3" borderId="0" xfId="0" applyFont="1" applyFill="1"/>
    <xf numFmtId="0" fontId="1" fillId="0" borderId="0" xfId="0" applyFont="1"/>
    <xf numFmtId="0" fontId="1" fillId="4" borderId="0" xfId="0" applyFont="1" applyFill="1"/>
    <xf numFmtId="0" fontId="0" fillId="6" borderId="0" xfId="0" applyFill="1"/>
    <xf numFmtId="0" fontId="1" fillId="6" borderId="0" xfId="0" applyFont="1" applyFill="1"/>
    <xf numFmtId="0" fontId="7" fillId="6" borderId="0" xfId="2" applyFill="1"/>
    <xf numFmtId="0" fontId="0" fillId="7" borderId="0" xfId="0" applyFill="1"/>
    <xf numFmtId="0" fontId="7" fillId="7" borderId="0" xfId="2" applyFill="1"/>
    <xf numFmtId="0" fontId="6" fillId="7" borderId="0" xfId="0" applyFont="1" applyFill="1"/>
    <xf numFmtId="0" fontId="6" fillId="4" borderId="0" xfId="0" applyFont="1" applyFill="1"/>
    <xf numFmtId="0" fontId="8" fillId="7" borderId="0" xfId="2" applyFont="1" applyFill="1"/>
    <xf numFmtId="0" fontId="9" fillId="3" borderId="0" xfId="0" applyFont="1" applyFill="1"/>
    <xf numFmtId="0" fontId="10" fillId="3" borderId="0" xfId="2" applyFont="1" applyFill="1"/>
    <xf numFmtId="0" fontId="9" fillId="6" borderId="0" xfId="0" applyFont="1" applyFill="1"/>
    <xf numFmtId="0" fontId="10" fillId="6" borderId="0" xfId="2" applyFont="1" applyFill="1"/>
    <xf numFmtId="0" fontId="9" fillId="4" borderId="0" xfId="0" applyFont="1" applyFill="1"/>
    <xf numFmtId="0" fontId="10" fillId="4" borderId="0" xfId="2" applyFont="1" applyFill="1"/>
    <xf numFmtId="0" fontId="9" fillId="0" borderId="0" xfId="0" applyFont="1"/>
    <xf numFmtId="0" fontId="9" fillId="7" borderId="0" xfId="0" applyFont="1" applyFill="1"/>
    <xf numFmtId="0" fontId="5" fillId="4" borderId="0" xfId="2" applyFont="1" applyFill="1"/>
    <xf numFmtId="0" fontId="11" fillId="0" borderId="0" xfId="0" applyFont="1"/>
    <xf numFmtId="0" fontId="12" fillId="8" borderId="0" xfId="0" applyFont="1" applyFill="1"/>
    <xf numFmtId="0" fontId="0" fillId="9" borderId="0" xfId="0" applyFill="1"/>
    <xf numFmtId="0" fontId="9" fillId="9" borderId="0" xfId="0" applyFont="1" applyFill="1"/>
    <xf numFmtId="0" fontId="7" fillId="9" borderId="0" xfId="2" applyFill="1"/>
    <xf numFmtId="0" fontId="13" fillId="0" borderId="0" xfId="0" applyFont="1"/>
    <xf numFmtId="0" fontId="6" fillId="0" borderId="0" xfId="0" applyFont="1"/>
    <xf numFmtId="0" fontId="6" fillId="4" borderId="0" xfId="2" applyFont="1" applyFill="1"/>
    <xf numFmtId="0" fontId="14" fillId="4" borderId="0" xfId="2" applyFont="1" applyFill="1"/>
    <xf numFmtId="0" fontId="2" fillId="0" borderId="0" xfId="1"/>
    <xf numFmtId="0" fontId="0" fillId="0" borderId="1" xfId="0" applyBorder="1"/>
    <xf numFmtId="0" fontId="9" fillId="0" borderId="1" xfId="0" applyFont="1" applyBorder="1"/>
    <xf numFmtId="0" fontId="7" fillId="0" borderId="1" xfId="2" applyBorder="1"/>
    <xf numFmtId="0" fontId="0" fillId="2" borderId="0" xfId="0" applyFill="1"/>
    <xf numFmtId="0" fontId="9" fillId="2" borderId="0" xfId="0" applyFont="1" applyFill="1"/>
    <xf numFmtId="0" fontId="7" fillId="2" borderId="0" xfId="2" applyFill="1"/>
    <xf numFmtId="0" fontId="13" fillId="7" borderId="0" xfId="0" applyFont="1" applyFill="1"/>
    <xf numFmtId="0" fontId="11" fillId="7" borderId="0" xfId="0" applyFont="1" applyFill="1"/>
    <xf numFmtId="0" fontId="0" fillId="10" borderId="0" xfId="0" applyFill="1"/>
    <xf numFmtId="0" fontId="16" fillId="10" borderId="0" xfId="0" applyFont="1" applyFill="1"/>
    <xf numFmtId="0" fontId="6" fillId="2" borderId="0" xfId="0" applyFont="1" applyFill="1"/>
    <xf numFmtId="0" fontId="12" fillId="2" borderId="0" xfId="0" applyFont="1" applyFill="1"/>
    <xf numFmtId="0" fontId="13" fillId="2" borderId="0" xfId="0" applyFont="1" applyFill="1"/>
    <xf numFmtId="0" fontId="0" fillId="10" borderId="0" xfId="0" applyFill="1" applyAlignment="1">
      <alignment horizontal="left"/>
    </xf>
    <xf numFmtId="0" fontId="0" fillId="5" borderId="0" xfId="0" applyFill="1" applyAlignment="1">
      <alignment horizontal="left"/>
    </xf>
    <xf numFmtId="164" fontId="2" fillId="0" borderId="0" xfId="1" applyNumberFormat="1"/>
    <xf numFmtId="0" fontId="17" fillId="7" borderId="0" xfId="0" applyFont="1" applyFill="1"/>
    <xf numFmtId="0" fontId="12" fillId="0" borderId="0" xfId="0" applyFont="1"/>
    <xf numFmtId="0" fontId="0" fillId="0" borderId="0" xfId="0" pivotButton="1"/>
    <xf numFmtId="0" fontId="0" fillId="0" borderId="0" xfId="0" applyAlignment="1">
      <alignment horizontal="left"/>
    </xf>
    <xf numFmtId="0" fontId="1" fillId="5" borderId="0" xfId="0" applyFont="1" applyFill="1"/>
    <xf numFmtId="0" fontId="1" fillId="10" borderId="0" xfId="0" applyFont="1" applyFill="1"/>
    <xf numFmtId="0" fontId="18" fillId="5" borderId="0" xfId="0" applyFont="1" applyFill="1"/>
    <xf numFmtId="0" fontId="19" fillId="10" borderId="0" xfId="0" applyFont="1" applyFill="1"/>
    <xf numFmtId="0" fontId="19" fillId="0" borderId="0" xfId="0" applyFont="1"/>
    <xf numFmtId="0" fontId="19" fillId="11" borderId="0" xfId="0" applyFont="1" applyFill="1"/>
    <xf numFmtId="0" fontId="11" fillId="3" borderId="0" xfId="0" applyFont="1" applyFill="1"/>
    <xf numFmtId="0" fontId="7" fillId="0" borderId="0" xfId="2" applyFill="1" applyBorder="1"/>
    <xf numFmtId="0" fontId="5" fillId="0" borderId="0" xfId="2" applyFont="1" applyFill="1" applyBorder="1"/>
    <xf numFmtId="0" fontId="6" fillId="0" borderId="0" xfId="2" applyFont="1" applyFill="1" applyBorder="1"/>
    <xf numFmtId="0" fontId="8" fillId="0" borderId="0" xfId="2" applyFont="1" applyFill="1" applyBorder="1"/>
    <xf numFmtId="0" fontId="0" fillId="12" borderId="0" xfId="0" applyFill="1"/>
    <xf numFmtId="0" fontId="0" fillId="11" borderId="0" xfId="0" applyFill="1"/>
    <xf numFmtId="0" fontId="11" fillId="4" borderId="0" xfId="0" applyFont="1" applyFill="1"/>
  </cellXfs>
  <cellStyles count="3">
    <cellStyle name="Hyperlink" xfId="2" builtinId="8"/>
    <cellStyle name="Normal" xfId="0" builtinId="0"/>
    <cellStyle name="Normal 2" xfId="1" xr:uid="{CB8E4A3A-D393-4C39-B64E-B6049F6F00BC}"/>
  </cellStyles>
  <dxfs count="1">
    <dxf>
      <font>
        <color rgb="FF9C0006"/>
      </font>
      <fill>
        <patternFill>
          <bgColor rgb="FFFFC7CE"/>
        </patternFill>
      </fill>
    </dxf>
  </dxfs>
  <tableStyles count="0" defaultTableStyle="TableStyleMedium2" defaultPivotStyle="PivotStyleLight16"/>
  <colors>
    <mruColors>
      <color rgb="FFFFFFCC"/>
      <color rgb="FF00FF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yes terrday" refreshedDate="45991.532053356481" createdVersion="8" refreshedVersion="8" minRefreshableVersion="3" recordCount="5285" xr:uid="{40C7E453-5939-4A2A-8843-4F64AE01C2B5}">
  <cacheSource type="worksheet">
    <worksheetSource ref="A1:E5286" sheet="data"/>
  </cacheSource>
  <cacheFields count="5">
    <cacheField name="Country" numFmtId="0">
      <sharedItems count="254">
        <s v="Cote d'Ivoire"/>
        <s v="Turkmenistan"/>
        <s v="Burundi"/>
        <s v="Uruguay"/>
        <s v="Saudi Arabia"/>
        <s v="Kazakhstan"/>
        <s v="South Africa"/>
        <s v="Lesotho"/>
        <s v="Rwanda"/>
        <s v="Nigeria"/>
        <s v="Moldova"/>
        <s v="Syrian Arab Republic"/>
        <s v="Djibouti"/>
        <s v="Guinea"/>
        <s v="Bangladesh"/>
        <s v="Uganda"/>
        <s v="Comoros"/>
        <s v="Ukraine"/>
        <s v="Madagascar"/>
        <s v="Somalia, Fed. Rep."/>
        <s v="United Kingdom"/>
        <s v="Togo"/>
        <s v="Faroe Islands"/>
        <s v="Eswatini"/>
        <s v="Isle of Man"/>
        <s v="Mongolia"/>
        <s v="Morocco"/>
        <s v="Lebanon"/>
        <s v="Denmark"/>
        <s v="Haiti"/>
        <s v="West Bank and Gaza"/>
        <s v="Malawi"/>
        <s v="Eritrea"/>
        <s v="Gambia, The"/>
        <s v="Tunisia"/>
        <s v="Cuba"/>
        <s v="Ireland"/>
        <s v="Sudan"/>
        <s v="India"/>
        <s v="Tuvalu"/>
        <s v="Armenia"/>
        <s v="Afghanistan"/>
        <s v="Uzbekistan"/>
        <s v="Azerbaijan"/>
        <s v="El Salvador"/>
        <s v="Hungary"/>
        <s v="China"/>
        <s v="Dominican Republic"/>
        <s v="Ghana"/>
        <s v="Romania"/>
        <s v="Sierra Leone"/>
        <s v="Paraguay"/>
        <s v="Kyrgyz Republic"/>
        <s v="Netherlands"/>
        <s v="Burkina Faso"/>
        <s v="Mozambique"/>
        <s v="France"/>
        <s v="Luxembourg"/>
        <s v="Mexico"/>
        <s v="Turkiye"/>
        <s v="North Macedonia"/>
        <s v="Spain"/>
        <s v="Kenya"/>
        <s v="Senegal"/>
        <s v="Sri Lanka"/>
        <s v="Tonga"/>
        <s v="Poland"/>
        <s v="Germany"/>
        <s v="Australia"/>
        <s v="Namibia"/>
        <s v="Pakistan"/>
        <s v="Bulgaria"/>
        <s v="United States"/>
        <s v="Lithuania"/>
        <s v="Czechia"/>
        <s v="Botswana"/>
        <s v="South Sudan"/>
        <s v="Sao Tome and Principe"/>
        <s v="Tanzania"/>
        <s v="Belgium"/>
        <s v="Yemen, Rep."/>
        <s v="Italy"/>
        <s v="Thailand"/>
        <s v="Portugal"/>
        <s v="Guatemala"/>
        <s v="Mauritius"/>
        <s v="Philippines"/>
        <s v="Argentina"/>
        <s v="Nicaragua"/>
        <s v="Kiribati"/>
        <s v="Benin"/>
        <s v="Zimbabwe"/>
        <s v="Greece"/>
        <s v="Serbia"/>
        <s v="Chad"/>
        <s v="Andorra"/>
        <s v="Belarus"/>
        <s v="Viet Nam"/>
        <s v="Marshall Islands"/>
        <s v="Jamaica"/>
        <s v="Mauritania"/>
        <s v="San Marino"/>
        <s v="Albania"/>
        <s v="Slovak Republic"/>
        <s v="Switzerland"/>
        <s v="Angola"/>
        <s v="New Zealand"/>
        <s v="Niger"/>
        <s v="Colombia"/>
        <s v="Bolivia"/>
        <s v="Mali"/>
        <s v="Cambodia"/>
        <s v="Ethiopia"/>
        <s v="Georgia"/>
        <s v="Dominica"/>
        <s v="Costa Rica"/>
        <s v="Liechtenstein"/>
        <s v="Zambia"/>
        <s v="Honduras"/>
        <s v="Latvia"/>
        <s v="Austria"/>
        <s v="Congo, Rep."/>
        <s v="Slovenia"/>
        <s v="Guinea-Bissau"/>
        <s v="Guam"/>
        <s v="Panama"/>
        <s v="Indonesia"/>
        <s v="Iran, Islamic Rep."/>
        <s v="Brazil"/>
        <s v="Tajikistan"/>
        <s v="Croatia"/>
        <s v="Malaysia"/>
        <s v="Nepal"/>
        <s v="Malta"/>
        <s v="Israel"/>
        <s v="Venezuela, RB"/>
        <s v="Grenada"/>
        <s v="Barbados"/>
        <s v="Estonia"/>
        <s v="St. Kitts and Nevis"/>
        <s v="Timor-Leste"/>
        <s v="Iraq"/>
        <s v="Bosnia and Herzegovina"/>
        <s v="Korea, Dem. People's Rep."/>
        <s v="Ecuador"/>
        <s v="Cameroon"/>
        <s v="Antigua and Barbuda"/>
        <s v="Liberia"/>
        <s v="Nauru"/>
        <s v="Myanmar"/>
        <s v="Maldives"/>
        <s v="Cabo Verde"/>
        <s v="Montenegro"/>
        <s v="Peru"/>
        <s v="Puerto Rico (US)"/>
        <s v="St. Vincent and the Grenadines"/>
        <s v="Samoa"/>
        <s v="Algeria"/>
        <s v="Fiji"/>
        <s v="St. Lucia"/>
        <s v="Iceland"/>
        <s v="Korea, Rep."/>
        <s v="Congo, Dem. Rep."/>
        <s v="Vanuatu"/>
        <s v="American Samoa"/>
        <s v="Chile"/>
        <s v="Cyprus"/>
        <s v="Bhutan"/>
        <s v="Russian Federation"/>
        <s v="Japan"/>
        <s v="Jordan"/>
        <s v="Cayman Islands"/>
        <s v="Aruba"/>
        <s v="Trinidad and Tobago"/>
        <s v="Bahrain"/>
        <s v="New Caledonia"/>
        <s v="Lao PDR"/>
        <s v="Virgin Islands (U.S.)"/>
        <s v="Palau"/>
        <s v="Central African Republic"/>
        <s v="French Polynesia"/>
        <s v="Libya"/>
        <s v="Gabon"/>
        <s v="Kuwait"/>
        <s v="Belize"/>
        <s v="Finland"/>
        <s v="Sweden"/>
        <s v="Micronesia, Fed. Sts."/>
        <s v="Canada"/>
        <s v="Qatar"/>
        <s v="Bermuda"/>
        <s v="United Arab Emirates"/>
        <s v="Oman"/>
        <s v="Egypt, Arab Rep."/>
        <s v="Solomon Islands"/>
        <s v="Hong Kong SAR, China"/>
        <s v="Equatorial Guinea"/>
        <s v="Guyana"/>
        <s v="Seychelles"/>
        <s v="Papua New Guinea"/>
        <s v="Norway"/>
        <s v="Brunei Darussalam"/>
        <s v="Bahamas, The"/>
        <s v="Northern Mariana Islands"/>
        <s v="Turks and Caicos Islands"/>
        <s v="Singapore"/>
        <s v="Greenland"/>
        <s v="Suriname"/>
        <s v="Macao SAR, China"/>
        <s v="Kosovo"/>
        <s v="Egypt"/>
        <s v="São Tomé and Príncipe"/>
        <s v="Saint Vincent and the Grenadines"/>
        <s v="Saint Lucia"/>
        <s v="Congo, Republic of "/>
        <s v="Saint Kitts and Nevis"/>
        <s v="Yemen"/>
        <s v="South Sudan, Republic of"/>
        <s v="Lao P.D.R."/>
        <s v="Vietnam"/>
        <s v="Puerto Rico"/>
        <s v="Côte d'Ivoire"/>
        <s v="China, People's Republic of"/>
        <s v="Venezuela"/>
        <s v="Czech Republic"/>
        <s v="North Macedonia "/>
        <s v="Korea, Republic of"/>
        <s v="Taiwan Province of China"/>
        <s v="Türkiye, Republic of"/>
        <s v="Micronesia, Fed. States of"/>
        <s v="Anguilla"/>
        <s v="Congo, Dem. Rep. of the"/>
        <s v="Iran"/>
        <s v="Hong Kong SAR"/>
        <s v="Monaco"/>
        <s v="Sint Maarten (Dutch part)"/>
        <s v="St. Martin (French part)"/>
        <s v="Curacao"/>
        <s v="Channel Islands"/>
        <s v="Somalia"/>
        <s v="United States of America" u="1"/>
        <s v="Republic of Korea" u="1"/>
        <s v="Iran (Islamic Republic of)" u="1"/>
        <s v="Turkey" u="1"/>
        <s v="New Zealand" u="1"/>
        <s v="Slovakia" u="1"/>
        <s v="Republic of Moldova" u="1"/>
        <s v="Palestine" u="1"/>
        <s v="Holy See" u="1"/>
        <s v="Democratic People’s Republic of Korea" u="1"/>
        <s v="Bahamas" u="1"/>
        <s v="Brunei" u="1"/>
        <s v="Cook Islands" u="1"/>
        <s v="Niue" u="1"/>
      </sharedItems>
    </cacheField>
    <cacheField name="Indicator" numFmtId="0">
      <sharedItems/>
    </cacheField>
    <cacheField name="Value" numFmtId="0">
      <sharedItems containsSemiMixedTypes="0" containsString="0" containsNumber="1" minValue="-112.1" maxValue="38190.1"/>
    </cacheField>
    <cacheField name="Rank" numFmtId="0">
      <sharedItems containsSemiMixedTypes="0" containsString="0" containsNumber="1" containsInteger="1" minValue="1" maxValue="214"/>
    </cacheField>
    <cacheField name="Country_with_rank" numFmtId="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285">
  <r>
    <x v="0"/>
    <s v="Agricultural land share"/>
    <n v="86.5"/>
    <n v="1"/>
    <s v="1. Cote d'Ivoire"/>
  </r>
  <r>
    <x v="1"/>
    <s v="Agricultural land share"/>
    <n v="84.2"/>
    <n v="2"/>
    <s v="2. Turkmenistan"/>
  </r>
  <r>
    <x v="2"/>
    <s v="Agricultural land share"/>
    <n v="83.9"/>
    <n v="3"/>
    <s v="3. Burundi"/>
  </r>
  <r>
    <x v="3"/>
    <s v="Agricultural land share"/>
    <n v="81.400000000000006"/>
    <n v="4"/>
    <s v="4. Uruguay"/>
  </r>
  <r>
    <x v="4"/>
    <s v="Agricultural land share"/>
    <n v="80.8"/>
    <n v="5"/>
    <s v="5. Saudi Arabia"/>
  </r>
  <r>
    <x v="5"/>
    <s v="Agricultural land share"/>
    <n v="79.400000000000006"/>
    <n v="6"/>
    <s v="6. Kazakhstan"/>
  </r>
  <r>
    <x v="6"/>
    <s v="Agricultural land share"/>
    <n v="79.400000000000006"/>
    <n v="7"/>
    <s v="7. South Africa"/>
  </r>
  <r>
    <x v="7"/>
    <s v="Agricultural land share"/>
    <n v="77.8"/>
    <n v="8"/>
    <s v="8. Lesotho"/>
  </r>
  <r>
    <x v="8"/>
    <s v="Agricultural land share"/>
    <n v="76.3"/>
    <n v="9"/>
    <s v="9. Rwanda"/>
  </r>
  <r>
    <x v="9"/>
    <s v="Agricultural land share"/>
    <n v="76.2"/>
    <n v="10"/>
    <s v="10. Nigeria"/>
  </r>
  <r>
    <x v="10"/>
    <s v="Agricultural land share"/>
    <n v="74.099999999999994"/>
    <n v="11"/>
    <s v="11. Moldova"/>
  </r>
  <r>
    <x v="11"/>
    <s v="Agricultural land share"/>
    <n v="74.099999999999994"/>
    <n v="12"/>
    <s v="12. Syrian Arab Republic"/>
  </r>
  <r>
    <x v="12"/>
    <s v="Agricultural land share"/>
    <n v="73.5"/>
    <n v="13"/>
    <s v="13. Djibouti"/>
  </r>
  <r>
    <x v="13"/>
    <s v="Agricultural land share"/>
    <n v="73.2"/>
    <n v="14"/>
    <s v="14. Guinea"/>
  </r>
  <r>
    <x v="14"/>
    <s v="Agricultural land share"/>
    <n v="72.3"/>
    <n v="15"/>
    <s v="15. Bangladesh"/>
  </r>
  <r>
    <x v="15"/>
    <s v="Agricultural land share"/>
    <n v="71.900000000000006"/>
    <n v="16"/>
    <s v="16. Uganda"/>
  </r>
  <r>
    <x v="16"/>
    <s v="Agricultural land share"/>
    <n v="71.5"/>
    <n v="17"/>
    <s v="17. Comoros"/>
  </r>
  <r>
    <x v="17"/>
    <s v="Agricultural land share"/>
    <n v="71.3"/>
    <n v="18"/>
    <s v="18. Ukraine"/>
  </r>
  <r>
    <x v="18"/>
    <s v="Agricultural land share"/>
    <n v="70.3"/>
    <n v="19"/>
    <s v="19. Madagascar"/>
  </r>
  <r>
    <x v="19"/>
    <s v="Agricultural land share"/>
    <n v="70.3"/>
    <n v="20"/>
    <s v="20. Somalia, Fed. Rep."/>
  </r>
  <r>
    <x v="20"/>
    <s v="Agricultural land share"/>
    <n v="70.3"/>
    <n v="21"/>
    <s v="21. United Kingdom"/>
  </r>
  <r>
    <x v="21"/>
    <s v="Agricultural land share"/>
    <n v="70.2"/>
    <n v="22"/>
    <s v="22. Togo"/>
  </r>
  <r>
    <x v="22"/>
    <s v="Agricultural land share"/>
    <n v="70.099999999999994"/>
    <n v="23"/>
    <s v="23. Faroe Islands"/>
  </r>
  <r>
    <x v="23"/>
    <s v="Agricultural land share"/>
    <n v="69.5"/>
    <n v="24"/>
    <s v="24. Eswatini"/>
  </r>
  <r>
    <x v="24"/>
    <s v="Agricultural land share"/>
    <n v="69.099999999999994"/>
    <n v="25"/>
    <s v="25. Isle of Man"/>
  </r>
  <r>
    <x v="25"/>
    <s v="Agricultural land share"/>
    <n v="69"/>
    <n v="26"/>
    <s v="26. Mongolia"/>
  </r>
  <r>
    <x v="26"/>
    <s v="Agricultural land share"/>
    <n v="66.7"/>
    <n v="27"/>
    <s v="27. Morocco"/>
  </r>
  <r>
    <x v="27"/>
    <s v="Agricultural land share"/>
    <n v="65.900000000000006"/>
    <n v="28"/>
    <s v="28. Lebanon"/>
  </r>
  <r>
    <x v="28"/>
    <s v="Agricultural land share"/>
    <n v="65.5"/>
    <n v="29"/>
    <s v="29. Denmark"/>
  </r>
  <r>
    <x v="29"/>
    <s v="Agricultural land share"/>
    <n v="65.099999999999994"/>
    <n v="30"/>
    <s v="30. Haiti"/>
  </r>
  <r>
    <x v="30"/>
    <s v="Agricultural land share"/>
    <n v="64.900000000000006"/>
    <n v="31"/>
    <s v="31. West Bank and Gaza"/>
  </r>
  <r>
    <x v="31"/>
    <s v="Agricultural land share"/>
    <n v="64.2"/>
    <n v="32"/>
    <s v="32. Malawi"/>
  </r>
  <r>
    <x v="32"/>
    <s v="Agricultural land share"/>
    <n v="62.7"/>
    <n v="33"/>
    <s v="33. Eritrea"/>
  </r>
  <r>
    <x v="33"/>
    <s v="Agricultural land share"/>
    <n v="62.6"/>
    <n v="34"/>
    <s v="34. Gambia, The"/>
  </r>
  <r>
    <x v="34"/>
    <s v="Agricultural land share"/>
    <n v="62.4"/>
    <n v="35"/>
    <s v="35. Tunisia"/>
  </r>
  <r>
    <x v="35"/>
    <s v="Agricultural land share"/>
    <n v="61.7"/>
    <n v="36"/>
    <s v="36. Cuba"/>
  </r>
  <r>
    <x v="36"/>
    <s v="Agricultural land share"/>
    <n v="60.8"/>
    <n v="37"/>
    <s v="37. Ireland"/>
  </r>
  <r>
    <x v="37"/>
    <s v="Agricultural land share"/>
    <n v="60.3"/>
    <n v="38"/>
    <s v="38. Sudan"/>
  </r>
  <r>
    <x v="38"/>
    <s v="Agricultural land share"/>
    <n v="60.1"/>
    <n v="39"/>
    <s v="39. India"/>
  </r>
  <r>
    <x v="39"/>
    <s v="Agricultural land share"/>
    <n v="60"/>
    <n v="40"/>
    <s v="40. Tuvalu"/>
  </r>
  <r>
    <x v="40"/>
    <s v="Agricultural land share"/>
    <n v="58.6"/>
    <n v="41"/>
    <s v="41. Armenia"/>
  </r>
  <r>
    <x v="41"/>
    <s v="Agricultural land share"/>
    <n v="58.4"/>
    <n v="42"/>
    <s v="42. Afghanistan"/>
  </r>
  <r>
    <x v="42"/>
    <s v="Agricultural land share"/>
    <n v="58.1"/>
    <n v="43"/>
    <s v="43. Uzbekistan"/>
  </r>
  <r>
    <x v="43"/>
    <s v="Agricultural land share"/>
    <n v="57.8"/>
    <n v="44"/>
    <s v="44. Azerbaijan"/>
  </r>
  <r>
    <x v="44"/>
    <s v="Agricultural land share"/>
    <n v="57.7"/>
    <n v="45"/>
    <s v="45. El Salvador"/>
  </r>
  <r>
    <x v="45"/>
    <s v="Agricultural land share"/>
    <n v="55.7"/>
    <n v="46"/>
    <s v="46. Hungary"/>
  </r>
  <r>
    <x v="46"/>
    <s v="Agricultural land share"/>
    <n v="55.4"/>
    <n v="47"/>
    <s v="47. China"/>
  </r>
  <r>
    <x v="47"/>
    <s v="Agricultural land share"/>
    <n v="55.4"/>
    <n v="48"/>
    <s v="48. Dominican Republic"/>
  </r>
  <r>
    <x v="48"/>
    <s v="Agricultural land share"/>
    <n v="55.4"/>
    <n v="49"/>
    <s v="49. Ghana"/>
  </r>
  <r>
    <x v="49"/>
    <s v="Agricultural land share"/>
    <n v="55.3"/>
    <n v="50"/>
    <s v="50. Romania"/>
  </r>
  <r>
    <x v="50"/>
    <s v="Agricultural land share"/>
    <n v="54.7"/>
    <n v="51"/>
    <s v="51. Sierra Leone"/>
  </r>
  <r>
    <x v="51"/>
    <s v="Agricultural land share"/>
    <n v="54.1"/>
    <n v="52"/>
    <s v="52. Paraguay"/>
  </r>
  <r>
    <x v="52"/>
    <s v="Agricultural land share"/>
    <n v="54"/>
    <n v="53"/>
    <s v="53. Kyrgyz Republic"/>
  </r>
  <r>
    <x v="53"/>
    <s v="Agricultural land share"/>
    <n v="53.5"/>
    <n v="54"/>
    <s v="54. Netherlands"/>
  </r>
  <r>
    <x v="54"/>
    <s v="Agricultural land share"/>
    <n v="53.4"/>
    <n v="55"/>
    <s v="55. Burkina Faso"/>
  </r>
  <r>
    <x v="55"/>
    <s v="Agricultural land share"/>
    <n v="52.8"/>
    <n v="56"/>
    <s v="56. Mozambique"/>
  </r>
  <r>
    <x v="56"/>
    <s v="Agricultural land share"/>
    <n v="52.5"/>
    <n v="57"/>
    <s v="57. France"/>
  </r>
  <r>
    <x v="57"/>
    <s v="Agricultural land share"/>
    <n v="51.7"/>
    <n v="58"/>
    <s v="58. Luxembourg"/>
  </r>
  <r>
    <x v="58"/>
    <s v="Agricultural land share"/>
    <n v="50.7"/>
    <n v="59"/>
    <s v="59. Mexico"/>
  </r>
  <r>
    <x v="59"/>
    <s v="Agricultural land share"/>
    <n v="50.1"/>
    <n v="60"/>
    <s v="60. Turkiye"/>
  </r>
  <r>
    <x v="60"/>
    <s v="Agricultural land share"/>
    <n v="49.6"/>
    <n v="61"/>
    <s v="61. North Macedonia"/>
  </r>
  <r>
    <x v="61"/>
    <s v="Agricultural land share"/>
    <n v="49.6"/>
    <n v="62"/>
    <s v="62. Spain"/>
  </r>
  <r>
    <x v="62"/>
    <s v="Agricultural land share"/>
    <n v="49.5"/>
    <n v="63"/>
    <s v="63. Kenya"/>
  </r>
  <r>
    <x v="63"/>
    <s v="Agricultural land share"/>
    <n v="49.4"/>
    <n v="64"/>
    <s v="64. Senegal"/>
  </r>
  <r>
    <x v="64"/>
    <s v="Agricultural land share"/>
    <n v="48.6"/>
    <n v="65"/>
    <s v="65. Sri Lanka"/>
  </r>
  <r>
    <x v="65"/>
    <s v="Agricultural land share"/>
    <n v="48.6"/>
    <n v="66"/>
    <s v="66. Tonga"/>
  </r>
  <r>
    <x v="66"/>
    <s v="Agricultural land share"/>
    <n v="47.6"/>
    <n v="67"/>
    <s v="67. Poland"/>
  </r>
  <r>
    <x v="67"/>
    <s v="Agricultural land share"/>
    <n v="47.5"/>
    <n v="68"/>
    <s v="68. Germany"/>
  </r>
  <r>
    <x v="68"/>
    <s v="Agricultural land share"/>
    <n v="47.2"/>
    <n v="69"/>
    <s v="69. Australia"/>
  </r>
  <r>
    <x v="69"/>
    <s v="Agricultural land share"/>
    <n v="47.1"/>
    <n v="70"/>
    <s v="70. Namibia"/>
  </r>
  <r>
    <x v="70"/>
    <s v="Agricultural land share"/>
    <n v="46.7"/>
    <n v="71"/>
    <s v="71. Pakistan"/>
  </r>
  <r>
    <x v="71"/>
    <s v="Agricultural land share"/>
    <n v="46.1"/>
    <n v="72"/>
    <s v="72. Bulgaria"/>
  </r>
  <r>
    <x v="72"/>
    <s v="Agricultural land share"/>
    <n v="46.1"/>
    <n v="73"/>
    <s v="73. United States"/>
  </r>
  <r>
    <x v="73"/>
    <s v="Agricultural land share"/>
    <n v="45.9"/>
    <n v="74"/>
    <s v="74. Lithuania"/>
  </r>
  <r>
    <x v="74"/>
    <s v="Agricultural land share"/>
    <n v="45.8"/>
    <n v="75"/>
    <s v="75. Czechia"/>
  </r>
  <r>
    <x v="75"/>
    <s v="Agricultural land share"/>
    <n v="45.6"/>
    <n v="76"/>
    <s v="76. Botswana"/>
  </r>
  <r>
    <x v="76"/>
    <s v="Agricultural land share"/>
    <n v="44.9"/>
    <n v="77"/>
    <s v="77. South Sudan"/>
  </r>
  <r>
    <x v="77"/>
    <s v="Agricultural land share"/>
    <n v="44.8"/>
    <n v="78"/>
    <s v="78. Sao Tome and Principe"/>
  </r>
  <r>
    <x v="78"/>
    <s v="Agricultural land share"/>
    <n v="44.6"/>
    <n v="79"/>
    <s v="79. Tanzania"/>
  </r>
  <r>
    <x v="79"/>
    <s v="Agricultural land share"/>
    <n v="44.4"/>
    <n v="80"/>
    <s v="80. Belgium"/>
  </r>
  <r>
    <x v="80"/>
    <s v="Agricultural land share"/>
    <n v="44.4"/>
    <n v="81"/>
    <s v="81. Yemen, Rep."/>
  </r>
  <r>
    <x v="81"/>
    <s v="Agricultural land share"/>
    <n v="44.3"/>
    <n v="82"/>
    <s v="82. Italy"/>
  </r>
  <r>
    <x v="82"/>
    <s v="Agricultural land share"/>
    <n v="43.8"/>
    <n v="83"/>
    <s v="83. Thailand"/>
  </r>
  <r>
    <x v="83"/>
    <s v="Agricultural land share"/>
    <n v="43.3"/>
    <n v="84"/>
    <s v="84. Portugal"/>
  </r>
  <r>
    <x v="84"/>
    <s v="Agricultural land share"/>
    <n v="43"/>
    <n v="85"/>
    <s v="85. Guatemala"/>
  </r>
  <r>
    <x v="85"/>
    <s v="Agricultural land share"/>
    <n v="43"/>
    <n v="86"/>
    <s v="86. Mauritius"/>
  </r>
  <r>
    <x v="86"/>
    <s v="Agricultural land share"/>
    <n v="42.7"/>
    <n v="87"/>
    <s v="87. Philippines"/>
  </r>
  <r>
    <x v="87"/>
    <s v="Agricultural land share"/>
    <n v="42.4"/>
    <n v="88"/>
    <s v="88. Argentina"/>
  </r>
  <r>
    <x v="88"/>
    <s v="Agricultural land share"/>
    <n v="42.3"/>
    <n v="89"/>
    <s v="89. Nicaragua"/>
  </r>
  <r>
    <x v="89"/>
    <s v="Agricultural land share"/>
    <n v="42"/>
    <n v="90"/>
    <s v="90. Kiribati"/>
  </r>
  <r>
    <x v="90"/>
    <s v="Agricultural land share"/>
    <n v="41.8"/>
    <n v="91"/>
    <s v="91. Benin"/>
  </r>
  <r>
    <x v="91"/>
    <s v="Agricultural land share"/>
    <n v="41.8"/>
    <n v="92"/>
    <s v="92. Zimbabwe"/>
  </r>
  <r>
    <x v="92"/>
    <s v="Agricultural land share"/>
    <n v="41.7"/>
    <n v="93"/>
    <s v="93. Greece"/>
  </r>
  <r>
    <x v="93"/>
    <s v="Agricultural land share"/>
    <n v="40.4"/>
    <n v="94"/>
    <s v="94. Serbia"/>
  </r>
  <r>
    <x v="94"/>
    <s v="Agricultural land share"/>
    <n v="40"/>
    <n v="95"/>
    <s v="95. Chad"/>
  </r>
  <r>
    <x v="95"/>
    <s v="Agricultural land share"/>
    <n v="39.9"/>
    <n v="96"/>
    <s v="96. Andorra"/>
  </r>
  <r>
    <x v="96"/>
    <s v="Agricultural land share"/>
    <n v="39.6"/>
    <n v="97"/>
    <s v="97. Belarus"/>
  </r>
  <r>
    <x v="97"/>
    <s v="Agricultural land share"/>
    <n v="39.200000000000003"/>
    <n v="98"/>
    <s v="98. Viet Nam"/>
  </r>
  <r>
    <x v="98"/>
    <s v="Agricultural land share"/>
    <n v="38.9"/>
    <n v="99"/>
    <s v="99. Marshall Islands"/>
  </r>
  <r>
    <x v="99"/>
    <s v="Agricultural land share"/>
    <n v="38.5"/>
    <n v="100"/>
    <s v="100. Jamaica"/>
  </r>
  <r>
    <x v="100"/>
    <s v="Agricultural land share"/>
    <n v="38.5"/>
    <n v="101"/>
    <s v="101. Mauritania"/>
  </r>
  <r>
    <x v="101"/>
    <s v="Agricultural land share"/>
    <n v="38.299999999999997"/>
    <n v="102"/>
    <s v="102. San Marino"/>
  </r>
  <r>
    <x v="102"/>
    <s v="Agricultural land share"/>
    <n v="38.1"/>
    <n v="103"/>
    <s v="103. Albania"/>
  </r>
  <r>
    <x v="103"/>
    <s v="Agricultural land share"/>
    <n v="38"/>
    <n v="104"/>
    <s v="104. Slovak Republic"/>
  </r>
  <r>
    <x v="104"/>
    <s v="Agricultural land share"/>
    <n v="37.799999999999997"/>
    <n v="105"/>
    <s v="105. Switzerland"/>
  </r>
  <r>
    <x v="105"/>
    <s v="Agricultural land share"/>
    <n v="36.9"/>
    <n v="106"/>
    <s v="106. Angola"/>
  </r>
  <r>
    <x v="106"/>
    <s v="Agricultural land share"/>
    <n v="36.9"/>
    <n v="107"/>
    <s v="107. New Zealand"/>
  </r>
  <r>
    <x v="107"/>
    <s v="Agricultural land share"/>
    <n v="36.799999999999997"/>
    <n v="108"/>
    <s v="108. Niger"/>
  </r>
  <r>
    <x v="108"/>
    <s v="Agricultural land share"/>
    <n v="36.5"/>
    <n v="109"/>
    <s v="109. Colombia"/>
  </r>
  <r>
    <x v="109"/>
    <s v="Agricultural land share"/>
    <n v="35.799999999999997"/>
    <n v="110"/>
    <s v="110. Bolivia"/>
  </r>
  <r>
    <x v="110"/>
    <s v="Agricultural land share"/>
    <n v="35.5"/>
    <n v="111"/>
    <s v="111. Mali"/>
  </r>
  <r>
    <x v="111"/>
    <s v="Agricultural land share"/>
    <n v="34.9"/>
    <n v="112"/>
    <s v="112. Cambodia"/>
  </r>
  <r>
    <x v="112"/>
    <s v="Agricultural land share"/>
    <n v="34.1"/>
    <n v="113"/>
    <s v="113. Ethiopia"/>
  </r>
  <r>
    <x v="113"/>
    <s v="Agricultural land share"/>
    <n v="34.1"/>
    <n v="114"/>
    <s v="114. Georgia"/>
  </r>
  <r>
    <x v="114"/>
    <s v="Agricultural land share"/>
    <n v="33.299999999999997"/>
    <n v="115"/>
    <s v="115. Dominica"/>
  </r>
  <r>
    <x v="115"/>
    <s v="Agricultural land share"/>
    <n v="33.1"/>
    <n v="116"/>
    <s v="116. Costa Rica"/>
  </r>
  <r>
    <x v="116"/>
    <s v="Agricultural land share"/>
    <n v="32.299999999999997"/>
    <n v="117"/>
    <s v="117. Liechtenstein"/>
  </r>
  <r>
    <x v="117"/>
    <s v="Agricultural land share"/>
    <n v="32.1"/>
    <n v="118"/>
    <s v="118. Zambia"/>
  </r>
  <r>
    <x v="118"/>
    <s v="Agricultural land share"/>
    <n v="32"/>
    <n v="119"/>
    <s v="119. Honduras"/>
  </r>
  <r>
    <x v="119"/>
    <s v="Agricultural land share"/>
    <n v="31.7"/>
    <n v="120"/>
    <s v="120. Latvia"/>
  </r>
  <r>
    <x v="120"/>
    <s v="Agricultural land share"/>
    <n v="31.5"/>
    <n v="121"/>
    <s v="121. Austria"/>
  </r>
  <r>
    <x v="121"/>
    <s v="Agricultural land share"/>
    <n v="31.2"/>
    <n v="122"/>
    <s v="122. Congo, Rep."/>
  </r>
  <r>
    <x v="122"/>
    <s v="Agricultural land share"/>
    <n v="30.4"/>
    <n v="123"/>
    <s v="123. Slovenia"/>
  </r>
  <r>
    <x v="123"/>
    <s v="Agricultural land share"/>
    <n v="29.9"/>
    <n v="124"/>
    <s v="124. Guinea-Bissau"/>
  </r>
  <r>
    <x v="124"/>
    <s v="Agricultural land share"/>
    <n v="29.6"/>
    <n v="125"/>
    <s v="125. Guam"/>
  </r>
  <r>
    <x v="125"/>
    <s v="Agricultural land share"/>
    <n v="29.5"/>
    <n v="126"/>
    <s v="126. Panama"/>
  </r>
  <r>
    <x v="126"/>
    <s v="Agricultural land share"/>
    <n v="29.1"/>
    <n v="127"/>
    <s v="127. Indonesia"/>
  </r>
  <r>
    <x v="127"/>
    <s v="Agricultural land share"/>
    <n v="29"/>
    <n v="128"/>
    <s v="128. Iran, Islamic Rep."/>
  </r>
  <r>
    <x v="128"/>
    <s v="Agricultural land share"/>
    <n v="28.3"/>
    <n v="129"/>
    <s v="129. Brazil"/>
  </r>
  <r>
    <x v="129"/>
    <s v="Agricultural land share"/>
    <n v="27.9"/>
    <n v="130"/>
    <s v="130. Tajikistan"/>
  </r>
  <r>
    <x v="130"/>
    <s v="Agricultural land share"/>
    <n v="26.6"/>
    <n v="131"/>
    <s v="131. Croatia"/>
  </r>
  <r>
    <x v="131"/>
    <s v="Agricultural land share"/>
    <n v="26.1"/>
    <n v="132"/>
    <s v="132. Malaysia"/>
  </r>
  <r>
    <x v="132"/>
    <s v="Agricultural land share"/>
    <n v="26.1"/>
    <n v="133"/>
    <s v="133. Nepal"/>
  </r>
  <r>
    <x v="133"/>
    <s v="Agricultural land share"/>
    <n v="25.9"/>
    <n v="134"/>
    <s v="134. Malta"/>
  </r>
  <r>
    <x v="134"/>
    <s v="Agricultural land share"/>
    <n v="24.8"/>
    <n v="135"/>
    <s v="135. Israel"/>
  </r>
  <r>
    <x v="135"/>
    <s v="Agricultural land share"/>
    <n v="24.4"/>
    <n v="136"/>
    <s v="136. Venezuela, RB"/>
  </r>
  <r>
    <x v="136"/>
    <s v="Agricultural land share"/>
    <n v="23.5"/>
    <n v="137"/>
    <s v="137. Grenada"/>
  </r>
  <r>
    <x v="137"/>
    <s v="Agricultural land share"/>
    <n v="23.3"/>
    <n v="138"/>
    <s v="138. Barbados"/>
  </r>
  <r>
    <x v="138"/>
    <s v="Agricultural land share"/>
    <n v="23.1"/>
    <n v="139"/>
    <s v="139. Estonia"/>
  </r>
  <r>
    <x v="139"/>
    <s v="Agricultural land share"/>
    <n v="23.1"/>
    <n v="140"/>
    <s v="140. St. Kitts and Nevis"/>
  </r>
  <r>
    <x v="140"/>
    <s v="Agricultural land share"/>
    <n v="23"/>
    <n v="141"/>
    <s v="141. Timor-Leste"/>
  </r>
  <r>
    <x v="141"/>
    <s v="Agricultural land share"/>
    <n v="21.8"/>
    <n v="142"/>
    <s v="142. Iraq"/>
  </r>
  <r>
    <x v="142"/>
    <s v="Agricultural land share"/>
    <n v="21.7"/>
    <n v="143"/>
    <s v="143. Bosnia and Herzegovina"/>
  </r>
  <r>
    <x v="143"/>
    <s v="Agricultural land share"/>
    <n v="21.6"/>
    <n v="144"/>
    <s v="144. Korea, Dem. People's Rep."/>
  </r>
  <r>
    <x v="144"/>
    <s v="Agricultural land share"/>
    <n v="21.5"/>
    <n v="145"/>
    <s v="145. Ecuador"/>
  </r>
  <r>
    <x v="145"/>
    <s v="Agricultural land share"/>
    <n v="20.9"/>
    <n v="146"/>
    <s v="146. Cameroon"/>
  </r>
  <r>
    <x v="146"/>
    <s v="Agricultural land share"/>
    <n v="20.5"/>
    <n v="147"/>
    <s v="147. Antigua and Barbuda"/>
  </r>
  <r>
    <x v="147"/>
    <s v="Agricultural land share"/>
    <n v="20"/>
    <n v="148"/>
    <s v="148. Liberia"/>
  </r>
  <r>
    <x v="148"/>
    <s v="Agricultural land share"/>
    <n v="20"/>
    <n v="149"/>
    <s v="149. Nauru"/>
  </r>
  <r>
    <x v="149"/>
    <s v="Agricultural land share"/>
    <n v="19.899999999999999"/>
    <n v="150"/>
    <s v="150. Myanmar"/>
  </r>
  <r>
    <x v="150"/>
    <s v="Agricultural land share"/>
    <n v="19.8"/>
    <n v="151"/>
    <s v="151. Maldives"/>
  </r>
  <r>
    <x v="151"/>
    <s v="Agricultural land share"/>
    <n v="19.600000000000001"/>
    <n v="152"/>
    <s v="152. Cabo Verde"/>
  </r>
  <r>
    <x v="152"/>
    <s v="Agricultural land share"/>
    <n v="19.600000000000001"/>
    <n v="153"/>
    <s v="153. Montenegro"/>
  </r>
  <r>
    <x v="153"/>
    <s v="Agricultural land share"/>
    <n v="19.100000000000001"/>
    <n v="154"/>
    <s v="154. Peru"/>
  </r>
  <r>
    <x v="154"/>
    <s v="Agricultural land share"/>
    <n v="19"/>
    <n v="155"/>
    <s v="155. Puerto Rico (US)"/>
  </r>
  <r>
    <x v="155"/>
    <s v="Agricultural land share"/>
    <n v="17.899999999999999"/>
    <n v="156"/>
    <s v="156. St. Vincent and the Grenadines"/>
  </r>
  <r>
    <x v="156"/>
    <s v="Agricultural land share"/>
    <n v="17.600000000000001"/>
    <n v="157"/>
    <s v="157. Samoa"/>
  </r>
  <r>
    <x v="157"/>
    <s v="Agricultural land share"/>
    <n v="17.399999999999999"/>
    <n v="158"/>
    <s v="158. Algeria"/>
  </r>
  <r>
    <x v="158"/>
    <s v="Agricultural land share"/>
    <n v="17.100000000000001"/>
    <n v="159"/>
    <s v="159. Fiji"/>
  </r>
  <r>
    <x v="159"/>
    <s v="Agricultural land share"/>
    <n v="16.3"/>
    <n v="160"/>
    <s v="160. St. Lucia"/>
  </r>
  <r>
    <x v="160"/>
    <s v="Agricultural land share"/>
    <n v="16.2"/>
    <n v="161"/>
    <s v="161. Iceland"/>
  </r>
  <r>
    <x v="161"/>
    <s v="Agricultural land share"/>
    <n v="16.100000000000001"/>
    <n v="162"/>
    <s v="162. Korea, Rep."/>
  </r>
  <r>
    <x v="162"/>
    <s v="Agricultural land share"/>
    <n v="15.5"/>
    <n v="163"/>
    <s v="163. Congo, Dem. Rep."/>
  </r>
  <r>
    <x v="163"/>
    <s v="Agricultural land share"/>
    <n v="15.3"/>
    <n v="164"/>
    <s v="164. Vanuatu"/>
  </r>
  <r>
    <x v="164"/>
    <s v="Agricultural land share"/>
    <n v="14.8"/>
    <n v="165"/>
    <s v="165. American Samoa"/>
  </r>
  <r>
    <x v="165"/>
    <s v="Agricultural land share"/>
    <n v="14.4"/>
    <n v="166"/>
    <s v="166. Chile"/>
  </r>
  <r>
    <x v="166"/>
    <s v="Agricultural land share"/>
    <n v="14"/>
    <n v="167"/>
    <s v="167. Cyprus"/>
  </r>
  <r>
    <x v="167"/>
    <s v="Agricultural land share"/>
    <n v="13.8"/>
    <n v="168"/>
    <s v="168. Bhutan"/>
  </r>
  <r>
    <x v="168"/>
    <s v="Agricultural land share"/>
    <n v="13.2"/>
    <n v="169"/>
    <s v="169. Russian Federation"/>
  </r>
  <r>
    <x v="169"/>
    <s v="Agricultural land share"/>
    <n v="12.6"/>
    <n v="170"/>
    <s v="170. Japan"/>
  </r>
  <r>
    <x v="170"/>
    <s v="Agricultural land share"/>
    <n v="11.5"/>
    <n v="171"/>
    <s v="171. Jordan"/>
  </r>
  <r>
    <x v="171"/>
    <s v="Agricultural land share"/>
    <n v="11.3"/>
    <n v="172"/>
    <s v="172. Cayman Islands"/>
  </r>
  <r>
    <x v="172"/>
    <s v="Agricultural land share"/>
    <n v="11.1"/>
    <n v="173"/>
    <s v="173. Aruba"/>
  </r>
  <r>
    <x v="173"/>
    <s v="Agricultural land share"/>
    <n v="10.5"/>
    <n v="174"/>
    <s v="174. Trinidad and Tobago"/>
  </r>
  <r>
    <x v="174"/>
    <s v="Agricultural land share"/>
    <n v="10.1"/>
    <n v="175"/>
    <s v="175. Bahrain"/>
  </r>
  <r>
    <x v="175"/>
    <s v="Agricultural land share"/>
    <n v="10.1"/>
    <n v="176"/>
    <s v="176. New Caledonia"/>
  </r>
  <r>
    <x v="176"/>
    <s v="Agricultural land share"/>
    <n v="9.9"/>
    <n v="177"/>
    <s v="177. Lao PDR"/>
  </r>
  <r>
    <x v="177"/>
    <s v="Agricultural land share"/>
    <n v="9.4"/>
    <n v="178"/>
    <s v="178. Virgin Islands (U.S.)"/>
  </r>
  <r>
    <x v="178"/>
    <s v="Agricultural land share"/>
    <n v="9.3000000000000007"/>
    <n v="179"/>
    <s v="179. Palau"/>
  </r>
  <r>
    <x v="179"/>
    <s v="Agricultural land share"/>
    <n v="9.1"/>
    <n v="180"/>
    <s v="180. Central African Republic"/>
  </r>
  <r>
    <x v="180"/>
    <s v="Agricultural land share"/>
    <n v="8.6999999999999993"/>
    <n v="181"/>
    <s v="181. French Polynesia"/>
  </r>
  <r>
    <x v="181"/>
    <s v="Agricultural land share"/>
    <n v="8.6999999999999993"/>
    <n v="182"/>
    <s v="182. Libya"/>
  </r>
  <r>
    <x v="182"/>
    <s v="Agricultural land share"/>
    <n v="8.4"/>
    <n v="183"/>
    <s v="183. Gabon"/>
  </r>
  <r>
    <x v="183"/>
    <s v="Agricultural land share"/>
    <n v="8.4"/>
    <n v="184"/>
    <s v="184. Kuwait"/>
  </r>
  <r>
    <x v="184"/>
    <s v="Agricultural land share"/>
    <n v="8"/>
    <n v="185"/>
    <s v="185. Belize"/>
  </r>
  <r>
    <x v="185"/>
    <s v="Agricultural land share"/>
    <n v="7.4"/>
    <n v="186"/>
    <s v="186. Finland"/>
  </r>
  <r>
    <x v="186"/>
    <s v="Agricultural land share"/>
    <n v="7.3"/>
    <n v="187"/>
    <s v="187. Sweden"/>
  </r>
  <r>
    <x v="187"/>
    <s v="Agricultural land share"/>
    <n v="7.1"/>
    <n v="188"/>
    <s v="188. Micronesia, Fed. Sts."/>
  </r>
  <r>
    <x v="188"/>
    <s v="Agricultural land share"/>
    <n v="6.5"/>
    <n v="189"/>
    <s v="189. Canada"/>
  </r>
  <r>
    <x v="189"/>
    <s v="Agricultural land share"/>
    <n v="6.4"/>
    <n v="190"/>
    <s v="190. Qatar"/>
  </r>
  <r>
    <x v="190"/>
    <s v="Agricultural land share"/>
    <n v="5.6"/>
    <n v="191"/>
    <s v="191. Bermuda"/>
  </r>
  <r>
    <x v="191"/>
    <s v="Agricultural land share"/>
    <n v="5.5"/>
    <n v="192"/>
    <s v="192. United Arab Emirates"/>
  </r>
  <r>
    <x v="192"/>
    <s v="Agricultural land share"/>
    <n v="4.8"/>
    <n v="193"/>
    <s v="193. Oman"/>
  </r>
  <r>
    <x v="193"/>
    <s v="Agricultural land share"/>
    <n v="4.0999999999999996"/>
    <n v="194"/>
    <s v="194. Egypt, Arab Rep."/>
  </r>
  <r>
    <x v="194"/>
    <s v="Agricultural land share"/>
    <n v="3.9"/>
    <n v="195"/>
    <s v="195. Solomon Islands"/>
  </r>
  <r>
    <x v="195"/>
    <s v="Agricultural land share"/>
    <n v="3.8"/>
    <n v="196"/>
    <s v="196. Hong Kong SAR, China"/>
  </r>
  <r>
    <x v="196"/>
    <s v="Agricultural land share"/>
    <n v="3.7"/>
    <n v="197"/>
    <s v="197. Equatorial Guinea"/>
  </r>
  <r>
    <x v="197"/>
    <s v="Agricultural land share"/>
    <n v="3.4"/>
    <n v="198"/>
    <s v="198. Guyana"/>
  </r>
  <r>
    <x v="198"/>
    <s v="Agricultural land share"/>
    <n v="3.4"/>
    <n v="199"/>
    <s v="199. Seychelles"/>
  </r>
  <r>
    <x v="199"/>
    <s v="Agricultural land share"/>
    <n v="3.1"/>
    <n v="200"/>
    <s v="200. Papua New Guinea"/>
  </r>
  <r>
    <x v="200"/>
    <s v="Agricultural land share"/>
    <n v="2.7"/>
    <n v="201"/>
    <s v="201. Norway"/>
  </r>
  <r>
    <x v="201"/>
    <s v="Agricultural land share"/>
    <n v="2.5"/>
    <n v="202"/>
    <s v="202. Brunei Darussalam"/>
  </r>
  <r>
    <x v="202"/>
    <s v="Agricultural land share"/>
    <n v="1.3"/>
    <n v="203"/>
    <s v="203. Bahamas, The"/>
  </r>
  <r>
    <x v="203"/>
    <s v="Agricultural land share"/>
    <n v="1.2"/>
    <n v="204"/>
    <s v="204. Northern Mariana Islands"/>
  </r>
  <r>
    <x v="204"/>
    <s v="Agricultural land share"/>
    <n v="1.1000000000000001"/>
    <n v="205"/>
    <s v="205. Turks and Caicos Islands"/>
  </r>
  <r>
    <x v="205"/>
    <s v="Agricultural land share"/>
    <n v="0.9"/>
    <n v="206"/>
    <s v="206. Singapore"/>
  </r>
  <r>
    <x v="206"/>
    <s v="Agricultural land share"/>
    <n v="0.6"/>
    <n v="207"/>
    <s v="207. Greenland"/>
  </r>
  <r>
    <x v="207"/>
    <s v="Agricultural land share"/>
    <n v="0.4"/>
    <n v="208"/>
    <s v="208. Suriname"/>
  </r>
  <r>
    <x v="14"/>
    <s v="Arable land share"/>
    <n v="60.6"/>
    <n v="1"/>
    <s v="1. Bangladesh"/>
  </r>
  <r>
    <x v="28"/>
    <s v="Arable land share"/>
    <n v="59.1"/>
    <n v="2"/>
    <s v="2. Denmark"/>
  </r>
  <r>
    <x v="10"/>
    <s v="Arable land share"/>
    <n v="56.8"/>
    <n v="3"/>
    <s v="3. Moldova"/>
  </r>
  <r>
    <x v="17"/>
    <s v="Arable land share"/>
    <n v="56.8"/>
    <n v="4"/>
    <s v="4. Ukraine"/>
  </r>
  <r>
    <x v="38"/>
    <s v="Arable land share"/>
    <n v="51.8"/>
    <n v="5"/>
    <s v="5. India"/>
  </r>
  <r>
    <x v="2"/>
    <s v="Arable land share"/>
    <n v="51.4"/>
    <n v="6"/>
    <s v="6. Burundi"/>
  </r>
  <r>
    <x v="21"/>
    <s v="Arable land share"/>
    <n v="48.7"/>
    <n v="7"/>
    <s v="7. Togo"/>
  </r>
  <r>
    <x v="8"/>
    <s v="Arable land share"/>
    <n v="47"/>
    <n v="8"/>
    <s v="8. Rwanda"/>
  </r>
  <r>
    <x v="45"/>
    <s v="Arable land share"/>
    <n v="45.4"/>
    <n v="9"/>
    <s v="9. Hungary"/>
  </r>
  <r>
    <x v="33"/>
    <s v="Arable land share"/>
    <n v="43.5"/>
    <n v="10"/>
    <s v="10. Gambia, The"/>
  </r>
  <r>
    <x v="31"/>
    <s v="Arable land share"/>
    <n v="42.4"/>
    <n v="11"/>
    <s v="11. Malawi"/>
  </r>
  <r>
    <x v="24"/>
    <s v="Arable land share"/>
    <n v="41.1"/>
    <n v="12"/>
    <s v="12. Isle of Man"/>
  </r>
  <r>
    <x v="9"/>
    <s v="Arable land share"/>
    <n v="40.5"/>
    <n v="13"/>
    <s v="13. Nigeria"/>
  </r>
  <r>
    <x v="70"/>
    <s v="Arable land share"/>
    <n v="39.299999999999997"/>
    <n v="14"/>
    <s v="14. Pakistan"/>
  </r>
  <r>
    <x v="85"/>
    <s v="Arable land share"/>
    <n v="37.6"/>
    <n v="15"/>
    <s v="15. Mauritius"/>
  </r>
  <r>
    <x v="73"/>
    <s v="Arable land share"/>
    <n v="36.799999999999997"/>
    <n v="16"/>
    <s v="16. Lithuania"/>
  </r>
  <r>
    <x v="66"/>
    <s v="Arable land share"/>
    <n v="36.6"/>
    <n v="17"/>
    <s v="17. Poland"/>
  </r>
  <r>
    <x v="29"/>
    <s v="Arable land share"/>
    <n v="36.5"/>
    <n v="18"/>
    <s v="18. Haiti"/>
  </r>
  <r>
    <x v="49"/>
    <s v="Arable land share"/>
    <n v="36.5"/>
    <n v="19"/>
    <s v="19. Romania"/>
  </r>
  <r>
    <x v="16"/>
    <s v="Arable land share"/>
    <n v="34.9"/>
    <n v="20"/>
    <s v="20. Comoros"/>
  </r>
  <r>
    <x v="44"/>
    <s v="Arable land share"/>
    <n v="34.799999999999997"/>
    <n v="21"/>
    <s v="21. El Salvador"/>
  </r>
  <r>
    <x v="15"/>
    <s v="Arable land share"/>
    <n v="34.4"/>
    <n v="22"/>
    <s v="22. Uganda"/>
  </r>
  <r>
    <x v="67"/>
    <s v="Arable land share"/>
    <n v="33.4"/>
    <n v="23"/>
    <s v="23. Germany"/>
  </r>
  <r>
    <x v="101"/>
    <s v="Arable land share"/>
    <n v="33.1"/>
    <n v="24"/>
    <s v="24. San Marino"/>
  </r>
  <r>
    <x v="74"/>
    <s v="Arable land share"/>
    <n v="32.700000000000003"/>
    <n v="25"/>
    <s v="25. Czechia"/>
  </r>
  <r>
    <x v="71"/>
    <s v="Arable land share"/>
    <n v="32.1"/>
    <n v="26"/>
    <s v="26. Bulgaria"/>
  </r>
  <r>
    <x v="90"/>
    <s v="Arable land share"/>
    <n v="31.4"/>
    <n v="27"/>
    <s v="27. Benin"/>
  </r>
  <r>
    <x v="56"/>
    <s v="Arable land share"/>
    <n v="31.4"/>
    <n v="28"/>
    <s v="28. France"/>
  </r>
  <r>
    <x v="93"/>
    <s v="Arable land share"/>
    <n v="31"/>
    <n v="29"/>
    <s v="29. Serbia"/>
  </r>
  <r>
    <x v="82"/>
    <s v="Arable land share"/>
    <n v="31"/>
    <n v="30"/>
    <s v="30. Thailand"/>
  </r>
  <r>
    <x v="53"/>
    <s v="Arable land share"/>
    <n v="30"/>
    <n v="31"/>
    <s v="31. Netherlands"/>
  </r>
  <r>
    <x v="54"/>
    <s v="Arable land share"/>
    <n v="28.9"/>
    <n v="32"/>
    <s v="32. Burkina Faso"/>
  </r>
  <r>
    <x v="79"/>
    <s v="Arable land share"/>
    <n v="28.3"/>
    <n v="33"/>
    <s v="33. Belgium"/>
  </r>
  <r>
    <x v="35"/>
    <s v="Arable land share"/>
    <n v="28"/>
    <n v="34"/>
    <s v="34. Cuba"/>
  </r>
  <r>
    <x v="65"/>
    <s v="Arable land share"/>
    <n v="27.8"/>
    <n v="35"/>
    <s v="35. Tonga"/>
  </r>
  <r>
    <x v="96"/>
    <s v="Arable land share"/>
    <n v="27.4"/>
    <n v="36"/>
    <s v="36. Belarus"/>
  </r>
  <r>
    <x v="103"/>
    <s v="Arable land share"/>
    <n v="27.2"/>
    <n v="37"/>
    <s v="37. Slovak Republic"/>
  </r>
  <r>
    <x v="59"/>
    <s v="Arable land share"/>
    <n v="26.3"/>
    <n v="38"/>
    <s v="38. Turkiye"/>
  </r>
  <r>
    <x v="43"/>
    <s v="Arable land share"/>
    <n v="25.3"/>
    <n v="39"/>
    <s v="39. Azerbaijan"/>
  </r>
  <r>
    <x v="20"/>
    <s v="Arable land share"/>
    <n v="25"/>
    <n v="40"/>
    <s v="40. United Kingdom"/>
  </r>
  <r>
    <x v="13"/>
    <s v="Arable land share"/>
    <n v="24.4"/>
    <n v="41"/>
    <s v="41. Guinea"/>
  </r>
  <r>
    <x v="81"/>
    <s v="Arable land share"/>
    <n v="24"/>
    <n v="42"/>
    <s v="42. Italy"/>
  </r>
  <r>
    <x v="11"/>
    <s v="Arable land share"/>
    <n v="24"/>
    <n v="43"/>
    <s v="43. Syrian Arab Republic"/>
  </r>
  <r>
    <x v="57"/>
    <s v="Arable land share"/>
    <n v="23.8"/>
    <n v="44"/>
    <s v="44. Luxembourg"/>
  </r>
  <r>
    <x v="111"/>
    <s v="Arable land share"/>
    <n v="23.3"/>
    <n v="45"/>
    <s v="45. Cambodia"/>
  </r>
  <r>
    <x v="61"/>
    <s v="Arable land share"/>
    <n v="23"/>
    <n v="46"/>
    <s v="46. Spain"/>
  </r>
  <r>
    <x v="133"/>
    <s v="Arable land share"/>
    <n v="22.8"/>
    <n v="47"/>
    <s v="47. Malta"/>
  </r>
  <r>
    <x v="64"/>
    <s v="Arable land share"/>
    <n v="22.2"/>
    <n v="48"/>
    <s v="48. Sri Lanka"/>
  </r>
  <r>
    <x v="119"/>
    <s v="Arable land share"/>
    <n v="21.9"/>
    <n v="49"/>
    <s v="49. Latvia"/>
  </r>
  <r>
    <x v="50"/>
    <s v="Arable land share"/>
    <n v="21.9"/>
    <n v="50"/>
    <s v="50. Sierra Leone"/>
  </r>
  <r>
    <x v="102"/>
    <s v="Arable land share"/>
    <n v="21.6"/>
    <n v="51"/>
    <s v="51. Albania"/>
  </r>
  <r>
    <x v="97"/>
    <s v="Arable land share"/>
    <n v="21.5"/>
    <n v="52"/>
    <s v="52. Viet Nam"/>
  </r>
  <r>
    <x v="48"/>
    <s v="Arable land share"/>
    <n v="20.7"/>
    <n v="53"/>
    <s v="53. Ghana"/>
  </r>
  <r>
    <x v="47"/>
    <s v="Arable land share"/>
    <n v="20.2"/>
    <n v="54"/>
    <s v="54. Dominican Republic"/>
  </r>
  <r>
    <x v="63"/>
    <s v="Arable land share"/>
    <n v="19.899999999999999"/>
    <n v="55"/>
    <s v="55. Senegal"/>
  </r>
  <r>
    <x v="139"/>
    <s v="Arable land share"/>
    <n v="19.2"/>
    <n v="56"/>
    <s v="56. St. Kitts and Nevis"/>
  </r>
  <r>
    <x v="143"/>
    <s v="Arable land share"/>
    <n v="19.100000000000001"/>
    <n v="57"/>
    <s v="57. Korea, Dem. People's Rep."/>
  </r>
  <r>
    <x v="86"/>
    <s v="Arable land share"/>
    <n v="18.7"/>
    <n v="58"/>
    <s v="58. Philippines"/>
  </r>
  <r>
    <x v="34"/>
    <s v="Arable land share"/>
    <n v="18.2"/>
    <n v="59"/>
    <s v="59. Tunisia"/>
  </r>
  <r>
    <x v="149"/>
    <s v="Arable land share"/>
    <n v="16.899999999999999"/>
    <n v="60"/>
    <s v="60. Myanmar"/>
  </r>
  <r>
    <x v="138"/>
    <s v="Arable land share"/>
    <n v="16.600000000000001"/>
    <n v="61"/>
    <s v="61. Estonia"/>
  </r>
  <r>
    <x v="72"/>
    <s v="Arable land share"/>
    <n v="16.600000000000001"/>
    <n v="62"/>
    <s v="62. United States"/>
  </r>
  <r>
    <x v="60"/>
    <s v="Arable land share"/>
    <n v="16.5"/>
    <n v="63"/>
    <s v="63. North Macedonia"/>
  </r>
  <r>
    <x v="137"/>
    <s v="Arable land share"/>
    <n v="16.3"/>
    <n v="64"/>
    <s v="64. Barbados"/>
  </r>
  <r>
    <x v="120"/>
    <s v="Arable land share"/>
    <n v="16"/>
    <n v="65"/>
    <s v="65. Austria"/>
  </r>
  <r>
    <x v="40"/>
    <s v="Arable land share"/>
    <n v="15.7"/>
    <n v="66"/>
    <s v="66. Armenia"/>
  </r>
  <r>
    <x v="130"/>
    <s v="Arable land share"/>
    <n v="15.5"/>
    <n v="67"/>
    <s v="67. Croatia"/>
  </r>
  <r>
    <x v="26"/>
    <s v="Arable land share"/>
    <n v="15.4"/>
    <n v="68"/>
    <s v="68. Morocco"/>
  </r>
  <r>
    <x v="78"/>
    <s v="Arable land share"/>
    <n v="15.2"/>
    <n v="69"/>
    <s v="69. Tanzania"/>
  </r>
  <r>
    <x v="0"/>
    <s v="Arable land share"/>
    <n v="15.1"/>
    <n v="70"/>
    <s v="70. Cote d'Ivoire"/>
  </r>
  <r>
    <x v="161"/>
    <s v="Arable land share"/>
    <n v="14.9"/>
    <n v="71"/>
    <s v="71. Korea, Rep."/>
  </r>
  <r>
    <x v="87"/>
    <s v="Arable land share"/>
    <n v="14.8"/>
    <n v="72"/>
    <s v="72. Argentina"/>
  </r>
  <r>
    <x v="112"/>
    <s v="Arable land share"/>
    <n v="14.5"/>
    <n v="73"/>
    <s v="73. Ethiopia"/>
  </r>
  <r>
    <x v="84"/>
    <s v="Arable land share"/>
    <n v="14.5"/>
    <n v="74"/>
    <s v="74. Guatemala"/>
  </r>
  <r>
    <x v="92"/>
    <s v="Arable land share"/>
    <n v="14.4"/>
    <n v="75"/>
    <s v="75. Greece"/>
  </r>
  <r>
    <x v="123"/>
    <s v="Arable land share"/>
    <n v="14.1"/>
    <n v="76"/>
    <s v="76. Guinea-Bissau"/>
  </r>
  <r>
    <x v="107"/>
    <s v="Arable land share"/>
    <n v="14"/>
    <n v="77"/>
    <s v="77. Niger"/>
  </r>
  <r>
    <x v="150"/>
    <s v="Arable land share"/>
    <n v="13.4"/>
    <n v="78"/>
    <s v="78. Maldives"/>
  </r>
  <r>
    <x v="145"/>
    <s v="Arable land share"/>
    <n v="13.1"/>
    <n v="79"/>
    <s v="79. Cameroon"/>
  </r>
  <r>
    <x v="27"/>
    <s v="Arable land share"/>
    <n v="13.1"/>
    <n v="80"/>
    <s v="80. Lebanon"/>
  </r>
  <r>
    <x v="132"/>
    <s v="Arable land share"/>
    <n v="12.6"/>
    <n v="81"/>
    <s v="81. Nepal"/>
  </r>
  <r>
    <x v="3"/>
    <s v="Arable land share"/>
    <n v="12.6"/>
    <n v="82"/>
    <s v="82. Uruguay"/>
  </r>
  <r>
    <x v="134"/>
    <s v="Arable land share"/>
    <n v="12.5"/>
    <n v="83"/>
    <s v="83. Israel"/>
  </r>
  <r>
    <x v="88"/>
    <s v="Arable land share"/>
    <n v="12.5"/>
    <n v="84"/>
    <s v="84. Nicaragua"/>
  </r>
  <r>
    <x v="151"/>
    <s v="Arable land share"/>
    <n v="12.4"/>
    <n v="85"/>
    <s v="85. Cabo Verde"/>
  </r>
  <r>
    <x v="41"/>
    <s v="Arable land share"/>
    <n v="12"/>
    <n v="86"/>
    <s v="86. Afghanistan"/>
  </r>
  <r>
    <x v="7"/>
    <s v="Arable land share"/>
    <n v="11.8"/>
    <n v="87"/>
    <s v="87. Lesotho"/>
  </r>
  <r>
    <x v="46"/>
    <s v="Arable land share"/>
    <n v="11.5"/>
    <n v="88"/>
    <s v="88. China"/>
  </r>
  <r>
    <x v="51"/>
    <s v="Arable land share"/>
    <n v="11.5"/>
    <n v="89"/>
    <s v="89. Paraguay"/>
  </r>
  <r>
    <x v="141"/>
    <s v="Arable land share"/>
    <n v="11.4"/>
    <n v="90"/>
    <s v="90. Iraq"/>
  </r>
  <r>
    <x v="62"/>
    <s v="Arable land share"/>
    <n v="11.4"/>
    <n v="91"/>
    <s v="91. Kenya"/>
  </r>
  <r>
    <x v="37"/>
    <s v="Arable land share"/>
    <n v="11.2"/>
    <n v="92"/>
    <s v="92. Sudan"/>
  </r>
  <r>
    <x v="172"/>
    <s v="Arable land share"/>
    <n v="11.1"/>
    <n v="93"/>
    <s v="93. Aruba"/>
  </r>
  <r>
    <x v="99"/>
    <s v="Arable land share"/>
    <n v="11.1"/>
    <n v="94"/>
    <s v="94. Jamaica"/>
  </r>
  <r>
    <x v="169"/>
    <s v="Arable land share"/>
    <n v="11.1"/>
    <n v="95"/>
    <s v="95. Japan"/>
  </r>
  <r>
    <x v="5"/>
    <s v="Arable land share"/>
    <n v="11"/>
    <n v="96"/>
    <s v="96. Kazakhstan"/>
  </r>
  <r>
    <x v="116"/>
    <s v="Arable land share"/>
    <n v="10.8"/>
    <n v="97"/>
    <s v="97. Liechtenstein"/>
  </r>
  <r>
    <x v="166"/>
    <s v="Arable land share"/>
    <n v="10.6"/>
    <n v="98"/>
    <s v="98. Cyprus"/>
  </r>
  <r>
    <x v="91"/>
    <s v="Arable land share"/>
    <n v="10.4"/>
    <n v="99"/>
    <s v="99. Zimbabwe"/>
  </r>
  <r>
    <x v="23"/>
    <s v="Arable land share"/>
    <n v="10.3"/>
    <n v="100"/>
    <s v="100. Eswatini"/>
  </r>
  <r>
    <x v="58"/>
    <s v="Arable land share"/>
    <n v="10.3"/>
    <n v="101"/>
    <s v="101. Mexico"/>
  </r>
  <r>
    <x v="83"/>
    <s v="Arable land share"/>
    <n v="10.1"/>
    <n v="102"/>
    <s v="102. Portugal"/>
  </r>
  <r>
    <x v="104"/>
    <s v="Arable land share"/>
    <n v="10"/>
    <n v="103"/>
    <s v="103. Switzerland"/>
  </r>
  <r>
    <x v="6"/>
    <s v="Arable land share"/>
    <n v="9.9"/>
    <n v="104"/>
    <s v="104. South Africa"/>
  </r>
  <r>
    <x v="127"/>
    <s v="Arable land share"/>
    <n v="9.6999999999999993"/>
    <n v="105"/>
    <s v="105. Iran, Islamic Rep."/>
  </r>
  <r>
    <x v="126"/>
    <s v="Arable land share"/>
    <n v="9.4"/>
    <n v="106"/>
    <s v="106. Indonesia"/>
  </r>
  <r>
    <x v="146"/>
    <s v="Arable land share"/>
    <n v="9.1"/>
    <n v="107"/>
    <s v="107. Antigua and Barbuda"/>
  </r>
  <r>
    <x v="118"/>
    <s v="Arable land share"/>
    <n v="9.1"/>
    <n v="108"/>
    <s v="108. Honduras"/>
  </r>
  <r>
    <x v="42"/>
    <s v="Arable land share"/>
    <n v="9.1"/>
    <n v="109"/>
    <s v="109. Uzbekistan"/>
  </r>
  <r>
    <x v="122"/>
    <s v="Arable land share"/>
    <n v="8.9"/>
    <n v="110"/>
    <s v="110. Slovenia"/>
  </r>
  <r>
    <x v="136"/>
    <s v="Arable land share"/>
    <n v="8.8000000000000007"/>
    <n v="111"/>
    <s v="111. Grenada"/>
  </r>
  <r>
    <x v="114"/>
    <s v="Arable land share"/>
    <n v="8"/>
    <n v="112"/>
    <s v="112. Dominica"/>
  </r>
  <r>
    <x v="125"/>
    <s v="Arable land share"/>
    <n v="7.6"/>
    <n v="113"/>
    <s v="113. Panama"/>
  </r>
  <r>
    <x v="140"/>
    <s v="Arable land share"/>
    <n v="7.5"/>
    <n v="114"/>
    <s v="114. Timor-Leste"/>
  </r>
  <r>
    <x v="185"/>
    <s v="Arable land share"/>
    <n v="7.4"/>
    <n v="115"/>
    <s v="115. Finland"/>
  </r>
  <r>
    <x v="168"/>
    <s v="Arable land share"/>
    <n v="7.4"/>
    <n v="116"/>
    <s v="116. Russian Federation"/>
  </r>
  <r>
    <x v="142"/>
    <s v="Arable land share"/>
    <n v="7.2"/>
    <n v="117"/>
    <s v="117. Bosnia and Herzegovina"/>
  </r>
  <r>
    <x v="55"/>
    <s v="Arable land share"/>
    <n v="7.2"/>
    <n v="118"/>
    <s v="118. Mozambique"/>
  </r>
  <r>
    <x v="30"/>
    <s v="Arable land share"/>
    <n v="7"/>
    <n v="119"/>
    <s v="119. West Bank and Gaza"/>
  </r>
  <r>
    <x v="110"/>
    <s v="Arable land share"/>
    <n v="6.8"/>
    <n v="120"/>
    <s v="120. Mali"/>
  </r>
  <r>
    <x v="128"/>
    <s v="Arable land share"/>
    <n v="6.7"/>
    <n v="121"/>
    <s v="121. Brazil"/>
  </r>
  <r>
    <x v="52"/>
    <s v="Arable land share"/>
    <n v="6.7"/>
    <n v="122"/>
    <s v="122. Kyrgyz Republic"/>
  </r>
  <r>
    <x v="162"/>
    <s v="Arable land share"/>
    <n v="6.6"/>
    <n v="123"/>
    <s v="123. Congo, Dem. Rep."/>
  </r>
  <r>
    <x v="36"/>
    <s v="Arable land share"/>
    <n v="6.4"/>
    <n v="124"/>
    <s v="124. Ireland"/>
  </r>
  <r>
    <x v="186"/>
    <s v="Arable land share"/>
    <n v="6.2"/>
    <n v="125"/>
    <s v="125. Sweden"/>
  </r>
  <r>
    <x v="129"/>
    <s v="Arable land share"/>
    <n v="6.1"/>
    <n v="126"/>
    <s v="126. Tajikistan"/>
  </r>
  <r>
    <x v="32"/>
    <s v="Arable land share"/>
    <n v="5.7"/>
    <n v="127"/>
    <s v="127. Eritrea"/>
  </r>
  <r>
    <x v="154"/>
    <s v="Arable land share"/>
    <n v="5.7"/>
    <n v="128"/>
    <s v="128. Puerto Rico (US)"/>
  </r>
  <r>
    <x v="190"/>
    <s v="Arable land share"/>
    <n v="5.6"/>
    <n v="129"/>
    <s v="129. Bermuda"/>
  </r>
  <r>
    <x v="176"/>
    <s v="Arable land share"/>
    <n v="5.3"/>
    <n v="130"/>
    <s v="130. Lao PDR"/>
  </r>
  <r>
    <x v="164"/>
    <s v="Arable land share"/>
    <n v="5.2"/>
    <n v="131"/>
    <s v="131. American Samoa"/>
  </r>
  <r>
    <x v="147"/>
    <s v="Arable land share"/>
    <n v="5.2"/>
    <n v="132"/>
    <s v="132. Liberia"/>
  </r>
  <r>
    <x v="18"/>
    <s v="Arable land share"/>
    <n v="5.2"/>
    <n v="133"/>
    <s v="133. Madagascar"/>
  </r>
  <r>
    <x v="109"/>
    <s v="Arable land share"/>
    <n v="5.0999999999999996"/>
    <n v="134"/>
    <s v="134. Bolivia"/>
  </r>
  <r>
    <x v="155"/>
    <s v="Arable land share"/>
    <n v="5.0999999999999996"/>
    <n v="135"/>
    <s v="135. St. Vincent and the Grenadines"/>
  </r>
  <r>
    <x v="117"/>
    <s v="Arable land share"/>
    <n v="5.0999999999999996"/>
    <n v="136"/>
    <s v="136. Zambia"/>
  </r>
  <r>
    <x v="173"/>
    <s v="Arable land share"/>
    <n v="4.9000000000000004"/>
    <n v="137"/>
    <s v="137. Trinidad and Tobago"/>
  </r>
  <r>
    <x v="184"/>
    <s v="Arable land share"/>
    <n v="4.4000000000000004"/>
    <n v="138"/>
    <s v="138. Belize"/>
  </r>
  <r>
    <x v="113"/>
    <s v="Arable land share"/>
    <n v="4.4000000000000004"/>
    <n v="139"/>
    <s v="139. Georgia"/>
  </r>
  <r>
    <x v="159"/>
    <s v="Arable land share"/>
    <n v="4.4000000000000004"/>
    <n v="140"/>
    <s v="140. St. Lucia"/>
  </r>
  <r>
    <x v="105"/>
    <s v="Arable land share"/>
    <n v="4.3"/>
    <n v="141"/>
    <s v="141. Angola"/>
  </r>
  <r>
    <x v="188"/>
    <s v="Arable land share"/>
    <n v="4.3"/>
    <n v="142"/>
    <s v="142. Canada"/>
  </r>
  <r>
    <x v="94"/>
    <s v="Arable land share"/>
    <n v="4.2"/>
    <n v="143"/>
    <s v="143. Chad"/>
  </r>
  <r>
    <x v="158"/>
    <s v="Arable land share"/>
    <n v="4.2"/>
    <n v="144"/>
    <s v="144. Fiji"/>
  </r>
  <r>
    <x v="77"/>
    <s v="Arable land share"/>
    <n v="4.2"/>
    <n v="145"/>
    <s v="145. Sao Tome and Principe"/>
  </r>
  <r>
    <x v="144"/>
    <s v="Arable land share"/>
    <n v="4.0999999999999996"/>
    <n v="146"/>
    <s v="146. Ecuador"/>
  </r>
  <r>
    <x v="68"/>
    <s v="Arable land share"/>
    <n v="4"/>
    <n v="147"/>
    <s v="147. Australia"/>
  </r>
  <r>
    <x v="156"/>
    <s v="Arable land share"/>
    <n v="3.9"/>
    <n v="148"/>
    <s v="148. Samoa"/>
  </r>
  <r>
    <x v="76"/>
    <s v="Arable land share"/>
    <n v="3.9"/>
    <n v="149"/>
    <s v="149. South Sudan"/>
  </r>
  <r>
    <x v="1"/>
    <s v="Arable land share"/>
    <n v="3.4"/>
    <n v="150"/>
    <s v="150. Turkmenistan"/>
  </r>
  <r>
    <x v="115"/>
    <s v="Arable land share"/>
    <n v="3.3"/>
    <n v="151"/>
    <s v="151. Costa Rica"/>
  </r>
  <r>
    <x v="157"/>
    <s v="Arable land share"/>
    <n v="3.2"/>
    <n v="152"/>
    <s v="152. Algeria"/>
  </r>
  <r>
    <x v="193"/>
    <s v="Arable land share"/>
    <n v="3.1"/>
    <n v="153"/>
    <s v="153. Egypt, Arab Rep."/>
  </r>
  <r>
    <x v="153"/>
    <s v="Arable land share"/>
    <n v="3.1"/>
    <n v="154"/>
    <s v="154. Peru"/>
  </r>
  <r>
    <x v="179"/>
    <s v="Arable land share"/>
    <n v="2.9"/>
    <n v="155"/>
    <s v="155. Central African Republic"/>
  </r>
  <r>
    <x v="187"/>
    <s v="Arable land share"/>
    <n v="2.9"/>
    <n v="156"/>
    <s v="156. Micronesia, Fed. Sts."/>
  </r>
  <r>
    <x v="135"/>
    <s v="Arable land share"/>
    <n v="2.9"/>
    <n v="157"/>
    <s v="157. Venezuela, RB"/>
  </r>
  <r>
    <x v="98"/>
    <s v="Arable land share"/>
    <n v="2.8"/>
    <n v="158"/>
    <s v="158. Marshall Islands"/>
  </r>
  <r>
    <x v="174"/>
    <s v="Arable land share"/>
    <n v="2.6"/>
    <n v="159"/>
    <s v="159. Bahrain"/>
  </r>
  <r>
    <x v="167"/>
    <s v="Arable land share"/>
    <n v="2.6"/>
    <n v="160"/>
    <s v="160. Bhutan"/>
  </r>
  <r>
    <x v="177"/>
    <s v="Arable land share"/>
    <n v="2.6"/>
    <n v="161"/>
    <s v="161. Virgin Islands (U.S.)"/>
  </r>
  <r>
    <x v="89"/>
    <s v="Arable land share"/>
    <n v="2.5"/>
    <n v="162"/>
    <s v="162. Kiribati"/>
  </r>
  <r>
    <x v="131"/>
    <s v="Arable land share"/>
    <n v="2.4"/>
    <n v="163"/>
    <s v="163. Malaysia"/>
  </r>
  <r>
    <x v="108"/>
    <s v="Arable land share"/>
    <n v="2.2999999999999998"/>
    <n v="164"/>
    <s v="164. Colombia"/>
  </r>
  <r>
    <x v="170"/>
    <s v="Arable land share"/>
    <n v="2.2999999999999998"/>
    <n v="165"/>
    <s v="165. Jordan"/>
  </r>
  <r>
    <x v="200"/>
    <s v="Arable land share"/>
    <n v="2.2000000000000002"/>
    <n v="166"/>
    <s v="166. Norway"/>
  </r>
  <r>
    <x v="80"/>
    <s v="Arable land share"/>
    <n v="2.2000000000000002"/>
    <n v="167"/>
    <s v="167. Yemen, Rep."/>
  </r>
  <r>
    <x v="106"/>
    <s v="Arable land share"/>
    <n v="2"/>
    <n v="168"/>
    <s v="168. New Zealand"/>
  </r>
  <r>
    <x v="165"/>
    <s v="Arable land share"/>
    <n v="1.9"/>
    <n v="169"/>
    <s v="169. Chile"/>
  </r>
  <r>
    <x v="196"/>
    <s v="Arable land share"/>
    <n v="1.9"/>
    <n v="170"/>
    <s v="170. Equatorial Guinea"/>
  </r>
  <r>
    <x v="124"/>
    <s v="Arable land share"/>
    <n v="1.9"/>
    <n v="171"/>
    <s v="171. Guam"/>
  </r>
  <r>
    <x v="195"/>
    <s v="Arable land share"/>
    <n v="1.9"/>
    <n v="172"/>
    <s v="172. Hong Kong SAR, China"/>
  </r>
  <r>
    <x v="189"/>
    <s v="Arable land share"/>
    <n v="1.8"/>
    <n v="173"/>
    <s v="173. Qatar"/>
  </r>
  <r>
    <x v="19"/>
    <s v="Arable land share"/>
    <n v="1.8"/>
    <n v="174"/>
    <s v="174. Somalia, Fed. Rep."/>
  </r>
  <r>
    <x v="95"/>
    <s v="Arable land share"/>
    <n v="1.6"/>
    <n v="175"/>
    <s v="175. Andorra"/>
  </r>
  <r>
    <x v="121"/>
    <s v="Arable land share"/>
    <n v="1.6"/>
    <n v="176"/>
    <s v="176. Congo, Rep."/>
  </r>
  <r>
    <x v="4"/>
    <s v="Arable land share"/>
    <n v="1.6"/>
    <n v="177"/>
    <s v="177. Saudi Arabia"/>
  </r>
  <r>
    <x v="163"/>
    <s v="Arable land share"/>
    <n v="1.6"/>
    <n v="178"/>
    <s v="178. Vanuatu"/>
  </r>
  <r>
    <x v="182"/>
    <s v="Arable land share"/>
    <n v="1.3"/>
    <n v="179"/>
    <s v="179. Gabon"/>
  </r>
  <r>
    <x v="160"/>
    <s v="Arable land share"/>
    <n v="1.2"/>
    <n v="180"/>
    <s v="180. Iceland"/>
  </r>
  <r>
    <x v="204"/>
    <s v="Arable land share"/>
    <n v="1.1000000000000001"/>
    <n v="181"/>
    <s v="181. Turks and Caicos Islands"/>
  </r>
  <r>
    <x v="181"/>
    <s v="Arable land share"/>
    <n v="1"/>
    <n v="182"/>
    <s v="182. Libya"/>
  </r>
  <r>
    <x v="69"/>
    <s v="Arable land share"/>
    <n v="1"/>
    <n v="183"/>
    <s v="183. Namibia"/>
  </r>
  <r>
    <x v="202"/>
    <s v="Arable land share"/>
    <n v="0.8"/>
    <n v="184"/>
    <s v="184. Bahamas, The"/>
  </r>
  <r>
    <x v="201"/>
    <s v="Arable land share"/>
    <n v="0.8"/>
    <n v="185"/>
    <s v="185. Brunei Darussalam"/>
  </r>
  <r>
    <x v="171"/>
    <s v="Arable land share"/>
    <n v="0.8"/>
    <n v="186"/>
    <s v="186. Cayman Islands"/>
  </r>
  <r>
    <x v="205"/>
    <s v="Arable land share"/>
    <n v="0.8"/>
    <n v="187"/>
    <s v="187. Singapore"/>
  </r>
  <r>
    <x v="194"/>
    <s v="Arable land share"/>
    <n v="0.8"/>
    <n v="188"/>
    <s v="188. Solomon Islands"/>
  </r>
  <r>
    <x v="180"/>
    <s v="Arable land share"/>
    <n v="0.7"/>
    <n v="189"/>
    <s v="189. French Polynesia"/>
  </r>
  <r>
    <x v="25"/>
    <s v="Arable land share"/>
    <n v="0.7"/>
    <n v="190"/>
    <s v="190. Mongolia"/>
  </r>
  <r>
    <x v="152"/>
    <s v="Arable land share"/>
    <n v="0.7"/>
    <n v="191"/>
    <s v="191. Montenegro"/>
  </r>
  <r>
    <x v="178"/>
    <s v="Arable land share"/>
    <n v="0.7"/>
    <n v="192"/>
    <s v="192. Palau"/>
  </r>
  <r>
    <x v="199"/>
    <s v="Arable land share"/>
    <n v="0.7"/>
    <n v="193"/>
    <s v="193. Papua New Guinea"/>
  </r>
  <r>
    <x v="191"/>
    <s v="Arable land share"/>
    <n v="0.7"/>
    <n v="194"/>
    <s v="194. United Arab Emirates"/>
  </r>
  <r>
    <x v="75"/>
    <s v="Arable land share"/>
    <n v="0.5"/>
    <n v="195"/>
    <s v="195. Botswana"/>
  </r>
  <r>
    <x v="197"/>
    <s v="Arable land share"/>
    <n v="0.5"/>
    <n v="196"/>
    <s v="196. Guyana"/>
  </r>
  <r>
    <x v="183"/>
    <s v="Arable land share"/>
    <n v="0.4"/>
    <n v="197"/>
    <s v="197. Kuwait"/>
  </r>
  <r>
    <x v="100"/>
    <s v="Arable land share"/>
    <n v="0.4"/>
    <n v="198"/>
    <s v="198. Mauritania"/>
  </r>
  <r>
    <x v="175"/>
    <s v="Arable land share"/>
    <n v="0.3"/>
    <n v="199"/>
    <s v="199. New Caledonia"/>
  </r>
  <r>
    <x v="192"/>
    <s v="Arable land share"/>
    <n v="0.3"/>
    <n v="200"/>
    <s v="200. Oman"/>
  </r>
  <r>
    <x v="198"/>
    <s v="Arable land share"/>
    <n v="0.3"/>
    <n v="201"/>
    <s v="201. Seychelles"/>
  </r>
  <r>
    <x v="207"/>
    <s v="Arable land share"/>
    <n v="0.3"/>
    <n v="202"/>
    <s v="202. Suriname"/>
  </r>
  <r>
    <x v="203"/>
    <s v="Arable land share"/>
    <n v="0.2"/>
    <n v="203"/>
    <s v="203. Northern Mariana Islands"/>
  </r>
  <r>
    <x v="12"/>
    <s v="Arable land share"/>
    <n v="0.1"/>
    <n v="204"/>
    <s v="204. Djibouti"/>
  </r>
  <r>
    <x v="22"/>
    <s v="Arable land share"/>
    <n v="0.1"/>
    <n v="205"/>
    <s v="205. Faroe Islands"/>
  </r>
  <r>
    <x v="72"/>
    <s v="Budget"/>
    <n v="3724"/>
    <n v="1"/>
    <s v="1. United States"/>
  </r>
  <r>
    <x v="46"/>
    <s v="Budget"/>
    <n v="3140.5"/>
    <n v="2"/>
    <s v="2. China"/>
  </r>
  <r>
    <x v="67"/>
    <s v="Budget"/>
    <n v="960.7"/>
    <n v="3"/>
    <s v="3. Germany"/>
  </r>
  <r>
    <x v="56"/>
    <s v="Budget"/>
    <n v="705.7"/>
    <n v="4"/>
    <s v="4. France"/>
  </r>
  <r>
    <x v="20"/>
    <s v="Budget"/>
    <n v="692.4"/>
    <n v="5"/>
    <s v="5. United Kingdom"/>
  </r>
  <r>
    <x v="188"/>
    <s v="Budget"/>
    <n v="454.3"/>
    <n v="6"/>
    <s v="6. Canada"/>
  </r>
  <r>
    <x v="128"/>
    <s v="Budget"/>
    <n v="417.2"/>
    <n v="7"/>
    <s v="7. Brazil"/>
  </r>
  <r>
    <x v="81"/>
    <s v="Budget"/>
    <n v="409.3"/>
    <n v="8"/>
    <s v="8. Italy"/>
  </r>
  <r>
    <x v="38"/>
    <s v="Budget"/>
    <n v="375"/>
    <n v="9"/>
    <s v="9. India"/>
  </r>
  <r>
    <x v="168"/>
    <s v="Budget"/>
    <n v="372"/>
    <n v="10"/>
    <s v="10. Russian Federation"/>
  </r>
  <r>
    <x v="68"/>
    <s v="Budget"/>
    <n v="368.3"/>
    <n v="11"/>
    <s v="11. Australia"/>
  </r>
  <r>
    <x v="161"/>
    <s v="Budget"/>
    <n v="323.7"/>
    <n v="12"/>
    <s v="12. Korea, Rep."/>
  </r>
  <r>
    <x v="61"/>
    <s v="Budget"/>
    <n v="315.3"/>
    <n v="13"/>
    <s v="13. Spain"/>
  </r>
  <r>
    <x v="53"/>
    <s v="Budget"/>
    <n v="282.89999999999998"/>
    <n v="14"/>
    <s v="14. Netherlands"/>
  </r>
  <r>
    <x v="4"/>
    <s v="Budget"/>
    <n v="255.1"/>
    <n v="15"/>
    <s v="15. Saudi Arabia"/>
  </r>
  <r>
    <x v="58"/>
    <s v="Budget"/>
    <n v="199.1"/>
    <n v="16"/>
    <s v="16. Mexico"/>
  </r>
  <r>
    <x v="66"/>
    <s v="Budget"/>
    <n v="153.9"/>
    <n v="17"/>
    <s v="17. Poland"/>
  </r>
  <r>
    <x v="79"/>
    <s v="Budget"/>
    <n v="153.30000000000001"/>
    <n v="18"/>
    <s v="18. Belgium"/>
  </r>
  <r>
    <x v="186"/>
    <s v="Budget"/>
    <n v="152.4"/>
    <n v="19"/>
    <s v="19. Sweden"/>
  </r>
  <r>
    <x v="59"/>
    <s v="Budget"/>
    <n v="146.5"/>
    <n v="20"/>
    <s v="20. Turkiye"/>
  </r>
  <r>
    <x v="134"/>
    <s v="Budget"/>
    <n v="114.3"/>
    <n v="21"/>
    <s v="21. Israel"/>
  </r>
  <r>
    <x v="200"/>
    <s v="Budget"/>
    <n v="106.5"/>
    <n v="22"/>
    <s v="22. Norway"/>
  </r>
  <r>
    <x v="87"/>
    <s v="Budget"/>
    <n v="105.9"/>
    <n v="23"/>
    <s v="23. Argentina"/>
  </r>
  <r>
    <x v="120"/>
    <s v="Budget"/>
    <n v="104.7"/>
    <n v="24"/>
    <s v="24. Austria"/>
  </r>
  <r>
    <x v="126"/>
    <s v="Budget"/>
    <n v="102.2"/>
    <n v="25"/>
    <s v="25. Indonesia"/>
  </r>
  <r>
    <x v="104"/>
    <s v="Budget"/>
    <n v="100.7"/>
    <n v="26"/>
    <s v="26. Switzerland"/>
  </r>
  <r>
    <x v="28"/>
    <s v="Budget"/>
    <n v="91.5"/>
    <n v="27"/>
    <s v="27. Denmark"/>
  </r>
  <r>
    <x v="82"/>
    <s v="Budget"/>
    <n v="85.7"/>
    <n v="28"/>
    <s v="28. Thailand"/>
  </r>
  <r>
    <x v="17"/>
    <s v="Budget"/>
    <n v="75.900000000000006"/>
    <n v="29"/>
    <s v="29. Ukraine"/>
  </r>
  <r>
    <x v="185"/>
    <s v="Budget"/>
    <n v="75.599999999999994"/>
    <n v="30"/>
    <s v="30. Finland"/>
  </r>
  <r>
    <x v="6"/>
    <s v="Budget"/>
    <n v="73.7"/>
    <n v="31"/>
    <s v="31. South Africa"/>
  </r>
  <r>
    <x v="74"/>
    <s v="Budget"/>
    <n v="67.5"/>
    <n v="32"/>
    <s v="32. Czechia"/>
  </r>
  <r>
    <x v="36"/>
    <s v="Budget"/>
    <n v="67.099999999999994"/>
    <n v="33"/>
    <s v="33. Ireland"/>
  </r>
  <r>
    <x v="191"/>
    <s v="Budget"/>
    <n v="63.9"/>
    <n v="34"/>
    <s v="34. United Arab Emirates"/>
  </r>
  <r>
    <x v="86"/>
    <s v="Budget"/>
    <n v="62.2"/>
    <n v="35"/>
    <s v="35. Philippines"/>
  </r>
  <r>
    <x v="49"/>
    <s v="Budget"/>
    <n v="60.1"/>
    <n v="36"/>
    <s v="36. Romania"/>
  </r>
  <r>
    <x v="108"/>
    <s v="Budget"/>
    <n v="53.7"/>
    <n v="37"/>
    <s v="37. Colombia"/>
  </r>
  <r>
    <x v="127"/>
    <s v="Budget"/>
    <n v="52.1"/>
    <n v="38"/>
    <s v="38. Iran, Islamic Rep."/>
  </r>
  <r>
    <x v="165"/>
    <s v="Budget"/>
    <n v="51.3"/>
    <n v="39"/>
    <s v="39. Chile"/>
  </r>
  <r>
    <x v="195"/>
    <s v="Budget"/>
    <n v="50.7"/>
    <n v="40"/>
    <s v="40. Hong Kong SAR, China"/>
  </r>
  <r>
    <x v="205"/>
    <s v="Budget"/>
    <n v="50.5"/>
    <n v="41"/>
    <s v="41. Singapore"/>
  </r>
  <r>
    <x v="83"/>
    <s v="Budget"/>
    <n v="48.8"/>
    <n v="42"/>
    <s v="42. Portugal"/>
  </r>
  <r>
    <x v="131"/>
    <s v="Budget"/>
    <n v="47.8"/>
    <n v="43"/>
    <s v="43. Malaysia"/>
  </r>
  <r>
    <x v="141"/>
    <s v="Budget"/>
    <n v="47.1"/>
    <n v="44"/>
    <s v="44. Iraq"/>
  </r>
  <r>
    <x v="92"/>
    <s v="Budget"/>
    <n v="47"/>
    <n v="45"/>
    <s v="45. Greece"/>
  </r>
  <r>
    <x v="157"/>
    <s v="Budget"/>
    <n v="44.4"/>
    <n v="46"/>
    <s v="46. Algeria"/>
  </r>
  <r>
    <x v="45"/>
    <s v="Budget"/>
    <n v="42.5"/>
    <n v="47"/>
    <s v="47. Hungary"/>
  </r>
  <r>
    <x v="97"/>
    <s v="Budget"/>
    <n v="38.4"/>
    <n v="48"/>
    <s v="48. Viet Nam"/>
  </r>
  <r>
    <x v="153"/>
    <s v="Budget"/>
    <n v="36.200000000000003"/>
    <n v="49"/>
    <s v="49. Peru"/>
  </r>
  <r>
    <x v="70"/>
    <s v="Budget"/>
    <n v="34.799999999999997"/>
    <n v="50"/>
    <s v="50. Pakistan"/>
  </r>
  <r>
    <x v="5"/>
    <s v="Budget"/>
    <n v="29.2"/>
    <n v="51"/>
    <s v="51. Kazakhstan"/>
  </r>
  <r>
    <x v="193"/>
    <s v="Budget"/>
    <n v="26.9"/>
    <n v="52"/>
    <s v="52. Egypt, Arab Rep."/>
  </r>
  <r>
    <x v="103"/>
    <s v="Budget"/>
    <n v="26.7"/>
    <n v="53"/>
    <s v="53. Slovak Republic"/>
  </r>
  <r>
    <x v="26"/>
    <s v="Budget"/>
    <n v="26.1"/>
    <n v="54"/>
    <s v="54. Morocco"/>
  </r>
  <r>
    <x v="14"/>
    <s v="Budget"/>
    <n v="24.8"/>
    <n v="55"/>
    <s v="55. Bangladesh"/>
  </r>
  <r>
    <x v="192"/>
    <s v="Budget"/>
    <n v="20.2"/>
    <n v="56"/>
    <s v="56. Oman"/>
  </r>
  <r>
    <x v="71"/>
    <s v="Budget"/>
    <n v="18.899999999999999"/>
    <n v="57"/>
    <s v="57. Bulgaria"/>
  </r>
  <r>
    <x v="130"/>
    <s v="Budget"/>
    <n v="18"/>
    <n v="58"/>
    <s v="58. Croatia"/>
  </r>
  <r>
    <x v="144"/>
    <s v="Budget"/>
    <n v="16.5"/>
    <n v="59"/>
    <s v="59. Ecuador"/>
  </r>
  <r>
    <x v="57"/>
    <s v="Budget"/>
    <n v="16.3"/>
    <n v="60"/>
    <s v="60. Luxembourg"/>
  </r>
  <r>
    <x v="181"/>
    <s v="Budget"/>
    <n v="15.9"/>
    <n v="61"/>
    <s v="61. Libya"/>
  </r>
  <r>
    <x v="42"/>
    <s v="Budget"/>
    <n v="14.9"/>
    <n v="62"/>
    <s v="62. Uzbekistan"/>
  </r>
  <r>
    <x v="93"/>
    <s v="Budget"/>
    <n v="13.9"/>
    <n v="63"/>
    <s v="63. Serbia"/>
  </r>
  <r>
    <x v="73"/>
    <s v="Budget"/>
    <n v="13.8"/>
    <n v="64"/>
    <s v="64. Lithuania"/>
  </r>
  <r>
    <x v="47"/>
    <s v="Budget"/>
    <n v="13.6"/>
    <n v="65"/>
    <s v="65. Dominican Republic"/>
  </r>
  <r>
    <x v="122"/>
    <s v="Budget"/>
    <n v="13.3"/>
    <n v="66"/>
    <s v="66. Slovenia"/>
  </r>
  <r>
    <x v="96"/>
    <s v="Budget"/>
    <n v="12.9"/>
    <n v="67"/>
    <s v="67. Belarus"/>
  </r>
  <r>
    <x v="115"/>
    <s v="Budget"/>
    <n v="12.9"/>
    <n v="68"/>
    <s v="68. Costa Rica"/>
  </r>
  <r>
    <x v="62"/>
    <s v="Budget"/>
    <n v="12.9"/>
    <n v="69"/>
    <s v="69. Kenya"/>
  </r>
  <r>
    <x v="84"/>
    <s v="Budget"/>
    <n v="11.7"/>
    <n v="70"/>
    <s v="70. Guatemala"/>
  </r>
  <r>
    <x v="125"/>
    <s v="Budget"/>
    <n v="10.199999999999999"/>
    <n v="71"/>
    <s v="71. Panama"/>
  </r>
  <r>
    <x v="43"/>
    <s v="Budget"/>
    <n v="10"/>
    <n v="72"/>
    <s v="72. Azerbaijan"/>
  </r>
  <r>
    <x v="154"/>
    <s v="Budget"/>
    <n v="10"/>
    <n v="73"/>
    <s v="73. Puerto Rico (US)"/>
  </r>
  <r>
    <x v="34"/>
    <s v="Budget"/>
    <n v="9.4"/>
    <n v="74"/>
    <s v="74. Tunisia"/>
  </r>
  <r>
    <x v="109"/>
    <s v="Budget"/>
    <n v="8.6999999999999993"/>
    <n v="75"/>
    <s v="75. Bolivia"/>
  </r>
  <r>
    <x v="119"/>
    <s v="Budget"/>
    <n v="8.6"/>
    <n v="76"/>
    <s v="76. Latvia"/>
  </r>
  <r>
    <x v="138"/>
    <s v="Budget"/>
    <n v="8.5"/>
    <n v="77"/>
    <s v="77. Estonia"/>
  </r>
  <r>
    <x v="160"/>
    <s v="Budget"/>
    <n v="8"/>
    <n v="78"/>
    <s v="78. Iceland"/>
  </r>
  <r>
    <x v="1"/>
    <s v="Budget"/>
    <n v="7.7"/>
    <n v="79"/>
    <s v="79. Turkmenistan"/>
  </r>
  <r>
    <x v="0"/>
    <s v="Budget"/>
    <n v="7.2"/>
    <n v="80"/>
    <s v="80. Cote d'Ivoire"/>
  </r>
  <r>
    <x v="37"/>
    <s v="Budget"/>
    <n v="7"/>
    <n v="81"/>
    <s v="81. Sudan"/>
  </r>
  <r>
    <x v="78"/>
    <s v="Budget"/>
    <n v="6.9"/>
    <n v="82"/>
    <s v="82. Tanzania"/>
  </r>
  <r>
    <x v="174"/>
    <s v="Budget"/>
    <n v="6.8"/>
    <n v="83"/>
    <s v="83. Bahrain"/>
  </r>
  <r>
    <x v="44"/>
    <s v="Budget"/>
    <n v="6.5"/>
    <n v="84"/>
    <s v="84. El Salvador"/>
  </r>
  <r>
    <x v="166"/>
    <s v="Budget"/>
    <n v="6.3"/>
    <n v="85"/>
    <s v="85. Cyprus"/>
  </r>
  <r>
    <x v="208"/>
    <s v="Budget"/>
    <n v="6.3"/>
    <n v="86"/>
    <s v="86. Macao SAR, China"/>
  </r>
  <r>
    <x v="75"/>
    <s v="Budget"/>
    <n v="5.7"/>
    <n v="87"/>
    <s v="87. Botswana"/>
  </r>
  <r>
    <x v="64"/>
    <s v="Budget"/>
    <n v="5.7"/>
    <n v="88"/>
    <s v="88. Sri Lanka"/>
  </r>
  <r>
    <x v="142"/>
    <s v="Budget"/>
    <n v="5.3"/>
    <n v="89"/>
    <s v="89. Bosnia and Herzegovina"/>
  </r>
  <r>
    <x v="162"/>
    <s v="Budget"/>
    <n v="5.3"/>
    <n v="90"/>
    <s v="90. Congo, Dem. Rep."/>
  </r>
  <r>
    <x v="91"/>
    <s v="Budget"/>
    <n v="5.3"/>
    <n v="91"/>
    <s v="91. Zimbabwe"/>
  </r>
  <r>
    <x v="145"/>
    <s v="Budget"/>
    <n v="5.2"/>
    <n v="92"/>
    <s v="92. Cameroon"/>
  </r>
  <r>
    <x v="51"/>
    <s v="Budget"/>
    <n v="5.2"/>
    <n v="93"/>
    <s v="93. Paraguay"/>
  </r>
  <r>
    <x v="118"/>
    <s v="Budget"/>
    <n v="5.0999999999999996"/>
    <n v="94"/>
    <s v="94. Honduras"/>
  </r>
  <r>
    <x v="63"/>
    <s v="Budget"/>
    <n v="4.9000000000000004"/>
    <n v="95"/>
    <s v="95. Senegal"/>
  </r>
  <r>
    <x v="15"/>
    <s v="Budget"/>
    <n v="4.7"/>
    <n v="96"/>
    <s v="96. Uganda"/>
  </r>
  <r>
    <x v="105"/>
    <s v="Budget"/>
    <n v="4.4000000000000004"/>
    <n v="97"/>
    <s v="97. Angola"/>
  </r>
  <r>
    <x v="48"/>
    <s v="Budget"/>
    <n v="4.4000000000000004"/>
    <n v="98"/>
    <s v="98. Ghana"/>
  </r>
  <r>
    <x v="54"/>
    <s v="Budget"/>
    <n v="4.0999999999999996"/>
    <n v="99"/>
    <s v="99. Burkina Faso"/>
  </r>
  <r>
    <x v="113"/>
    <s v="Budget"/>
    <n v="3.7"/>
    <n v="100"/>
    <s v="100. Georgia"/>
  </r>
  <r>
    <x v="133"/>
    <s v="Budget"/>
    <n v="3.7"/>
    <n v="101"/>
    <s v="101. Malta"/>
  </r>
  <r>
    <x v="117"/>
    <s v="Budget"/>
    <n v="3.7"/>
    <n v="102"/>
    <s v="102. Zambia"/>
  </r>
  <r>
    <x v="41"/>
    <s v="Budget"/>
    <n v="3.6"/>
    <n v="103"/>
    <s v="103. Afghanistan"/>
  </r>
  <r>
    <x v="55"/>
    <s v="Budget"/>
    <n v="3.6"/>
    <n v="104"/>
    <s v="104. Mozambique"/>
  </r>
  <r>
    <x v="30"/>
    <s v="Budget"/>
    <n v="3.6"/>
    <n v="105"/>
    <s v="105. West Bank and Gaza"/>
  </r>
  <r>
    <x v="201"/>
    <s v="Budget"/>
    <n v="3.5"/>
    <n v="106"/>
    <s v="106. Brunei Darussalam"/>
  </r>
  <r>
    <x v="40"/>
    <s v="Budget"/>
    <n v="3.4"/>
    <n v="107"/>
    <s v="107. Armenia"/>
  </r>
  <r>
    <x v="196"/>
    <s v="Budget"/>
    <n v="3.2"/>
    <n v="108"/>
    <s v="108. Equatorial Guinea"/>
  </r>
  <r>
    <x v="110"/>
    <s v="Budget"/>
    <n v="3.2"/>
    <n v="109"/>
    <s v="109. Mali"/>
  </r>
  <r>
    <x v="13"/>
    <s v="Budget"/>
    <n v="3"/>
    <n v="110"/>
    <s v="110. Guinea"/>
  </r>
  <r>
    <x v="10"/>
    <s v="Budget"/>
    <n v="3"/>
    <n v="111"/>
    <s v="111. Moldova"/>
  </r>
  <r>
    <x v="102"/>
    <s v="Budget"/>
    <n v="2.8"/>
    <n v="112"/>
    <s v="112. Albania"/>
  </r>
  <r>
    <x v="69"/>
    <s v="Budget"/>
    <n v="2.7"/>
    <n v="113"/>
    <s v="113. Namibia"/>
  </r>
  <r>
    <x v="132"/>
    <s v="Budget"/>
    <n v="2.7"/>
    <n v="114"/>
    <s v="114. Nepal"/>
  </r>
  <r>
    <x v="111"/>
    <s v="Budget"/>
    <n v="2.6"/>
    <n v="115"/>
    <s v="115. Cambodia"/>
  </r>
  <r>
    <x v="25"/>
    <s v="Budget"/>
    <n v="2.6"/>
    <n v="116"/>
    <s v="116. Mongolia"/>
  </r>
  <r>
    <x v="18"/>
    <s v="Budget"/>
    <n v="2.5"/>
    <n v="117"/>
    <s v="117. Madagascar"/>
  </r>
  <r>
    <x v="182"/>
    <s v="Budget"/>
    <n v="2.4"/>
    <n v="118"/>
    <s v="118. Gabon"/>
  </r>
  <r>
    <x v="52"/>
    <s v="Budget"/>
    <n v="2.4"/>
    <n v="119"/>
    <s v="119. Kyrgyz Republic"/>
  </r>
  <r>
    <x v="60"/>
    <s v="Budget"/>
    <n v="2.4"/>
    <n v="120"/>
    <s v="120. North Macedonia"/>
  </r>
  <r>
    <x v="88"/>
    <s v="Budget"/>
    <n v="2.2999999999999998"/>
    <n v="121"/>
    <s v="121. Nicaragua"/>
  </r>
  <r>
    <x v="8"/>
    <s v="Budget"/>
    <n v="2.2999999999999998"/>
    <n v="122"/>
    <s v="122. Rwanda"/>
  </r>
  <r>
    <x v="107"/>
    <s v="Budget"/>
    <n v="2.2000000000000002"/>
    <n v="123"/>
    <s v="123. Niger"/>
  </r>
  <r>
    <x v="202"/>
    <s v="Budget"/>
    <n v="2"/>
    <n v="124"/>
    <s v="124. Bahamas, The"/>
  </r>
  <r>
    <x v="121"/>
    <s v="Budget"/>
    <n v="2"/>
    <n v="125"/>
    <s v="125. Congo, Rep."/>
  </r>
  <r>
    <x v="180"/>
    <s v="Budget"/>
    <n v="2"/>
    <n v="126"/>
    <s v="126. French Polynesia"/>
  </r>
  <r>
    <x v="85"/>
    <s v="Budget"/>
    <n v="2"/>
    <n v="127"/>
    <s v="127. Mauritius"/>
  </r>
  <r>
    <x v="90"/>
    <s v="Budget"/>
    <n v="1.9"/>
    <n v="128"/>
    <s v="128. Benin"/>
  </r>
  <r>
    <x v="100"/>
    <s v="Budget"/>
    <n v="1.8"/>
    <n v="129"/>
    <s v="129. Mauritania"/>
  </r>
  <r>
    <x v="94"/>
    <s v="Budget"/>
    <n v="1.7"/>
    <n v="130"/>
    <s v="130. Chad"/>
  </r>
  <r>
    <x v="206"/>
    <s v="Budget"/>
    <n v="1.4"/>
    <n v="131"/>
    <s v="131. Greenland"/>
  </r>
  <r>
    <x v="209"/>
    <s v="Budget"/>
    <n v="1.3"/>
    <n v="132"/>
    <s v="132. Kosovo"/>
  </r>
  <r>
    <x v="152"/>
    <s v="Budget"/>
    <n v="1.3"/>
    <n v="133"/>
    <s v="133. Montenegro"/>
  </r>
  <r>
    <x v="129"/>
    <s v="Budget"/>
    <n v="1.3"/>
    <n v="134"/>
    <s v="134. Tajikistan"/>
  </r>
  <r>
    <x v="29"/>
    <s v="Budget"/>
    <n v="1.2"/>
    <n v="135"/>
    <s v="135. Haiti"/>
  </r>
  <r>
    <x v="21"/>
    <s v="Budget"/>
    <n v="1.2"/>
    <n v="136"/>
    <s v="136. Togo"/>
  </r>
  <r>
    <x v="22"/>
    <s v="Budget"/>
    <n v="1.1000000000000001"/>
    <n v="137"/>
    <s v="137. Faroe Islands"/>
  </r>
  <r>
    <x v="158"/>
    <s v="Budget"/>
    <n v="1.1000000000000001"/>
    <n v="138"/>
    <s v="138. Fiji"/>
  </r>
  <r>
    <x v="150"/>
    <s v="Budget"/>
    <n v="1.1000000000000001"/>
    <n v="139"/>
    <s v="139. Maldives"/>
  </r>
  <r>
    <x v="140"/>
    <s v="Budget"/>
    <n v="1.1000000000000001"/>
    <n v="140"/>
    <s v="140. Timor-Leste"/>
  </r>
  <r>
    <x v="190"/>
    <s v="Budget"/>
    <n v="1"/>
    <n v="141"/>
    <s v="141. Bermuda"/>
  </r>
  <r>
    <x v="27"/>
    <s v="Budget"/>
    <n v="1"/>
    <n v="142"/>
    <s v="142. Lebanon"/>
  </r>
  <r>
    <x v="23"/>
    <s v="Budget"/>
    <n v="0.9"/>
    <n v="143"/>
    <s v="143. Eswatini"/>
  </r>
  <r>
    <x v="2"/>
    <s v="Budget"/>
    <n v="0.8"/>
    <n v="144"/>
    <s v="144. Burundi"/>
  </r>
  <r>
    <x v="7"/>
    <s v="Budget"/>
    <n v="0.8"/>
    <n v="145"/>
    <s v="145. Lesotho"/>
  </r>
  <r>
    <x v="19"/>
    <s v="Budget"/>
    <n v="0.8"/>
    <n v="146"/>
    <s v="146. Somalia, Fed. Rep."/>
  </r>
  <r>
    <x v="172"/>
    <s v="Budget"/>
    <n v="0.7"/>
    <n v="147"/>
    <s v="147. Aruba"/>
  </r>
  <r>
    <x v="12"/>
    <s v="Budget"/>
    <n v="0.7"/>
    <n v="148"/>
    <s v="148. Djibouti"/>
  </r>
  <r>
    <x v="167"/>
    <s v="Budget"/>
    <n v="0.6"/>
    <n v="149"/>
    <s v="149. Bhutan"/>
  </r>
  <r>
    <x v="151"/>
    <s v="Budget"/>
    <n v="0.6"/>
    <n v="150"/>
    <s v="150. Cabo Verde"/>
  </r>
  <r>
    <x v="184"/>
    <s v="Budget"/>
    <n v="0.5"/>
    <n v="151"/>
    <s v="151. Belize"/>
  </r>
  <r>
    <x v="198"/>
    <s v="Budget"/>
    <n v="0.5"/>
    <n v="152"/>
    <s v="152. Seychelles"/>
  </r>
  <r>
    <x v="50"/>
    <s v="Budget"/>
    <n v="0.4"/>
    <n v="153"/>
    <s v="153. Sierra Leone"/>
  </r>
  <r>
    <x v="123"/>
    <s v="Budget"/>
    <n v="0.3"/>
    <n v="154"/>
    <s v="154. Guinea-Bissau"/>
  </r>
  <r>
    <x v="179"/>
    <s v="Budget"/>
    <n v="0.2"/>
    <n v="155"/>
    <s v="155. Central African Republic"/>
  </r>
  <r>
    <x v="33"/>
    <s v="Budget"/>
    <n v="0.2"/>
    <n v="156"/>
    <s v="156. Gambia, The"/>
  </r>
  <r>
    <x v="156"/>
    <s v="Budget"/>
    <n v="0.2"/>
    <n v="157"/>
    <s v="157. Samoa"/>
  </r>
  <r>
    <x v="16"/>
    <s v="Budget"/>
    <n v="0.1"/>
    <n v="158"/>
    <s v="158. Comoros"/>
  </r>
  <r>
    <x v="98"/>
    <s v="Budget"/>
    <n v="0.1"/>
    <n v="159"/>
    <s v="159. Marshall Islands"/>
  </r>
  <r>
    <x v="65"/>
    <s v="Budget"/>
    <n v="0.1"/>
    <n v="160"/>
    <s v="160. Tonga"/>
  </r>
  <r>
    <x v="98"/>
    <s v="Budget (% of GDP)"/>
    <n v="53.5"/>
    <n v="1"/>
    <s v="1. Marshall Islands"/>
  </r>
  <r>
    <x v="140"/>
    <s v="Budget (% of GDP)"/>
    <n v="52.9"/>
    <n v="2"/>
    <s v="2. Timor-Leste"/>
  </r>
  <r>
    <x v="17"/>
    <s v="Budget (% of GDP)"/>
    <n v="41.9"/>
    <n v="3"/>
    <s v="3. Ukraine"/>
  </r>
  <r>
    <x v="206"/>
    <s v="Budget (% of GDP)"/>
    <n v="41.7"/>
    <n v="4"/>
    <s v="4. Greenland"/>
  </r>
  <r>
    <x v="7"/>
    <s v="Budget (% of GDP)"/>
    <n v="35.6"/>
    <n v="5"/>
    <s v="5. Lesotho"/>
  </r>
  <r>
    <x v="181"/>
    <s v="Budget (% of GDP)"/>
    <n v="35.299999999999997"/>
    <n v="6"/>
    <s v="6. Libya"/>
  </r>
  <r>
    <x v="2"/>
    <s v="Budget (% of GDP)"/>
    <n v="30.7"/>
    <n v="7"/>
    <s v="7. Burundi"/>
  </r>
  <r>
    <x v="180"/>
    <s v="Budget (% of GDP)"/>
    <n v="30.5"/>
    <n v="8"/>
    <s v="8. French Polynesia"/>
  </r>
  <r>
    <x v="75"/>
    <s v="Budget (% of GDP)"/>
    <n v="29.3"/>
    <n v="9"/>
    <s v="9. Botswana"/>
  </r>
  <r>
    <x v="65"/>
    <s v="Budget (% of GDP)"/>
    <n v="29.1"/>
    <n v="10"/>
    <s v="10. Tonga"/>
  </r>
  <r>
    <x v="22"/>
    <s v="Budget (% of GDP)"/>
    <n v="27.3"/>
    <n v="11"/>
    <s v="11. Faroe Islands"/>
  </r>
  <r>
    <x v="196"/>
    <s v="Budget (% of GDP)"/>
    <n v="26.2"/>
    <n v="12"/>
    <s v="12. Equatorial Guinea"/>
  </r>
  <r>
    <x v="186"/>
    <s v="Budget (% of GDP)"/>
    <n v="26"/>
    <n v="13"/>
    <s v="13. Sweden"/>
  </r>
  <r>
    <x v="185"/>
    <s v="Budget (% of GDP)"/>
    <n v="25.6"/>
    <n v="14"/>
    <s v="14. Finland"/>
  </r>
  <r>
    <x v="35"/>
    <s v="Budget (% of GDP)"/>
    <n v="25.5"/>
    <n v="15"/>
    <s v="15. Cuba"/>
  </r>
  <r>
    <x v="160"/>
    <s v="Budget (% of GDP)"/>
    <n v="25.3"/>
    <n v="16"/>
    <s v="16. Iceland"/>
  </r>
  <r>
    <x v="53"/>
    <s v="Budget (% of GDP)"/>
    <n v="24.5"/>
    <n v="17"/>
    <s v="17. Netherlands"/>
  </r>
  <r>
    <x v="198"/>
    <s v="Budget (% of GDP)"/>
    <n v="24.4"/>
    <n v="18"/>
    <s v="18. Seychelles"/>
  </r>
  <r>
    <x v="79"/>
    <s v="Budget (% of GDP)"/>
    <n v="23.8"/>
    <n v="19"/>
    <s v="19. Belgium"/>
  </r>
  <r>
    <x v="56"/>
    <s v="Budget (% of GDP)"/>
    <n v="23.1"/>
    <n v="20"/>
    <s v="20. France"/>
  </r>
  <r>
    <x v="201"/>
    <s v="Budget (% of GDP)"/>
    <n v="22.9"/>
    <n v="21"/>
    <s v="21. Brunei Darussalam"/>
  </r>
  <r>
    <x v="28"/>
    <s v="Budget (% of GDP)"/>
    <n v="22.5"/>
    <n v="22"/>
    <s v="22. Denmark"/>
  </r>
  <r>
    <x v="134"/>
    <s v="Budget (% of GDP)"/>
    <n v="22.3"/>
    <n v="23"/>
    <s v="23. Israel"/>
  </r>
  <r>
    <x v="200"/>
    <s v="Budget (% of GDP)"/>
    <n v="22"/>
    <n v="24"/>
    <s v="24. Norway"/>
  </r>
  <r>
    <x v="69"/>
    <s v="Budget (% of GDP)"/>
    <n v="21.8"/>
    <n v="25"/>
    <s v="25. Namibia"/>
  </r>
  <r>
    <x v="151"/>
    <s v="Budget (% of GDP)"/>
    <n v="21.7"/>
    <n v="26"/>
    <s v="26. Cabo Verde"/>
  </r>
  <r>
    <x v="68"/>
    <s v="Budget (% of GDP)"/>
    <n v="21.3"/>
    <n v="27"/>
    <s v="27. Australia"/>
  </r>
  <r>
    <x v="130"/>
    <s v="Budget (% of GDP)"/>
    <n v="21.3"/>
    <n v="28"/>
    <s v="28. Croatia"/>
  </r>
  <r>
    <x v="41"/>
    <s v="Budget (% of GDP)"/>
    <n v="21.2"/>
    <n v="29"/>
    <s v="29. Afghanistan"/>
  </r>
  <r>
    <x v="67"/>
    <s v="Budget (% of GDP)"/>
    <n v="21.2"/>
    <n v="30"/>
    <s v="30. Germany"/>
  </r>
  <r>
    <x v="188"/>
    <s v="Budget (% of GDP)"/>
    <n v="20.9"/>
    <n v="31"/>
    <s v="31. Canada"/>
  </r>
  <r>
    <x v="4"/>
    <s v="Budget (% of GDP)"/>
    <n v="20.9"/>
    <n v="32"/>
    <s v="32. Saudi Arabia"/>
  </r>
  <r>
    <x v="158"/>
    <s v="Budget (% of GDP)"/>
    <n v="20.8"/>
    <n v="33"/>
    <s v="33. Fiji"/>
  </r>
  <r>
    <x v="138"/>
    <s v="Budget (% of GDP)"/>
    <n v="20.6"/>
    <n v="34"/>
    <s v="34. Estonia"/>
  </r>
  <r>
    <x v="120"/>
    <s v="Budget (% of GDP)"/>
    <n v="20.5"/>
    <n v="35"/>
    <s v="35. Austria"/>
  </r>
  <r>
    <x v="20"/>
    <s v="Budget (% of GDP)"/>
    <n v="20.5"/>
    <n v="36"/>
    <s v="36. United Kingdom"/>
  </r>
  <r>
    <x v="167"/>
    <s v="Budget (% of GDP)"/>
    <n v="20.3"/>
    <n v="37"/>
    <s v="37. Bhutan"/>
  </r>
  <r>
    <x v="119"/>
    <s v="Budget (% of GDP)"/>
    <n v="20.2"/>
    <n v="38"/>
    <s v="38. Latvia"/>
  </r>
  <r>
    <x v="30"/>
    <s v="Budget (% of GDP)"/>
    <n v="20.2"/>
    <n v="39"/>
    <s v="39. West Bank and Gaza"/>
  </r>
  <r>
    <x v="54"/>
    <s v="Budget (% of GDP)"/>
    <n v="20"/>
    <n v="40"/>
    <s v="40. Burkina Faso"/>
  </r>
  <r>
    <x v="103"/>
    <s v="Budget (% of GDP)"/>
    <n v="20"/>
    <n v="41"/>
    <s v="41. Slovak Republic"/>
  </r>
  <r>
    <x v="45"/>
    <s v="Budget (% of GDP)"/>
    <n v="19.899999999999999"/>
    <n v="42"/>
    <s v="42. Hungary"/>
  </r>
  <r>
    <x v="74"/>
    <s v="Budget (% of GDP)"/>
    <n v="19.7"/>
    <n v="43"/>
    <s v="43. Czechia"/>
  </r>
  <r>
    <x v="172"/>
    <s v="Budget (% of GDP)"/>
    <n v="19.600000000000001"/>
    <n v="44"/>
    <s v="44. Aruba"/>
  </r>
  <r>
    <x v="23"/>
    <s v="Budget (% of GDP)"/>
    <n v="19.5"/>
    <n v="45"/>
    <s v="45. Eswatini"/>
  </r>
  <r>
    <x v="61"/>
    <s v="Budget (% of GDP)"/>
    <n v="19.5"/>
    <n v="46"/>
    <s v="46. Spain"/>
  </r>
  <r>
    <x v="34"/>
    <s v="Budget (% of GDP)"/>
    <n v="19.399999999999999"/>
    <n v="47"/>
    <s v="47. Tunisia"/>
  </r>
  <r>
    <x v="109"/>
    <s v="Budget (% of GDP)"/>
    <n v="19.3"/>
    <n v="48"/>
    <s v="48. Bolivia"/>
  </r>
  <r>
    <x v="92"/>
    <s v="Budget (% of GDP)"/>
    <n v="19.3"/>
    <n v="49"/>
    <s v="49. Greece"/>
  </r>
  <r>
    <x v="6"/>
    <s v="Budget (% of GDP)"/>
    <n v="19.3"/>
    <n v="50"/>
    <s v="50. South Africa"/>
  </r>
  <r>
    <x v="122"/>
    <s v="Budget (% of GDP)"/>
    <n v="19.2"/>
    <n v="51"/>
    <s v="51. Slovenia"/>
  </r>
  <r>
    <x v="142"/>
    <s v="Budget (% of GDP)"/>
    <n v="19.100000000000001"/>
    <n v="52"/>
    <s v="52. Bosnia and Herzegovina"/>
  </r>
  <r>
    <x v="44"/>
    <s v="Budget (% of GDP)"/>
    <n v="19.100000000000001"/>
    <n v="53"/>
    <s v="53. El Salvador"/>
  </r>
  <r>
    <x v="192"/>
    <s v="Budget (% of GDP)"/>
    <n v="19.100000000000001"/>
    <n v="54"/>
    <s v="54. Oman"/>
  </r>
  <r>
    <x v="128"/>
    <s v="Budget (% of GDP)"/>
    <n v="19"/>
    <n v="55"/>
    <s v="55. Brazil"/>
  </r>
  <r>
    <x v="161"/>
    <s v="Budget (% of GDP)"/>
    <n v="18.899999999999999"/>
    <n v="56"/>
    <s v="56. Korea, Rep."/>
  </r>
  <r>
    <x v="66"/>
    <s v="Budget (% of GDP)"/>
    <n v="18.899999999999999"/>
    <n v="57"/>
    <s v="57. Poland"/>
  </r>
  <r>
    <x v="166"/>
    <s v="Budget (% of GDP)"/>
    <n v="18.600000000000001"/>
    <n v="58"/>
    <s v="58. Cyprus"/>
  </r>
  <r>
    <x v="57"/>
    <s v="Budget (% of GDP)"/>
    <n v="18.600000000000001"/>
    <n v="59"/>
    <s v="59. Luxembourg"/>
  </r>
  <r>
    <x v="71"/>
    <s v="Budget (% of GDP)"/>
    <n v="18.399999999999999"/>
    <n v="60"/>
    <s v="60. Bulgaria"/>
  </r>
  <r>
    <x v="156"/>
    <s v="Budget (% of GDP)"/>
    <n v="18.2"/>
    <n v="61"/>
    <s v="61. Samoa"/>
  </r>
  <r>
    <x v="26"/>
    <s v="Budget (% of GDP)"/>
    <n v="18.100000000000001"/>
    <n v="62"/>
    <s v="62. Morocco"/>
  </r>
  <r>
    <x v="168"/>
    <s v="Budget (% of GDP)"/>
    <n v="18"/>
    <n v="63"/>
    <s v="63. Russian Federation"/>
  </r>
  <r>
    <x v="157"/>
    <s v="Budget (% of GDP)"/>
    <n v="17.899999999999999"/>
    <n v="64"/>
    <s v="64. Algeria"/>
  </r>
  <r>
    <x v="96"/>
    <s v="Budget (% of GDP)"/>
    <n v="17.899999999999999"/>
    <n v="65"/>
    <s v="65. Belarus"/>
  </r>
  <r>
    <x v="10"/>
    <s v="Budget (% of GDP)"/>
    <n v="17.899999999999999"/>
    <n v="66"/>
    <s v="66. Moldova"/>
  </r>
  <r>
    <x v="152"/>
    <s v="Budget (% of GDP)"/>
    <n v="17.899999999999999"/>
    <n v="67"/>
    <s v="67. Montenegro"/>
  </r>
  <r>
    <x v="81"/>
    <s v="Budget (% of GDP)"/>
    <n v="17.8"/>
    <n v="68"/>
    <s v="68. Italy"/>
  </r>
  <r>
    <x v="141"/>
    <s v="Budget (% of GDP)"/>
    <n v="17.5"/>
    <n v="69"/>
    <s v="69. Iraq"/>
  </r>
  <r>
    <x v="37"/>
    <s v="Budget (% of GDP)"/>
    <n v="17.399999999999999"/>
    <n v="70"/>
    <s v="70. Sudan"/>
  </r>
  <r>
    <x v="73"/>
    <s v="Budget (% of GDP)"/>
    <n v="17.3"/>
    <n v="71"/>
    <s v="71. Lithuania"/>
  </r>
  <r>
    <x v="46"/>
    <s v="Budget (% of GDP)"/>
    <n v="17.2"/>
    <n v="72"/>
    <s v="72. China"/>
  </r>
  <r>
    <x v="100"/>
    <s v="Budget (% of GDP)"/>
    <n v="17.2"/>
    <n v="73"/>
    <s v="73. Mauritania"/>
  </r>
  <r>
    <x v="55"/>
    <s v="Budget (% of GDP)"/>
    <n v="17.2"/>
    <n v="74"/>
    <s v="74. Mozambique"/>
  </r>
  <r>
    <x v="150"/>
    <s v="Budget (% of GDP)"/>
    <n v="17.100000000000001"/>
    <n v="75"/>
    <s v="75. Maldives"/>
  </r>
  <r>
    <x v="49"/>
    <s v="Budget (% of GDP)"/>
    <n v="17.100000000000001"/>
    <n v="76"/>
    <s v="76. Romania"/>
  </r>
  <r>
    <x v="93"/>
    <s v="Budget (% of GDP)"/>
    <n v="17.100000000000001"/>
    <n v="77"/>
    <s v="77. Serbia"/>
  </r>
  <r>
    <x v="12"/>
    <s v="Budget (% of GDP)"/>
    <n v="17"/>
    <n v="78"/>
    <s v="78. Djibouti"/>
  </r>
  <r>
    <x v="83"/>
    <s v="Budget (% of GDP)"/>
    <n v="16.8"/>
    <n v="79"/>
    <s v="79. Portugal"/>
  </r>
  <r>
    <x v="133"/>
    <s v="Budget (% of GDP)"/>
    <n v="16.7"/>
    <n v="80"/>
    <s v="80. Malta"/>
  </r>
  <r>
    <x v="82"/>
    <s v="Budget (% of GDP)"/>
    <n v="16.600000000000001"/>
    <n v="81"/>
    <s v="81. Thailand"/>
  </r>
  <r>
    <x v="87"/>
    <s v="Budget (% of GDP)"/>
    <n v="16.399999999999999"/>
    <n v="82"/>
    <s v="82. Argentina"/>
  </r>
  <r>
    <x v="8"/>
    <s v="Budget (% of GDP)"/>
    <n v="16.3"/>
    <n v="83"/>
    <s v="83. Rwanda"/>
  </r>
  <r>
    <x v="123"/>
    <s v="Budget (% of GDP)"/>
    <n v="16.100000000000001"/>
    <n v="84"/>
    <s v="84. Guinea-Bissau"/>
  </r>
  <r>
    <x v="52"/>
    <s v="Budget (% of GDP)"/>
    <n v="16"/>
    <n v="85"/>
    <s v="85. Kyrgyz Republic"/>
  </r>
  <r>
    <x v="63"/>
    <s v="Budget (% of GDP)"/>
    <n v="15.8"/>
    <n v="86"/>
    <s v="86. Senegal"/>
  </r>
  <r>
    <x v="184"/>
    <s v="Budget (% of GDP)"/>
    <n v="15.7"/>
    <n v="87"/>
    <s v="87. Belize"/>
  </r>
  <r>
    <x v="18"/>
    <s v="Budget (% of GDP)"/>
    <n v="15.6"/>
    <n v="88"/>
    <s v="88. Madagascar"/>
  </r>
  <r>
    <x v="165"/>
    <s v="Budget (% of GDP)"/>
    <n v="15.3"/>
    <n v="89"/>
    <s v="89. Chile"/>
  </r>
  <r>
    <x v="91"/>
    <s v="Budget (% of GDP)"/>
    <n v="15.1"/>
    <n v="90"/>
    <s v="90. Zimbabwe"/>
  </r>
  <r>
    <x v="115"/>
    <s v="Budget (% of GDP)"/>
    <n v="14.9"/>
    <n v="91"/>
    <s v="91. Costa Rica"/>
  </r>
  <r>
    <x v="118"/>
    <s v="Budget (% of GDP)"/>
    <n v="14.9"/>
    <n v="92"/>
    <s v="92. Honduras"/>
  </r>
  <r>
    <x v="60"/>
    <s v="Budget (% of GDP)"/>
    <n v="14.9"/>
    <n v="93"/>
    <s v="93. North Macedonia"/>
  </r>
  <r>
    <x v="108"/>
    <s v="Budget (% of GDP)"/>
    <n v="14.7"/>
    <n v="94"/>
    <s v="94. Colombia"/>
  </r>
  <r>
    <x v="174"/>
    <s v="Budget (% of GDP)"/>
    <n v="14.6"/>
    <n v="95"/>
    <s v="95. Bahrain"/>
  </r>
  <r>
    <x v="42"/>
    <s v="Budget (% of GDP)"/>
    <n v="14.5"/>
    <n v="96"/>
    <s v="96. Uzbekistan"/>
  </r>
  <r>
    <x v="85"/>
    <s v="Budget (% of GDP)"/>
    <n v="14.3"/>
    <n v="97"/>
    <s v="97. Mauritius"/>
  </r>
  <r>
    <x v="86"/>
    <s v="Budget (% of GDP)"/>
    <n v="14.2"/>
    <n v="98"/>
    <s v="98. Philippines"/>
  </r>
  <r>
    <x v="40"/>
    <s v="Budget (% of GDP)"/>
    <n v="14.1"/>
    <n v="99"/>
    <s v="99. Armenia"/>
  </r>
  <r>
    <x v="43"/>
    <s v="Budget (% of GDP)"/>
    <n v="13.8"/>
    <n v="100"/>
    <s v="100. Azerbaijan"/>
  </r>
  <r>
    <x v="208"/>
    <s v="Budget (% of GDP)"/>
    <n v="13.8"/>
    <n v="101"/>
    <s v="101. Macao SAR, China"/>
  </r>
  <r>
    <x v="144"/>
    <s v="Budget (% of GDP)"/>
    <n v="13.6"/>
    <n v="102"/>
    <s v="102. Ecuador"/>
  </r>
  <r>
    <x v="153"/>
    <s v="Budget (% of GDP)"/>
    <n v="13.6"/>
    <n v="103"/>
    <s v="103. Peru"/>
  </r>
  <r>
    <x v="13"/>
    <s v="Budget (% of GDP)"/>
    <n v="13.5"/>
    <n v="104"/>
    <s v="104. Guinea"/>
  </r>
  <r>
    <x v="107"/>
    <s v="Budget (% of GDP)"/>
    <n v="13.4"/>
    <n v="105"/>
    <s v="105. Niger"/>
  </r>
  <r>
    <x v="72"/>
    <s v="Budget (% of GDP)"/>
    <n v="13.4"/>
    <n v="106"/>
    <s v="106. United States"/>
  </r>
  <r>
    <x v="195"/>
    <s v="Budget (% of GDP)"/>
    <n v="13.3"/>
    <n v="107"/>
    <s v="107. Hong Kong SAR, China"/>
  </r>
  <r>
    <x v="117"/>
    <s v="Budget (% of GDP)"/>
    <n v="13.3"/>
    <n v="108"/>
    <s v="108. Zambia"/>
  </r>
  <r>
    <x v="202"/>
    <s v="Budget (% of GDP)"/>
    <n v="13.1"/>
    <n v="109"/>
    <s v="109. Bahamas, The"/>
  </r>
  <r>
    <x v="121"/>
    <s v="Budget (% of GDP)"/>
    <n v="13.1"/>
    <n v="110"/>
    <s v="110. Congo, Rep."/>
  </r>
  <r>
    <x v="110"/>
    <s v="Budget (% of GDP)"/>
    <n v="13.1"/>
    <n v="111"/>
    <s v="111. Mali"/>
  </r>
  <r>
    <x v="59"/>
    <s v="Budget (% of GDP)"/>
    <n v="13.1"/>
    <n v="112"/>
    <s v="112. Turkiye"/>
  </r>
  <r>
    <x v="25"/>
    <s v="Budget (% of GDP)"/>
    <n v="13"/>
    <n v="113"/>
    <s v="113. Mongolia"/>
  </r>
  <r>
    <x v="127"/>
    <s v="Budget (% of GDP)"/>
    <n v="12.9"/>
    <n v="114"/>
    <s v="114. Iran, Islamic Rep."/>
  </r>
  <r>
    <x v="88"/>
    <s v="Budget (% of GDP)"/>
    <n v="12.9"/>
    <n v="115"/>
    <s v="115. Nicaragua"/>
  </r>
  <r>
    <x v="1"/>
    <s v="Budget (% of GDP)"/>
    <n v="12.7"/>
    <n v="116"/>
    <s v="116. Turkmenistan"/>
  </r>
  <r>
    <x v="209"/>
    <s v="Budget (% of GDP)"/>
    <n v="12.6"/>
    <n v="117"/>
    <s v="117. Kosovo"/>
  </r>
  <r>
    <x v="21"/>
    <s v="Budget (% of GDP)"/>
    <n v="12.6"/>
    <n v="118"/>
    <s v="118. Togo"/>
  </r>
  <r>
    <x v="191"/>
    <s v="Budget (% of GDP)"/>
    <n v="12.4"/>
    <n v="119"/>
    <s v="119. United Arab Emirates"/>
  </r>
  <r>
    <x v="36"/>
    <s v="Budget (% of GDP)"/>
    <n v="12.2"/>
    <n v="120"/>
    <s v="120. Ireland"/>
  </r>
  <r>
    <x v="125"/>
    <s v="Budget (% of GDP)"/>
    <n v="12.2"/>
    <n v="121"/>
    <s v="121. Panama"/>
  </r>
  <r>
    <x v="113"/>
    <s v="Budget (% of GDP)"/>
    <n v="12.1"/>
    <n v="122"/>
    <s v="122. Georgia"/>
  </r>
  <r>
    <x v="51"/>
    <s v="Budget (% of GDP)"/>
    <n v="12.1"/>
    <n v="123"/>
    <s v="123. Paraguay"/>
  </r>
  <r>
    <x v="102"/>
    <s v="Budget (% of GDP)"/>
    <n v="12"/>
    <n v="124"/>
    <s v="124. Albania"/>
  </r>
  <r>
    <x v="62"/>
    <s v="Budget (% of GDP)"/>
    <n v="11.9"/>
    <n v="125"/>
    <s v="125. Kenya"/>
  </r>
  <r>
    <x v="131"/>
    <s v="Budget (% of GDP)"/>
    <n v="11.9"/>
    <n v="126"/>
    <s v="126. Malaysia"/>
  </r>
  <r>
    <x v="182"/>
    <s v="Budget (% of GDP)"/>
    <n v="11.8"/>
    <n v="127"/>
    <s v="127. Gabon"/>
  </r>
  <r>
    <x v="190"/>
    <s v="Budget (% of GDP)"/>
    <n v="11.4"/>
    <n v="128"/>
    <s v="128. Bermuda"/>
  </r>
  <r>
    <x v="47"/>
    <s v="Budget (% of GDP)"/>
    <n v="11.3"/>
    <n v="129"/>
    <s v="129. Dominican Republic"/>
  </r>
  <r>
    <x v="104"/>
    <s v="Budget (% of GDP)"/>
    <n v="11.3"/>
    <n v="130"/>
    <s v="130. Switzerland"/>
  </r>
  <r>
    <x v="84"/>
    <s v="Budget (% of GDP)"/>
    <n v="11.2"/>
    <n v="131"/>
    <s v="131. Guatemala"/>
  </r>
  <r>
    <x v="5"/>
    <s v="Budget (% of GDP)"/>
    <n v="11.1"/>
    <n v="132"/>
    <s v="132. Kazakhstan"/>
  </r>
  <r>
    <x v="58"/>
    <s v="Budget (% of GDP)"/>
    <n v="11.1"/>
    <n v="133"/>
    <s v="133. Mexico"/>
  </r>
  <r>
    <x v="129"/>
    <s v="Budget (% of GDP)"/>
    <n v="10.7"/>
    <n v="134"/>
    <s v="134. Tajikistan"/>
  </r>
  <r>
    <x v="145"/>
    <s v="Budget (% of GDP)"/>
    <n v="10.6"/>
    <n v="135"/>
    <s v="135. Cameroon"/>
  </r>
  <r>
    <x v="38"/>
    <s v="Budget (% of GDP)"/>
    <n v="10.3"/>
    <n v="136"/>
    <s v="136. India"/>
  </r>
  <r>
    <x v="70"/>
    <s v="Budget (% of GDP)"/>
    <n v="10.3"/>
    <n v="137"/>
    <s v="137. Pakistan"/>
  </r>
  <r>
    <x v="205"/>
    <s v="Budget (% of GDP)"/>
    <n v="10"/>
    <n v="138"/>
    <s v="138. Singapore"/>
  </r>
  <r>
    <x v="15"/>
    <s v="Budget (% of GDP)"/>
    <n v="9.6"/>
    <n v="139"/>
    <s v="139. Uganda"/>
  </r>
  <r>
    <x v="90"/>
    <s v="Budget (% of GDP)"/>
    <n v="9.5"/>
    <n v="140"/>
    <s v="140. Benin"/>
  </r>
  <r>
    <x v="16"/>
    <s v="Budget (% of GDP)"/>
    <n v="9.4"/>
    <n v="141"/>
    <s v="141. Comoros"/>
  </r>
  <r>
    <x v="94"/>
    <s v="Budget (% of GDP)"/>
    <n v="9"/>
    <n v="142"/>
    <s v="142. Chad"/>
  </r>
  <r>
    <x v="0"/>
    <s v="Budget (% of GDP)"/>
    <n v="9"/>
    <n v="143"/>
    <s v="143. Cote d'Ivoire"/>
  </r>
  <r>
    <x v="78"/>
    <s v="Budget (% of GDP)"/>
    <n v="8.8000000000000007"/>
    <n v="144"/>
    <s v="144. Tanzania"/>
  </r>
  <r>
    <x v="97"/>
    <s v="Budget (% of GDP)"/>
    <n v="8.8000000000000007"/>
    <n v="145"/>
    <s v="145. Viet Nam"/>
  </r>
  <r>
    <x v="154"/>
    <s v="Budget (% of GDP)"/>
    <n v="8.4"/>
    <n v="146"/>
    <s v="146. Puerto Rico (US)"/>
  </r>
  <r>
    <x v="179"/>
    <s v="Budget (% of GDP)"/>
    <n v="8.3000000000000007"/>
    <n v="147"/>
    <s v="147. Central African Republic"/>
  </r>
  <r>
    <x v="162"/>
    <s v="Budget (% of GDP)"/>
    <n v="7.9"/>
    <n v="148"/>
    <s v="148. Congo, Dem. Rep."/>
  </r>
  <r>
    <x v="126"/>
    <s v="Budget (% of GDP)"/>
    <n v="7.5"/>
    <n v="149"/>
    <s v="149. Indonesia"/>
  </r>
  <r>
    <x v="33"/>
    <s v="Budget (% of GDP)"/>
    <n v="7.4"/>
    <n v="150"/>
    <s v="150. Gambia, The"/>
  </r>
  <r>
    <x v="19"/>
    <s v="Budget (% of GDP)"/>
    <n v="7.3"/>
    <n v="151"/>
    <s v="151. Somalia, Fed. Rep."/>
  </r>
  <r>
    <x v="193"/>
    <s v="Budget (% of GDP)"/>
    <n v="6.8"/>
    <n v="152"/>
    <s v="152. Egypt, Arab Rep."/>
  </r>
  <r>
    <x v="64"/>
    <s v="Budget (% of GDP)"/>
    <n v="6.8"/>
    <n v="153"/>
    <s v="153. Sri Lanka"/>
  </r>
  <r>
    <x v="132"/>
    <s v="Budget (% of GDP)"/>
    <n v="6.6"/>
    <n v="154"/>
    <s v="154. Nepal"/>
  </r>
  <r>
    <x v="112"/>
    <s v="Budget (% of GDP)"/>
    <n v="6.3"/>
    <n v="155"/>
    <s v="155. Ethiopia"/>
  </r>
  <r>
    <x v="29"/>
    <s v="Budget (% of GDP)"/>
    <n v="6.2"/>
    <n v="156"/>
    <s v="156. Haiti"/>
  </r>
  <r>
    <x v="111"/>
    <s v="Budget (% of GDP)"/>
    <n v="6.1"/>
    <n v="157"/>
    <s v="157. Cambodia"/>
  </r>
  <r>
    <x v="14"/>
    <s v="Budget (% of GDP)"/>
    <n v="5.7"/>
    <n v="158"/>
    <s v="158. Bangladesh"/>
  </r>
  <r>
    <x v="48"/>
    <s v="Budget (% of GDP)"/>
    <n v="5.5"/>
    <n v="159"/>
    <s v="159. Ghana"/>
  </r>
  <r>
    <x v="50"/>
    <s v="Budget (% of GDP)"/>
    <n v="5.5"/>
    <n v="160"/>
    <s v="160. Sierra Leone"/>
  </r>
  <r>
    <x v="105"/>
    <s v="Budget (% of GDP)"/>
    <n v="5.2"/>
    <n v="161"/>
    <s v="161. Angola"/>
  </r>
  <r>
    <x v="27"/>
    <s v="Budget (% of GDP)"/>
    <n v="5.2"/>
    <n v="162"/>
    <s v="162. Lebanon"/>
  </r>
  <r>
    <x v="169"/>
    <s v="Debt (% of GDP)"/>
    <n v="248"/>
    <n v="1"/>
    <s v="1. Japan"/>
  </r>
  <r>
    <x v="92"/>
    <s v="Debt (% of GDP)"/>
    <n v="176.9"/>
    <n v="2"/>
    <s v="2. Greece"/>
  </r>
  <r>
    <x v="27"/>
    <s v="Debt (% of GDP)"/>
    <n v="138.4"/>
    <n v="3"/>
    <s v="3. Lebanon"/>
  </r>
  <r>
    <x v="81"/>
    <s v="Debt (% of GDP)"/>
    <n v="132.69999999999999"/>
    <n v="4"/>
    <s v="4. Italy"/>
  </r>
  <r>
    <x v="83"/>
    <s v="Debt (% of GDP)"/>
    <n v="129"/>
    <n v="5"/>
    <s v="5. Portugal"/>
  </r>
  <r>
    <x v="32"/>
    <s v="Debt (% of GDP)"/>
    <n v="127.1"/>
    <n v="6"/>
    <s v="6. Eritrea"/>
  </r>
  <r>
    <x v="99"/>
    <s v="Debt (% of GDP)"/>
    <n v="122.1"/>
    <n v="7"/>
    <s v="7. Jamaica"/>
  </r>
  <r>
    <x v="151"/>
    <s v="Debt (% of GDP)"/>
    <n v="120.5"/>
    <n v="8"/>
    <s v="8. Cabo Verde"/>
  </r>
  <r>
    <x v="166"/>
    <s v="Debt (% of GDP)"/>
    <n v="108.9"/>
    <n v="9"/>
    <s v="9. Cyprus"/>
  </r>
  <r>
    <x v="79"/>
    <s v="Debt (% of GDP)"/>
    <n v="106.1"/>
    <n v="10"/>
    <s v="10. Belgium"/>
  </r>
  <r>
    <x v="137"/>
    <s v="Debt (% of GDP)"/>
    <n v="105.5"/>
    <n v="11"/>
    <s v="11. Barbados"/>
  </r>
  <r>
    <x v="72"/>
    <s v="Debt (% of GDP)"/>
    <n v="105.2"/>
    <n v="12"/>
    <s v="12. United States"/>
  </r>
  <r>
    <x v="205"/>
    <s v="Debt (% of GDP)"/>
    <n v="104.7"/>
    <n v="13"/>
    <s v="13. Singapore"/>
  </r>
  <r>
    <x v="146"/>
    <s v="Debt (% of GDP)"/>
    <n v="104.4"/>
    <n v="14"/>
    <s v="14. Antigua and Barbuda"/>
  </r>
  <r>
    <x v="61"/>
    <s v="Debt (% of GDP)"/>
    <n v="99.3"/>
    <n v="15"/>
    <s v="15. Spain"/>
  </r>
  <r>
    <x v="56"/>
    <s v="Debt (% of GDP)"/>
    <n v="96.1"/>
    <n v="16"/>
    <s v="16. France"/>
  </r>
  <r>
    <x v="167"/>
    <s v="Debt (% of GDP)"/>
    <n v="94.8"/>
    <n v="17"/>
    <s v="17. Bhutan"/>
  </r>
  <r>
    <x v="170"/>
    <s v="Debt (% of GDP)"/>
    <n v="93.4"/>
    <n v="18"/>
    <s v="18. Jordan"/>
  </r>
  <r>
    <x v="33"/>
    <s v="Debt (% of GDP)"/>
    <n v="91.6"/>
    <n v="19"/>
    <s v="19. Gambia, The"/>
  </r>
  <r>
    <x v="188"/>
    <s v="Debt (% of GDP)"/>
    <n v="91.5"/>
    <n v="20"/>
    <s v="20. Canada"/>
  </r>
  <r>
    <x v="136"/>
    <s v="Debt (% of GDP)"/>
    <n v="91.4"/>
    <n v="21"/>
    <s v="21. Grenada"/>
  </r>
  <r>
    <x v="100"/>
    <s v="Debt (% of GDP)"/>
    <n v="91.2"/>
    <n v="22"/>
    <s v="22. Mauritania"/>
  </r>
  <r>
    <x v="210"/>
    <s v="Debt (% of GDP)"/>
    <n v="89"/>
    <n v="23"/>
    <s v="23. Egypt"/>
  </r>
  <r>
    <x v="20"/>
    <s v="Debt (% of GDP)"/>
    <n v="89"/>
    <n v="24"/>
    <s v="24. United Kingdom"/>
  </r>
  <r>
    <x v="130"/>
    <s v="Debt (% of GDP)"/>
    <n v="86.7"/>
    <n v="25"/>
    <s v="25. Croatia"/>
  </r>
  <r>
    <x v="120"/>
    <s v="Debt (% of GDP)"/>
    <n v="86.2"/>
    <n v="26"/>
    <s v="26. Austria"/>
  </r>
  <r>
    <x v="55"/>
    <s v="Debt (% of GDP)"/>
    <n v="86"/>
    <n v="27"/>
    <s v="27. Mozambique"/>
  </r>
  <r>
    <x v="122"/>
    <s v="Debt (% of GDP)"/>
    <n v="83.2"/>
    <n v="28"/>
    <s v="28. Slovenia"/>
  </r>
  <r>
    <x v="114"/>
    <s v="Debt (% of GDP)"/>
    <n v="83"/>
    <n v="29"/>
    <s v="29. Dominica"/>
  </r>
  <r>
    <x v="211"/>
    <s v="Debt (% of GDP)"/>
    <n v="82.3"/>
    <n v="30"/>
    <s v="30. São Tomé and Príncipe"/>
  </r>
  <r>
    <x v="184"/>
    <s v="Debt (% of GDP)"/>
    <n v="82.1"/>
    <n v="31"/>
    <s v="31. Belize"/>
  </r>
  <r>
    <x v="17"/>
    <s v="Debt (% of GDP)"/>
    <n v="80.099999999999994"/>
    <n v="32"/>
    <s v="32. Ukraine"/>
  </r>
  <r>
    <x v="212"/>
    <s v="Debt (% of GDP)"/>
    <n v="79.3"/>
    <n v="33"/>
    <s v="33. Saint Vincent and the Grenadines"/>
  </r>
  <r>
    <x v="213"/>
    <s v="Debt (% of GDP)"/>
    <n v="79.2"/>
    <n v="34"/>
    <s v="34. Saint Lucia"/>
  </r>
  <r>
    <x v="36"/>
    <s v="Debt (% of GDP)"/>
    <n v="78.7"/>
    <n v="35"/>
    <s v="35. Ireland"/>
  </r>
  <r>
    <x v="93"/>
    <s v="Debt (% of GDP)"/>
    <n v="77.400000000000006"/>
    <n v="36"/>
    <s v="36. Serbia"/>
  </r>
  <r>
    <x v="64"/>
    <s v="Debt (% of GDP)"/>
    <n v="76"/>
    <n v="37"/>
    <s v="37. Sri Lanka"/>
  </r>
  <r>
    <x v="45"/>
    <s v="Debt (% of GDP)"/>
    <n v="75.3"/>
    <n v="38"/>
    <s v="38. Hungary"/>
  </r>
  <r>
    <x v="181"/>
    <s v="Debt (% of GDP)"/>
    <n v="73.8"/>
    <n v="39"/>
    <s v="39. Libya"/>
  </r>
  <r>
    <x v="128"/>
    <s v="Debt (% of GDP)"/>
    <n v="73.7"/>
    <n v="40"/>
    <s v="40. Brazil"/>
  </r>
  <r>
    <x v="102"/>
    <s v="Debt (% of GDP)"/>
    <n v="73.3"/>
    <n v="41"/>
    <s v="41. Albania"/>
  </r>
  <r>
    <x v="150"/>
    <s v="Debt (% of GDP)"/>
    <n v="73.099999999999994"/>
    <n v="42"/>
    <s v="42. Maldives"/>
  </r>
  <r>
    <x v="31"/>
    <s v="Debt (% of GDP)"/>
    <n v="73"/>
    <n v="43"/>
    <s v="43. Malawi"/>
  </r>
  <r>
    <x v="37"/>
    <s v="Debt (% of GDP)"/>
    <n v="72.900000000000006"/>
    <n v="44"/>
    <s v="44. Sudan"/>
  </r>
  <r>
    <x v="67"/>
    <s v="Debt (% of GDP)"/>
    <n v="71"/>
    <n v="45"/>
    <s v="45. Germany"/>
  </r>
  <r>
    <x v="48"/>
    <s v="Debt (% of GDP)"/>
    <n v="70.8"/>
    <n v="46"/>
    <s v="46. Ghana"/>
  </r>
  <r>
    <x v="214"/>
    <s v="Debt (% of GDP)"/>
    <n v="70.599999999999994"/>
    <n v="47"/>
    <s v="47. Congo, Republic of "/>
  </r>
  <r>
    <x v="38"/>
    <s v="Debt (% of GDP)"/>
    <n v="69.099999999999994"/>
    <n v="48"/>
    <s v="48. India"/>
  </r>
  <r>
    <x v="198"/>
    <s v="Debt (% of GDP)"/>
    <n v="69"/>
    <n v="49"/>
    <s v="49. Seychelles"/>
  </r>
  <r>
    <x v="215"/>
    <s v="Debt (% of GDP)"/>
    <n v="67.8"/>
    <n v="50"/>
    <s v="50. Saint Kitts and Nevis"/>
  </r>
  <r>
    <x v="160"/>
    <s v="Debt (% of GDP)"/>
    <n v="67.599999999999994"/>
    <n v="51"/>
    <s v="51. Iceland"/>
  </r>
  <r>
    <x v="152"/>
    <s v="Debt (% of GDP)"/>
    <n v="67.2"/>
    <n v="52"/>
    <s v="52. Montenegro"/>
  </r>
  <r>
    <x v="216"/>
    <s v="Debt (% of GDP)"/>
    <n v="66.7"/>
    <n v="53"/>
    <s v="53. Yemen"/>
  </r>
  <r>
    <x v="52"/>
    <s v="Debt (% of GDP)"/>
    <n v="66"/>
    <n v="54"/>
    <s v="54. Kyrgyz Republic"/>
  </r>
  <r>
    <x v="53"/>
    <s v="Debt (% of GDP)"/>
    <n v="65.099999999999994"/>
    <n v="55"/>
    <s v="55. Netherlands"/>
  </r>
  <r>
    <x v="3"/>
    <s v="Debt (% of GDP)"/>
    <n v="64.3"/>
    <n v="56"/>
    <s v="56. Uruguay"/>
  </r>
  <r>
    <x v="105"/>
    <s v="Debt (% of GDP)"/>
    <n v="64.2"/>
    <n v="57"/>
    <s v="57. Angola"/>
  </r>
  <r>
    <x v="134"/>
    <s v="Debt (% of GDP)"/>
    <n v="64.099999999999994"/>
    <n v="58"/>
    <s v="58. Israel"/>
  </r>
  <r>
    <x v="26"/>
    <s v="Debt (% of GDP)"/>
    <n v="64.099999999999994"/>
    <n v="59"/>
    <s v="59. Morocco"/>
  </r>
  <r>
    <x v="133"/>
    <s v="Debt (% of GDP)"/>
    <n v="64"/>
    <n v="60"/>
    <s v="60. Malta"/>
  </r>
  <r>
    <x v="217"/>
    <s v="Debt (% of GDP)"/>
    <n v="63.7"/>
    <n v="61"/>
    <s v="61. South Sudan, Republic of"/>
  </r>
  <r>
    <x v="202"/>
    <s v="Debt (% of GDP)"/>
    <n v="63.6"/>
    <n v="62"/>
    <s v="62. Bahamas, The"/>
  </r>
  <r>
    <x v="70"/>
    <s v="Debt (% of GDP)"/>
    <n v="63.6"/>
    <n v="63"/>
    <s v="63. Pakistan"/>
  </r>
  <r>
    <x v="185"/>
    <s v="Debt (% of GDP)"/>
    <n v="62.5"/>
    <n v="64"/>
    <s v="64. Finland"/>
  </r>
  <r>
    <x v="21"/>
    <s v="Debt (% of GDP)"/>
    <n v="62.3"/>
    <n v="65"/>
    <s v="65. Togo"/>
  </r>
  <r>
    <x v="174"/>
    <s v="Debt (% of GDP)"/>
    <n v="61.9"/>
    <n v="66"/>
    <s v="66. Bahrain"/>
  </r>
  <r>
    <x v="218"/>
    <s v="Debt (% of GDP)"/>
    <n v="61.9"/>
    <n v="67"/>
    <s v="67. Lao P.D.R."/>
  </r>
  <r>
    <x v="141"/>
    <s v="Debt (% of GDP)"/>
    <n v="61.4"/>
    <n v="68"/>
    <s v="68. Iraq"/>
  </r>
  <r>
    <x v="91"/>
    <s v="Debt (% of GDP)"/>
    <n v="58.9"/>
    <n v="69"/>
    <s v="69. Zimbabwe"/>
  </r>
  <r>
    <x v="44"/>
    <s v="Debt (% of GDP)"/>
    <n v="58.7"/>
    <n v="70"/>
    <s v="70. El Salvador"/>
  </r>
  <r>
    <x v="85"/>
    <s v="Debt (% of GDP)"/>
    <n v="58.6"/>
    <n v="71"/>
    <s v="71. Mauritius"/>
  </r>
  <r>
    <x v="7"/>
    <s v="Debt (% of GDP)"/>
    <n v="58.3"/>
    <n v="72"/>
    <s v="72. Lesotho"/>
  </r>
  <r>
    <x v="219"/>
    <s v="Debt (% of GDP)"/>
    <n v="58.3"/>
    <n v="73"/>
    <s v="73. Vietnam"/>
  </r>
  <r>
    <x v="39"/>
    <s v="Debt (% of GDP)"/>
    <n v="58.2"/>
    <n v="74"/>
    <s v="74. Tuvalu"/>
  </r>
  <r>
    <x v="156"/>
    <s v="Debt (% of GDP)"/>
    <n v="57.8"/>
    <n v="75"/>
    <s v="75. Samoa"/>
  </r>
  <r>
    <x v="131"/>
    <s v="Debt (% of GDP)"/>
    <n v="57.4"/>
    <n v="76"/>
    <s v="76. Malaysia"/>
  </r>
  <r>
    <x v="63"/>
    <s v="Debt (% of GDP)"/>
    <n v="56.8"/>
    <n v="77"/>
    <s v="77. Senegal"/>
  </r>
  <r>
    <x v="117"/>
    <s v="Debt (% of GDP)"/>
    <n v="56.3"/>
    <n v="78"/>
    <s v="78. Zambia"/>
  </r>
  <r>
    <x v="112"/>
    <s v="Debt (% of GDP)"/>
    <n v="56.1"/>
    <n v="79"/>
    <s v="79. Ethiopia"/>
  </r>
  <r>
    <x v="34"/>
    <s v="Debt (% of GDP)"/>
    <n v="55.7"/>
    <n v="80"/>
    <s v="80. Tunisia"/>
  </r>
  <r>
    <x v="58"/>
    <s v="Debt (% of GDP)"/>
    <n v="54"/>
    <n v="81"/>
    <s v="81. Mexico"/>
  </r>
  <r>
    <x v="96"/>
    <s v="Debt (% of GDP)"/>
    <n v="53.7"/>
    <n v="82"/>
    <s v="82. Belarus"/>
  </r>
  <r>
    <x v="13"/>
    <s v="Debt (% of GDP)"/>
    <n v="53"/>
    <n v="83"/>
    <s v="83. Guinea"/>
  </r>
  <r>
    <x v="220"/>
    <s v="Debt (% of GDP)"/>
    <n v="53"/>
    <n v="84"/>
    <s v="84. Puerto Rico"/>
  </r>
  <r>
    <x v="123"/>
    <s v="Debt (% of GDP)"/>
    <n v="52.9"/>
    <n v="85"/>
    <s v="85. Guinea-Bissau"/>
  </r>
  <r>
    <x v="103"/>
    <s v="Debt (% of GDP)"/>
    <n v="52.9"/>
    <n v="86"/>
    <s v="86. Slovak Republic"/>
  </r>
  <r>
    <x v="87"/>
    <s v="Debt (% of GDP)"/>
    <n v="52.1"/>
    <n v="87"/>
    <s v="87. Argentina"/>
  </r>
  <r>
    <x v="62"/>
    <s v="Debt (% of GDP)"/>
    <n v="51.3"/>
    <n v="88"/>
    <s v="88. Kenya"/>
  </r>
  <r>
    <x v="66"/>
    <s v="Debt (% of GDP)"/>
    <n v="51.3"/>
    <n v="89"/>
    <s v="89. Poland"/>
  </r>
  <r>
    <x v="108"/>
    <s v="Debt (% of GDP)"/>
    <n v="50.6"/>
    <n v="90"/>
    <s v="90. Colombia"/>
  </r>
  <r>
    <x v="6"/>
    <s v="Debt (% of GDP)"/>
    <n v="49.8"/>
    <n v="91"/>
    <s v="91. South Africa"/>
  </r>
  <r>
    <x v="221"/>
    <s v="Debt (% of GDP)"/>
    <n v="48.9"/>
    <n v="92"/>
    <s v="92. Côte d'Ivoire"/>
  </r>
  <r>
    <x v="179"/>
    <s v="Debt (% of GDP)"/>
    <n v="48.5"/>
    <n v="93"/>
    <s v="93. Central African Republic"/>
  </r>
  <r>
    <x v="197"/>
    <s v="Debt (% of GDP)"/>
    <n v="48.2"/>
    <n v="94"/>
    <s v="94. Guyana"/>
  </r>
  <r>
    <x v="158"/>
    <s v="Debt (% of GDP)"/>
    <n v="48.1"/>
    <n v="95"/>
    <s v="95. Fiji"/>
  </r>
  <r>
    <x v="40"/>
    <s v="Debt (% of GDP)"/>
    <n v="46.9"/>
    <n v="96"/>
    <s v="96. Armenia"/>
  </r>
  <r>
    <x v="118"/>
    <s v="Debt (% of GDP)"/>
    <n v="46.8"/>
    <n v="97"/>
    <s v="97. Honduras"/>
  </r>
  <r>
    <x v="104"/>
    <s v="Debt (% of GDP)"/>
    <n v="45.7"/>
    <n v="98"/>
    <s v="98. Switzerland"/>
  </r>
  <r>
    <x v="28"/>
    <s v="Debt (% of GDP)"/>
    <n v="45.5"/>
    <n v="99"/>
    <s v="99. Denmark"/>
  </r>
  <r>
    <x v="173"/>
    <s v="Debt (% of GDP)"/>
    <n v="45.5"/>
    <n v="100"/>
    <s v="100. Trinidad and Tobago"/>
  </r>
  <r>
    <x v="107"/>
    <s v="Debt (% of GDP)"/>
    <n v="45.1"/>
    <n v="101"/>
    <s v="101. Niger"/>
  </r>
  <r>
    <x v="142"/>
    <s v="Debt (% of GDP)"/>
    <n v="44.7"/>
    <n v="102"/>
    <s v="102. Bosnia and Herzegovina"/>
  </r>
  <r>
    <x v="182"/>
    <s v="Debt (% of GDP)"/>
    <n v="44"/>
    <n v="103"/>
    <s v="103. Gabon"/>
  </r>
  <r>
    <x v="50"/>
    <s v="Debt (% of GDP)"/>
    <n v="43.8"/>
    <n v="104"/>
    <s v="104. Sierra Leone"/>
  </r>
  <r>
    <x v="207"/>
    <s v="Debt (% of GDP)"/>
    <n v="43.5"/>
    <n v="105"/>
    <s v="105. Suriname"/>
  </r>
  <r>
    <x v="186"/>
    <s v="Debt (% of GDP)"/>
    <n v="43.4"/>
    <n v="106"/>
    <s v="106. Sweden"/>
  </r>
  <r>
    <x v="222"/>
    <s v="Debt (% of GDP)"/>
    <n v="42.9"/>
    <n v="107"/>
    <s v="107. China, People's Republic of"/>
  </r>
  <r>
    <x v="73"/>
    <s v="Debt (% of GDP)"/>
    <n v="42.8"/>
    <n v="108"/>
    <s v="108. Lithuania"/>
  </r>
  <r>
    <x v="82"/>
    <s v="Debt (% of GDP)"/>
    <n v="42.7"/>
    <n v="109"/>
    <s v="109. Thailand"/>
  </r>
  <r>
    <x v="94"/>
    <s v="Debt (% of GDP)"/>
    <n v="42.6"/>
    <n v="110"/>
    <s v="110. Chad"/>
  </r>
  <r>
    <x v="2"/>
    <s v="Debt (% of GDP)"/>
    <n v="42.5"/>
    <n v="111"/>
    <s v="111. Burundi"/>
  </r>
  <r>
    <x v="115"/>
    <s v="Debt (% of GDP)"/>
    <n v="42.4"/>
    <n v="112"/>
    <s v="112. Costa Rica"/>
  </r>
  <r>
    <x v="113"/>
    <s v="Debt (% of GDP)"/>
    <n v="41.5"/>
    <n v="113"/>
    <s v="113. Georgia"/>
  </r>
  <r>
    <x v="10"/>
    <s v="Debt (% of GDP)"/>
    <n v="41.5"/>
    <n v="114"/>
    <s v="114. Moldova"/>
  </r>
  <r>
    <x v="223"/>
    <s v="Debt (% of GDP)"/>
    <n v="41.5"/>
    <n v="115"/>
    <s v="115. Venezuela"/>
  </r>
  <r>
    <x v="224"/>
    <s v="Debt (% of GDP)"/>
    <n v="40.299999999999997"/>
    <n v="116"/>
    <s v="116. Czech Republic"/>
  </r>
  <r>
    <x v="189"/>
    <s v="Debt (% of GDP)"/>
    <n v="39.799999999999997"/>
    <n v="117"/>
    <s v="117. Qatar"/>
  </r>
  <r>
    <x v="12"/>
    <s v="Debt (% of GDP)"/>
    <n v="39.5"/>
    <n v="118"/>
    <s v="118. Djibouti"/>
  </r>
  <r>
    <x v="90"/>
    <s v="Debt (% of GDP)"/>
    <n v="39.299999999999997"/>
    <n v="119"/>
    <s v="119. Benin"/>
  </r>
  <r>
    <x v="49"/>
    <s v="Debt (% of GDP)"/>
    <n v="39.299999999999997"/>
    <n v="120"/>
    <s v="120. Romania"/>
  </r>
  <r>
    <x v="147"/>
    <s v="Debt (% of GDP)"/>
    <n v="39.200000000000003"/>
    <n v="121"/>
    <s v="121. Liberia"/>
  </r>
  <r>
    <x v="125"/>
    <s v="Debt (% of GDP)"/>
    <n v="38.799999999999997"/>
    <n v="122"/>
    <s v="122. Panama"/>
  </r>
  <r>
    <x v="225"/>
    <s v="Debt (% of GDP)"/>
    <n v="38"/>
    <n v="123"/>
    <s v="123. North Macedonia "/>
  </r>
  <r>
    <x v="226"/>
    <s v="Debt (% of GDP)"/>
    <n v="37.9"/>
    <n v="124"/>
    <s v="124. Korea, Republic of"/>
  </r>
  <r>
    <x v="68"/>
    <s v="Debt (% of GDP)"/>
    <n v="37.6"/>
    <n v="125"/>
    <s v="125. Australia"/>
  </r>
  <r>
    <x v="8"/>
    <s v="Debt (% of GDP)"/>
    <n v="37.299999999999997"/>
    <n v="126"/>
    <s v="126. Rwanda"/>
  </r>
  <r>
    <x v="227"/>
    <s v="Debt (% of GDP)"/>
    <n v="36.5"/>
    <n v="127"/>
    <s v="127. Taiwan Province of China"/>
  </r>
  <r>
    <x v="78"/>
    <s v="Debt (% of GDP)"/>
    <n v="36.5"/>
    <n v="128"/>
    <s v="128. Tanzania"/>
  </r>
  <r>
    <x v="109"/>
    <s v="Debt (% of GDP)"/>
    <n v="36.200000000000003"/>
    <n v="129"/>
    <s v="129. Bolivia"/>
  </r>
  <r>
    <x v="18"/>
    <s v="Debt (% of GDP)"/>
    <n v="35.5"/>
    <n v="130"/>
    <s v="130. Madagascar"/>
  </r>
  <r>
    <x v="47"/>
    <s v="Debt (% of GDP)"/>
    <n v="34.9"/>
    <n v="131"/>
    <s v="131. Dominican Republic"/>
  </r>
  <r>
    <x v="119"/>
    <s v="Debt (% of GDP)"/>
    <n v="34.9"/>
    <n v="132"/>
    <s v="132. Latvia"/>
  </r>
  <r>
    <x v="86"/>
    <s v="Debt (% of GDP)"/>
    <n v="34.799999999999997"/>
    <n v="133"/>
    <s v="133. Philippines"/>
  </r>
  <r>
    <x v="69"/>
    <s v="Debt (% of GDP)"/>
    <n v="34.6"/>
    <n v="134"/>
    <s v="134. Namibia"/>
  </r>
  <r>
    <x v="15"/>
    <s v="Debt (% of GDP)"/>
    <n v="34.4"/>
    <n v="135"/>
    <s v="135. Uganda"/>
  </r>
  <r>
    <x v="149"/>
    <s v="Debt (% of GDP)"/>
    <n v="34.299999999999997"/>
    <n v="136"/>
    <s v="136. Myanmar"/>
  </r>
  <r>
    <x v="129"/>
    <s v="Debt (% of GDP)"/>
    <n v="34.1"/>
    <n v="137"/>
    <s v="137. Tajikistan"/>
  </r>
  <r>
    <x v="144"/>
    <s v="Debt (% of GDP)"/>
    <n v="33.799999999999997"/>
    <n v="138"/>
    <s v="138. Ecuador"/>
  </r>
  <r>
    <x v="98"/>
    <s v="Debt (% of GDP)"/>
    <n v="33.700000000000003"/>
    <n v="139"/>
    <s v="139. Marshall Islands"/>
  </r>
  <r>
    <x v="228"/>
    <s v="Debt (% of GDP)"/>
    <n v="32.9"/>
    <n v="140"/>
    <s v="140. Türkiye, Republic of"/>
  </r>
  <r>
    <x v="54"/>
    <s v="Debt (% of GDP)"/>
    <n v="32.799999999999997"/>
    <n v="141"/>
    <s v="141. Burkina Faso"/>
  </r>
  <r>
    <x v="111"/>
    <s v="Debt (% of GDP)"/>
    <n v="32.5"/>
    <n v="142"/>
    <s v="142. Cambodia"/>
  </r>
  <r>
    <x v="14"/>
    <s v="Debt (% of GDP)"/>
    <n v="31.7"/>
    <n v="143"/>
    <s v="143. Bangladesh"/>
  </r>
  <r>
    <x v="110"/>
    <s v="Debt (% of GDP)"/>
    <n v="30.9"/>
    <n v="144"/>
    <s v="144. Mali"/>
  </r>
  <r>
    <x v="199"/>
    <s v="Debt (% of GDP)"/>
    <n v="30.6"/>
    <n v="145"/>
    <s v="145. Papua New Guinea"/>
  </r>
  <r>
    <x v="29"/>
    <s v="Debt (% of GDP)"/>
    <n v="30.1"/>
    <n v="146"/>
    <s v="146. Haiti"/>
  </r>
  <r>
    <x v="106"/>
    <s v="Debt (% of GDP)"/>
    <n v="30"/>
    <n v="147"/>
    <s v="147. New Zealand"/>
  </r>
  <r>
    <x v="88"/>
    <s v="Debt (% of GDP)"/>
    <n v="29.4"/>
    <n v="148"/>
    <s v="148. Nicaragua"/>
  </r>
  <r>
    <x v="145"/>
    <s v="Debt (% of GDP)"/>
    <n v="29"/>
    <n v="149"/>
    <s v="149. Cameroon"/>
  </r>
  <r>
    <x v="43"/>
    <s v="Debt (% of GDP)"/>
    <n v="28.3"/>
    <n v="150"/>
    <s v="150. Azerbaijan"/>
  </r>
  <r>
    <x v="132"/>
    <s v="Debt (% of GDP)"/>
    <n v="28"/>
    <n v="151"/>
    <s v="151. Nepal"/>
  </r>
  <r>
    <x v="200"/>
    <s v="Debt (% of GDP)"/>
    <n v="27.9"/>
    <n v="152"/>
    <s v="152. Norway"/>
  </r>
  <r>
    <x v="126"/>
    <s v="Debt (% of GDP)"/>
    <n v="27.3"/>
    <n v="153"/>
    <s v="153. Indonesia"/>
  </r>
  <r>
    <x v="229"/>
    <s v="Debt (% of GDP)"/>
    <n v="26.4"/>
    <n v="154"/>
    <s v="154. Micronesia, Fed. States of"/>
  </r>
  <r>
    <x v="71"/>
    <s v="Debt (% of GDP)"/>
    <n v="26.3"/>
    <n v="155"/>
    <s v="155. Bulgaria"/>
  </r>
  <r>
    <x v="163"/>
    <s v="Debt (% of GDP)"/>
    <n v="25.6"/>
    <n v="156"/>
    <s v="156. Vanuatu"/>
  </r>
  <r>
    <x v="16"/>
    <s v="Debt (% of GDP)"/>
    <n v="25.4"/>
    <n v="157"/>
    <s v="157. Comoros"/>
  </r>
  <r>
    <x v="84"/>
    <s v="Debt (% of GDP)"/>
    <n v="24.2"/>
    <n v="158"/>
    <s v="158. Guatemala"/>
  </r>
  <r>
    <x v="51"/>
    <s v="Debt (% of GDP)"/>
    <n v="24.2"/>
    <n v="159"/>
    <s v="159. Paraguay"/>
  </r>
  <r>
    <x v="153"/>
    <s v="Debt (% of GDP)"/>
    <n v="24"/>
    <n v="160"/>
    <s v="160. Peru"/>
  </r>
  <r>
    <x v="1"/>
    <s v="Debt (% of GDP)"/>
    <n v="23.2"/>
    <n v="161"/>
    <s v="161. Turkmenistan"/>
  </r>
  <r>
    <x v="89"/>
    <s v="Debt (% of GDP)"/>
    <n v="23.1"/>
    <n v="162"/>
    <s v="162. Kiribati"/>
  </r>
  <r>
    <x v="230"/>
    <s v="Debt (% of GDP)"/>
    <n v="22.2"/>
    <n v="163"/>
    <s v="163. Anguilla"/>
  </r>
  <r>
    <x v="5"/>
    <s v="Debt (% of GDP)"/>
    <n v="21.9"/>
    <n v="164"/>
    <s v="164. Kazakhstan"/>
  </r>
  <r>
    <x v="57"/>
    <s v="Debt (% of GDP)"/>
    <n v="21.5"/>
    <n v="165"/>
    <s v="165. Luxembourg"/>
  </r>
  <r>
    <x v="101"/>
    <s v="Debt (% of GDP)"/>
    <n v="19.899999999999999"/>
    <n v="166"/>
    <s v="166. San Marino"/>
  </r>
  <r>
    <x v="231"/>
    <s v="Debt (% of GDP)"/>
    <n v="18.899999999999999"/>
    <n v="167"/>
    <s v="167. Congo, Dem. Rep. of the"/>
  </r>
  <r>
    <x v="191"/>
    <s v="Debt (% of GDP)"/>
    <n v="18.100000000000001"/>
    <n v="168"/>
    <s v="168. United Arab Emirates"/>
  </r>
  <r>
    <x v="165"/>
    <s v="Debt (% of GDP)"/>
    <n v="17.5"/>
    <n v="169"/>
    <s v="169. Chile"/>
  </r>
  <r>
    <x v="23"/>
    <s v="Debt (% of GDP)"/>
    <n v="17.3"/>
    <n v="170"/>
    <s v="170. Eswatini"/>
  </r>
  <r>
    <x v="75"/>
    <s v="Debt (% of GDP)"/>
    <n v="17"/>
    <n v="171"/>
    <s v="171. Botswana"/>
  </r>
  <r>
    <x v="168"/>
    <s v="Debt (% of GDP)"/>
    <n v="16.399999999999999"/>
    <n v="172"/>
    <s v="172. Russian Federation"/>
  </r>
  <r>
    <x v="232"/>
    <s v="Debt (% of GDP)"/>
    <n v="15.9"/>
    <n v="173"/>
    <s v="173. Iran"/>
  </r>
  <r>
    <x v="192"/>
    <s v="Debt (% of GDP)"/>
    <n v="14.9"/>
    <n v="174"/>
    <s v="174. Oman"/>
  </r>
  <r>
    <x v="196"/>
    <s v="Debt (% of GDP)"/>
    <n v="14"/>
    <n v="175"/>
    <s v="175. Equatorial Guinea"/>
  </r>
  <r>
    <x v="9"/>
    <s v="Debt (% of GDP)"/>
    <n v="11.5"/>
    <n v="176"/>
    <s v="176. Nigeria"/>
  </r>
  <r>
    <x v="183"/>
    <s v="Debt (% of GDP)"/>
    <n v="11.2"/>
    <n v="177"/>
    <s v="177. Kuwait"/>
  </r>
  <r>
    <x v="42"/>
    <s v="Debt (% of GDP)"/>
    <n v="10.8"/>
    <n v="178"/>
    <s v="178. Uzbekistan"/>
  </r>
  <r>
    <x v="194"/>
    <s v="Debt (% of GDP)"/>
    <n v="10.4"/>
    <n v="179"/>
    <s v="179. Solomon Islands"/>
  </r>
  <r>
    <x v="138"/>
    <s v="Debt (% of GDP)"/>
    <n v="9.6999999999999993"/>
    <n v="180"/>
    <s v="180. Estonia"/>
  </r>
  <r>
    <x v="157"/>
    <s v="Debt (% of GDP)"/>
    <n v="9.1"/>
    <n v="181"/>
    <s v="181. Algeria"/>
  </r>
  <r>
    <x v="41"/>
    <s v="Debt (% of GDP)"/>
    <n v="6.3"/>
    <n v="182"/>
    <s v="182. Afghanistan"/>
  </r>
  <r>
    <x v="4"/>
    <s v="Debt (% of GDP)"/>
    <n v="5"/>
    <n v="183"/>
    <s v="183. Saudi Arabia"/>
  </r>
  <r>
    <x v="201"/>
    <s v="Debt (% of GDP)"/>
    <n v="2.8"/>
    <n v="184"/>
    <s v="184. Brunei Darussalam"/>
  </r>
  <r>
    <x v="233"/>
    <s v="Debt (% of GDP)"/>
    <n v="0.1"/>
    <n v="185"/>
    <s v="185. Hong Kong SAR"/>
  </r>
  <r>
    <x v="208"/>
    <s v="Density"/>
    <n v="20524.2"/>
    <n v="1"/>
    <s v="1. Macao SAR, China"/>
  </r>
  <r>
    <x v="234"/>
    <s v="Density"/>
    <n v="18680.900000000001"/>
    <n v="2"/>
    <s v="2. Monaco"/>
  </r>
  <r>
    <x v="205"/>
    <s v="Density"/>
    <n v="7851"/>
    <n v="3"/>
    <s v="3. Singapore"/>
  </r>
  <r>
    <x v="195"/>
    <s v="Density"/>
    <n v="6996.3"/>
    <n v="4"/>
    <s v="4. Hong Kong SAR, China"/>
  </r>
  <r>
    <x v="174"/>
    <s v="Density"/>
    <n v="1930"/>
    <n v="5"/>
    <s v="5. Bahrain"/>
  </r>
  <r>
    <x v="150"/>
    <s v="Density"/>
    <n v="1747"/>
    <n v="6"/>
    <s v="6. Maldives"/>
  </r>
  <r>
    <x v="133"/>
    <s v="Density"/>
    <n v="1659.7"/>
    <n v="7"/>
    <s v="7. Malta"/>
  </r>
  <r>
    <x v="14"/>
    <s v="Density"/>
    <n v="1300.4000000000001"/>
    <n v="8"/>
    <s v="8. Bangladesh"/>
  </r>
  <r>
    <x v="235"/>
    <s v="Density"/>
    <n v="1239.4000000000001"/>
    <n v="9"/>
    <s v="9. Sint Maarten (Dutch part)"/>
  </r>
  <r>
    <x v="190"/>
    <s v="Density"/>
    <n v="1199.0999999999999"/>
    <n v="10"/>
    <s v="10. Bermuda"/>
  </r>
  <r>
    <x v="30"/>
    <s v="Density"/>
    <n v="837.1"/>
    <n v="11"/>
    <s v="11. West Bank and Gaza"/>
  </r>
  <r>
    <x v="137"/>
    <s v="Density"/>
    <n v="656.6"/>
    <n v="12"/>
    <s v="12. Barbados"/>
  </r>
  <r>
    <x v="85"/>
    <s v="Density"/>
    <n v="632.20000000000005"/>
    <n v="13"/>
    <s v="13. Mauritius"/>
  </r>
  <r>
    <x v="172"/>
    <s v="Density"/>
    <n v="596.20000000000005"/>
    <n v="14"/>
    <s v="14. Aruba"/>
  </r>
  <r>
    <x v="148"/>
    <s v="Density"/>
    <n v="590.1"/>
    <n v="15"/>
    <s v="15. Nauru"/>
  </r>
  <r>
    <x v="236"/>
    <s v="Density"/>
    <n v="577.4"/>
    <n v="16"/>
    <s v="16. St. Martin (French part)"/>
  </r>
  <r>
    <x v="101"/>
    <s v="Density"/>
    <n v="562.6"/>
    <n v="17"/>
    <s v="17. San Marino"/>
  </r>
  <r>
    <x v="27"/>
    <s v="Density"/>
    <n v="561.5"/>
    <n v="18"/>
    <s v="18. Lebanon"/>
  </r>
  <r>
    <x v="8"/>
    <s v="Density"/>
    <n v="553.29999999999995"/>
    <n v="19"/>
    <s v="19. Rwanda"/>
  </r>
  <r>
    <x v="161"/>
    <s v="Density"/>
    <n v="529.4"/>
    <n v="20"/>
    <s v="20. Korea, Rep."/>
  </r>
  <r>
    <x v="53"/>
    <s v="Density"/>
    <n v="525.70000000000005"/>
    <n v="21"/>
    <s v="21. Netherlands"/>
  </r>
  <r>
    <x v="2"/>
    <s v="Density"/>
    <n v="518.70000000000005"/>
    <n v="22"/>
    <s v="22. Burundi"/>
  </r>
  <r>
    <x v="38"/>
    <s v="Density"/>
    <n v="479.4"/>
    <n v="23"/>
    <s v="23. India"/>
  </r>
  <r>
    <x v="16"/>
    <s v="Density"/>
    <n v="448.2"/>
    <n v="24"/>
    <s v="24. Comoros"/>
  </r>
  <r>
    <x v="134"/>
    <s v="Density"/>
    <n v="441.7"/>
    <n v="25"/>
    <s v="25. Israel"/>
  </r>
  <r>
    <x v="29"/>
    <s v="Density"/>
    <n v="417.4"/>
    <n v="26"/>
    <s v="26. Haiti"/>
  </r>
  <r>
    <x v="79"/>
    <s v="Density"/>
    <n v="383"/>
    <n v="27"/>
    <s v="27. Belgium"/>
  </r>
  <r>
    <x v="86"/>
    <s v="Density"/>
    <n v="382.2"/>
    <n v="28"/>
    <s v="28. Philippines"/>
  </r>
  <r>
    <x v="154"/>
    <s v="Density"/>
    <n v="363"/>
    <n v="29"/>
    <s v="29. Puerto Rico (US)"/>
  </r>
  <r>
    <x v="64"/>
    <s v="Density"/>
    <n v="358.6"/>
    <n v="30"/>
    <s v="30. Sri Lanka"/>
  </r>
  <r>
    <x v="136"/>
    <s v="Density"/>
    <n v="343.9"/>
    <n v="31"/>
    <s v="31. Grenada"/>
  </r>
  <r>
    <x v="169"/>
    <s v="Density"/>
    <n v="343.3"/>
    <n v="32"/>
    <s v="32. Japan"/>
  </r>
  <r>
    <x v="237"/>
    <s v="Density"/>
    <n v="337.8"/>
    <n v="33"/>
    <s v="33. Curacao"/>
  </r>
  <r>
    <x v="39"/>
    <s v="Density"/>
    <n v="333.1"/>
    <n v="34"/>
    <s v="34. Tuvalu"/>
  </r>
  <r>
    <x v="97"/>
    <s v="Density"/>
    <n v="318"/>
    <n v="35"/>
    <s v="35. Viet Nam"/>
  </r>
  <r>
    <x v="70"/>
    <s v="Density"/>
    <n v="316.10000000000002"/>
    <n v="36"/>
    <s v="36. Pakistan"/>
  </r>
  <r>
    <x v="124"/>
    <s v="Density"/>
    <n v="305.89999999999998"/>
    <n v="37"/>
    <s v="37. Guam"/>
  </r>
  <r>
    <x v="44"/>
    <s v="Density"/>
    <n v="303.10000000000002"/>
    <n v="38"/>
    <s v="38. El Salvador"/>
  </r>
  <r>
    <x v="177"/>
    <s v="Density"/>
    <n v="301.2"/>
    <n v="39"/>
    <s v="39. Virgin Islands (U.S.)"/>
  </r>
  <r>
    <x v="171"/>
    <s v="Density"/>
    <n v="298.3"/>
    <n v="40"/>
    <s v="40. Cayman Islands"/>
  </r>
  <r>
    <x v="159"/>
    <s v="Density"/>
    <n v="293.10000000000002"/>
    <n v="41"/>
    <s v="41. St. Lucia"/>
  </r>
  <r>
    <x v="20"/>
    <s v="Density"/>
    <n v="279.39999999999998"/>
    <n v="42"/>
    <s v="42. United Kingdom"/>
  </r>
  <r>
    <x v="173"/>
    <s v="Density"/>
    <n v="266.2"/>
    <n v="43"/>
    <s v="43. Trinidad and Tobago"/>
  </r>
  <r>
    <x v="99"/>
    <s v="Density"/>
    <n v="262.2"/>
    <n v="44"/>
    <s v="44. Jamaica"/>
  </r>
  <r>
    <x v="155"/>
    <s v="Density"/>
    <n v="261.7"/>
    <n v="45"/>
    <s v="45. St. Vincent and the Grenadines"/>
  </r>
  <r>
    <x v="198"/>
    <s v="Density"/>
    <n v="260.60000000000002"/>
    <n v="46"/>
    <s v="46. Seychelles"/>
  </r>
  <r>
    <x v="33"/>
    <s v="Density"/>
    <n v="260.5"/>
    <n v="47"/>
    <s v="47. Gambia, The"/>
  </r>
  <r>
    <x v="183"/>
    <s v="Density"/>
    <n v="257.60000000000002"/>
    <n v="48"/>
    <s v="48. Kuwait"/>
  </r>
  <r>
    <x v="57"/>
    <s v="Density"/>
    <n v="253.7"/>
    <n v="49"/>
    <s v="49. Luxembourg"/>
  </r>
  <r>
    <x v="116"/>
    <s v="Density"/>
    <n v="246.8"/>
    <n v="50"/>
    <s v="50. Liechtenstein"/>
  </r>
  <r>
    <x v="9"/>
    <s v="Density"/>
    <n v="245"/>
    <n v="51"/>
    <s v="51. Nigeria"/>
  </r>
  <r>
    <x v="164"/>
    <s v="Density"/>
    <n v="241.7"/>
    <n v="52"/>
    <s v="52. American Samoa"/>
  </r>
  <r>
    <x v="67"/>
    <s v="Density"/>
    <n v="239.9"/>
    <n v="53"/>
    <s v="53. Germany"/>
  </r>
  <r>
    <x v="15"/>
    <s v="Density"/>
    <n v="236"/>
    <n v="54"/>
    <s v="54. Uganda"/>
  </r>
  <r>
    <x v="77"/>
    <s v="Density"/>
    <n v="235.7"/>
    <n v="55"/>
    <s v="55. Sao Tome and Principe"/>
  </r>
  <r>
    <x v="47"/>
    <s v="Density"/>
    <n v="233"/>
    <n v="56"/>
    <s v="56. Dominican Republic"/>
  </r>
  <r>
    <x v="189"/>
    <s v="Density"/>
    <n v="231.3"/>
    <n v="57"/>
    <s v="57. Qatar"/>
  </r>
  <r>
    <x v="98"/>
    <s v="Density"/>
    <n v="222.7"/>
    <n v="58"/>
    <s v="58. Marshall Islands"/>
  </r>
  <r>
    <x v="104"/>
    <s v="Density"/>
    <n v="222.2"/>
    <n v="59"/>
    <s v="59. Switzerland"/>
  </r>
  <r>
    <x v="31"/>
    <s v="Density"/>
    <n v="218.2"/>
    <n v="60"/>
    <s v="60. Malawi"/>
  </r>
  <r>
    <x v="146"/>
    <s v="Density"/>
    <n v="211"/>
    <n v="61"/>
    <s v="61. Antigua and Barbuda"/>
  </r>
  <r>
    <x v="132"/>
    <s v="Density"/>
    <n v="207.3"/>
    <n v="62"/>
    <s v="62. Nepal"/>
  </r>
  <r>
    <x v="81"/>
    <s v="Density"/>
    <n v="199.6"/>
    <n v="63"/>
    <s v="63. Italy"/>
  </r>
  <r>
    <x v="139"/>
    <s v="Density"/>
    <n v="179.7"/>
    <n v="64"/>
    <s v="64. St. Kitts and Nevis"/>
  </r>
  <r>
    <x v="95"/>
    <s v="Density"/>
    <n v="169.6"/>
    <n v="65"/>
    <s v="65. Andorra"/>
  </r>
  <r>
    <x v="21"/>
    <s v="Density"/>
    <n v="167.1"/>
    <n v="66"/>
    <s v="66. Togo"/>
  </r>
  <r>
    <x v="84"/>
    <s v="Density"/>
    <n v="166.6"/>
    <n v="67"/>
    <s v="67. Guatemala"/>
  </r>
  <r>
    <x v="89"/>
    <s v="Density"/>
    <n v="161.1"/>
    <n v="68"/>
    <s v="68. Kiribati"/>
  </r>
  <r>
    <x v="187"/>
    <s v="Density"/>
    <n v="160.19999999999999"/>
    <n v="69"/>
    <s v="69. Micronesia, Fed. Sts."/>
  </r>
  <r>
    <x v="46"/>
    <s v="Density"/>
    <n v="150.4"/>
    <n v="70"/>
    <s v="70. China"/>
  </r>
  <r>
    <x v="28"/>
    <s v="Density"/>
    <n v="147.6"/>
    <n v="71"/>
    <s v="71. Denmark"/>
  </r>
  <r>
    <x v="24"/>
    <s v="Density"/>
    <n v="147.6"/>
    <n v="72"/>
    <s v="72. Isle of Man"/>
  </r>
  <r>
    <x v="126"/>
    <s v="Density"/>
    <n v="147.30000000000001"/>
    <n v="73"/>
    <s v="73. Indonesia"/>
  </r>
  <r>
    <x v="65"/>
    <s v="Density"/>
    <n v="145.9"/>
    <n v="74"/>
    <s v="74. Tonga"/>
  </r>
  <r>
    <x v="48"/>
    <s v="Density"/>
    <n v="145.69999999999999"/>
    <n v="75"/>
    <s v="75. Ghana"/>
  </r>
  <r>
    <x v="166"/>
    <s v="Density"/>
    <n v="144.1"/>
    <n v="76"/>
    <s v="76. Cyprus"/>
  </r>
  <r>
    <x v="191"/>
    <s v="Density"/>
    <n v="141.9"/>
    <n v="77"/>
    <s v="77. United Arab Emirates"/>
  </r>
  <r>
    <x v="82"/>
    <s v="Density"/>
    <n v="140.4"/>
    <n v="78"/>
    <s v="78. Thailand"/>
  </r>
  <r>
    <x v="74"/>
    <s v="Density"/>
    <n v="138.30000000000001"/>
    <n v="79"/>
    <s v="79. Czechia"/>
  </r>
  <r>
    <x v="151"/>
    <s v="Density"/>
    <n v="129"/>
    <n v="80"/>
    <s v="80. Cabo Verde"/>
  </r>
  <r>
    <x v="170"/>
    <s v="Density"/>
    <n v="126.8"/>
    <n v="81"/>
    <s v="81. Jordan"/>
  </r>
  <r>
    <x v="56"/>
    <s v="Density"/>
    <n v="126.3"/>
    <n v="82"/>
    <s v="82. France"/>
  </r>
  <r>
    <x v="43"/>
    <s v="Density"/>
    <n v="122.7"/>
    <n v="83"/>
    <s v="83. Azerbaijan"/>
  </r>
  <r>
    <x v="11"/>
    <s v="Density"/>
    <n v="122.3"/>
    <n v="84"/>
    <s v="84. Syrian Arab Republic"/>
  </r>
  <r>
    <x v="90"/>
    <s v="Density"/>
    <n v="122"/>
    <n v="85"/>
    <s v="85. Benin"/>
  </r>
  <r>
    <x v="66"/>
    <s v="Density"/>
    <n v="120.3"/>
    <n v="86"/>
    <s v="86. Poland"/>
  </r>
  <r>
    <x v="50"/>
    <s v="Density"/>
    <n v="114.7"/>
    <n v="87"/>
    <s v="87. Sierra Leone"/>
  </r>
  <r>
    <x v="83"/>
    <s v="Density"/>
    <n v="113.9"/>
    <n v="88"/>
    <s v="88. Portugal"/>
  </r>
  <r>
    <x v="193"/>
    <s v="Density"/>
    <n v="113.1"/>
    <n v="89"/>
    <s v="89. Egypt, Arab Rep."/>
  </r>
  <r>
    <x v="103"/>
    <s v="Density"/>
    <n v="113"/>
    <n v="90"/>
    <s v="90. Slovak Republic"/>
  </r>
  <r>
    <x v="112"/>
    <s v="Density"/>
    <n v="111.1"/>
    <n v="91"/>
    <s v="91. Ethiopia"/>
  </r>
  <r>
    <x v="59"/>
    <s v="Density"/>
    <n v="110.4"/>
    <n v="92"/>
    <s v="92. Turkiye"/>
  </r>
  <r>
    <x v="120"/>
    <s v="Density"/>
    <n v="109.6"/>
    <n v="93"/>
    <s v="93. Austria"/>
  </r>
  <r>
    <x v="35"/>
    <s v="Density"/>
    <n v="106.5"/>
    <n v="94"/>
    <s v="94. Cuba"/>
  </r>
  <r>
    <x v="131"/>
    <s v="Density"/>
    <n v="105.6"/>
    <n v="95"/>
    <s v="95. Malaysia"/>
  </r>
  <r>
    <x v="40"/>
    <s v="Density"/>
    <n v="105.3"/>
    <n v="96"/>
    <s v="96. Armenia"/>
  </r>
  <r>
    <x v="45"/>
    <s v="Density"/>
    <n v="105.2"/>
    <n v="97"/>
    <s v="97. Hungary"/>
  </r>
  <r>
    <x v="122"/>
    <s v="Density"/>
    <n v="104.9"/>
    <n v="98"/>
    <s v="98. Slovenia"/>
  </r>
  <r>
    <x v="141"/>
    <s v="Density"/>
    <n v="101.5"/>
    <n v="99"/>
    <s v="99. Iraq"/>
  </r>
  <r>
    <x v="102"/>
    <s v="Density"/>
    <n v="101.4"/>
    <n v="100"/>
    <s v="100. Albania"/>
  </r>
  <r>
    <x v="203"/>
    <s v="Density"/>
    <n v="100.2"/>
    <n v="101"/>
    <s v="101. Northern Mariana Islands"/>
  </r>
  <r>
    <x v="115"/>
    <s v="Density"/>
    <n v="99.5"/>
    <n v="102"/>
    <s v="102. Costa Rica"/>
  </r>
  <r>
    <x v="111"/>
    <s v="Density"/>
    <n v="97.4"/>
    <n v="103"/>
    <s v="103. Cambodia"/>
  </r>
  <r>
    <x v="0"/>
    <s v="Density"/>
    <n v="95.6"/>
    <n v="104"/>
    <s v="104. Cote d'Ivoire"/>
  </r>
  <r>
    <x v="61"/>
    <s v="Density"/>
    <n v="95.6"/>
    <n v="105"/>
    <s v="105. Spain"/>
  </r>
  <r>
    <x v="118"/>
    <s v="Density"/>
    <n v="93.5"/>
    <n v="106"/>
    <s v="106. Honduras"/>
  </r>
  <r>
    <x v="62"/>
    <s v="Density"/>
    <n v="93.4"/>
    <n v="107"/>
    <s v="107. Kenya"/>
  </r>
  <r>
    <x v="140"/>
    <s v="Density"/>
    <n v="92.1"/>
    <n v="108"/>
    <s v="108. Timor-Leste"/>
  </r>
  <r>
    <x v="63"/>
    <s v="Density"/>
    <n v="91.7"/>
    <n v="109"/>
    <s v="109. Senegal"/>
  </r>
  <r>
    <x v="114"/>
    <s v="Density"/>
    <n v="89.1"/>
    <n v="110"/>
    <s v="110. Dominica"/>
  </r>
  <r>
    <x v="10"/>
    <s v="Density"/>
    <n v="88.1"/>
    <n v="111"/>
    <s v="111. Moldova"/>
  </r>
  <r>
    <x v="201"/>
    <s v="Density"/>
    <n v="86.4"/>
    <n v="112"/>
    <s v="112. Brunei Darussalam"/>
  </r>
  <r>
    <x v="26"/>
    <s v="Density"/>
    <n v="83.6"/>
    <n v="113"/>
    <s v="113. Morocco"/>
  </r>
  <r>
    <x v="49"/>
    <s v="Density"/>
    <n v="82.8"/>
    <n v="114"/>
    <s v="114. Romania"/>
  </r>
  <r>
    <x v="149"/>
    <s v="Density"/>
    <n v="82.4"/>
    <n v="115"/>
    <s v="115. Myanmar"/>
  </r>
  <r>
    <x v="54"/>
    <s v="Density"/>
    <n v="82.3"/>
    <n v="116"/>
    <s v="116. Burkina Faso"/>
  </r>
  <r>
    <x v="92"/>
    <s v="Density"/>
    <n v="81"/>
    <n v="117"/>
    <s v="117. Greece"/>
  </r>
  <r>
    <x v="180"/>
    <s v="Density"/>
    <n v="80.8"/>
    <n v="118"/>
    <s v="118. French Polynesia"/>
  </r>
  <r>
    <x v="93"/>
    <s v="Density"/>
    <n v="79.3"/>
    <n v="119"/>
    <s v="119. Serbia"/>
  </r>
  <r>
    <x v="42"/>
    <s v="Density"/>
    <n v="79.3"/>
    <n v="120"/>
    <s v="120. Uzbekistan"/>
  </r>
  <r>
    <x v="34"/>
    <s v="Density"/>
    <n v="78"/>
    <n v="121"/>
    <s v="121. Tunisia"/>
  </r>
  <r>
    <x v="156"/>
    <s v="Density"/>
    <n v="77.400000000000006"/>
    <n v="122"/>
    <s v="122. Samoa"/>
  </r>
  <r>
    <x v="36"/>
    <s v="Density"/>
    <n v="75.7"/>
    <n v="123"/>
    <s v="123. Ireland"/>
  </r>
  <r>
    <x v="7"/>
    <s v="Density"/>
    <n v="75.3"/>
    <n v="124"/>
    <s v="124. Lesotho"/>
  </r>
  <r>
    <x v="123"/>
    <s v="Density"/>
    <n v="74.900000000000006"/>
    <n v="125"/>
    <s v="125. Guinea-Bissau"/>
  </r>
  <r>
    <x v="129"/>
    <s v="Density"/>
    <n v="73.400000000000006"/>
    <n v="126"/>
    <s v="126. Tajikistan"/>
  </r>
  <r>
    <x v="78"/>
    <s v="Density"/>
    <n v="73.099999999999994"/>
    <n v="127"/>
    <s v="127. Tanzania"/>
  </r>
  <r>
    <x v="60"/>
    <s v="Density"/>
    <n v="72.599999999999994"/>
    <n v="128"/>
    <s v="128. North Macedonia"/>
  </r>
  <r>
    <x v="80"/>
    <s v="Density"/>
    <n v="72.400000000000006"/>
    <n v="129"/>
    <s v="129. Yemen, Rep."/>
  </r>
  <r>
    <x v="144"/>
    <s v="Density"/>
    <n v="71.8"/>
    <n v="130"/>
    <s v="130. Ecuador"/>
  </r>
  <r>
    <x v="23"/>
    <s v="Density"/>
    <n v="70.900000000000006"/>
    <n v="131"/>
    <s v="131. Eswatini"/>
  </r>
  <r>
    <x v="17"/>
    <s v="Density"/>
    <n v="70.8"/>
    <n v="132"/>
    <s v="132. Ukraine"/>
  </r>
  <r>
    <x v="130"/>
    <s v="Density"/>
    <n v="68.900000000000006"/>
    <n v="133"/>
    <s v="133. Croatia"/>
  </r>
  <r>
    <x v="58"/>
    <s v="Density"/>
    <n v="66.2"/>
    <n v="134"/>
    <s v="134. Mexico"/>
  </r>
  <r>
    <x v="113"/>
    <s v="Density"/>
    <n v="65"/>
    <n v="135"/>
    <s v="135. Georgia"/>
  </r>
  <r>
    <x v="196"/>
    <s v="Density"/>
    <n v="64.3"/>
    <n v="136"/>
    <s v="136. Equatorial Guinea"/>
  </r>
  <r>
    <x v="142"/>
    <s v="Density"/>
    <n v="62.6"/>
    <n v="137"/>
    <s v="137. Bosnia and Herzegovina"/>
  </r>
  <r>
    <x v="41"/>
    <s v="Density"/>
    <n v="62.2"/>
    <n v="138"/>
    <s v="138. Afghanistan"/>
  </r>
  <r>
    <x v="71"/>
    <s v="Density"/>
    <n v="59.6"/>
    <n v="139"/>
    <s v="139. Bulgaria"/>
  </r>
  <r>
    <x v="125"/>
    <s v="Density"/>
    <n v="59.3"/>
    <n v="140"/>
    <s v="140. Panama"/>
  </r>
  <r>
    <x v="145"/>
    <s v="Density"/>
    <n v="58.5"/>
    <n v="141"/>
    <s v="141. Cameroon"/>
  </r>
  <r>
    <x v="13"/>
    <s v="Density"/>
    <n v="57.2"/>
    <n v="142"/>
    <s v="142. Guinea"/>
  </r>
  <r>
    <x v="88"/>
    <s v="Density"/>
    <n v="55.9"/>
    <n v="143"/>
    <s v="143. Nicaragua"/>
  </r>
  <r>
    <x v="147"/>
    <s v="Density"/>
    <n v="55.8"/>
    <n v="144"/>
    <s v="144. Liberia"/>
  </r>
  <r>
    <x v="127"/>
    <s v="Density"/>
    <n v="55.2"/>
    <n v="145"/>
    <s v="145. Iran, Islamic Rep."/>
  </r>
  <r>
    <x v="18"/>
    <s v="Density"/>
    <n v="52.3"/>
    <n v="146"/>
    <s v="146. Madagascar"/>
  </r>
  <r>
    <x v="6"/>
    <s v="Density"/>
    <n v="51.4"/>
    <n v="147"/>
    <s v="147. South Africa"/>
  </r>
  <r>
    <x v="158"/>
    <s v="Density"/>
    <n v="50.3"/>
    <n v="148"/>
    <s v="148. Fiji"/>
  </r>
  <r>
    <x v="12"/>
    <s v="Density"/>
    <n v="49.1"/>
    <n v="149"/>
    <s v="149. Djibouti"/>
  </r>
  <r>
    <x v="204"/>
    <s v="Density"/>
    <n v="48.3"/>
    <n v="150"/>
    <s v="150. Turks and Caicos Islands"/>
  </r>
  <r>
    <x v="108"/>
    <s v="Density"/>
    <n v="46.6"/>
    <n v="151"/>
    <s v="151. Colombia"/>
  </r>
  <r>
    <x v="152"/>
    <s v="Density"/>
    <n v="46.4"/>
    <n v="152"/>
    <s v="152. Montenegro"/>
  </r>
  <r>
    <x v="96"/>
    <s v="Density"/>
    <n v="45.5"/>
    <n v="153"/>
    <s v="153. Belarus"/>
  </r>
  <r>
    <x v="162"/>
    <s v="Density"/>
    <n v="45.2"/>
    <n v="154"/>
    <s v="154. Congo, Dem. Rep."/>
  </r>
  <r>
    <x v="73"/>
    <s v="Density"/>
    <n v="45.2"/>
    <n v="155"/>
    <s v="155. Lithuania"/>
  </r>
  <r>
    <x v="55"/>
    <s v="Density"/>
    <n v="41.5"/>
    <n v="156"/>
    <s v="156. Mozambique"/>
  </r>
  <r>
    <x v="91"/>
    <s v="Density"/>
    <n v="41.5"/>
    <n v="157"/>
    <s v="157. Zimbabwe"/>
  </r>
  <r>
    <x v="202"/>
    <s v="Density"/>
    <n v="39.700000000000003"/>
    <n v="158"/>
    <s v="158. Bahamas, The"/>
  </r>
  <r>
    <x v="22"/>
    <s v="Density"/>
    <n v="39.4"/>
    <n v="159"/>
    <s v="159. Faroe Islands"/>
  </r>
  <r>
    <x v="178"/>
    <s v="Density"/>
    <n v="38.6"/>
    <n v="160"/>
    <s v="160. Palau"/>
  </r>
  <r>
    <x v="72"/>
    <s v="Density"/>
    <n v="36.5"/>
    <n v="161"/>
    <s v="161. United States"/>
  </r>
  <r>
    <x v="52"/>
    <s v="Density"/>
    <n v="36.4"/>
    <n v="162"/>
    <s v="162. Kyrgyz Republic"/>
  </r>
  <r>
    <x v="176"/>
    <s v="Density"/>
    <n v="32.799999999999997"/>
    <n v="163"/>
    <s v="163. Lao PDR"/>
  </r>
  <r>
    <x v="135"/>
    <s v="Density"/>
    <n v="32"/>
    <n v="164"/>
    <s v="164. Venezuela, RB"/>
  </r>
  <r>
    <x v="138"/>
    <s v="Density"/>
    <n v="31.6"/>
    <n v="165"/>
    <s v="165. Estonia"/>
  </r>
  <r>
    <x v="119"/>
    <s v="Density"/>
    <n v="30.2"/>
    <n v="166"/>
    <s v="166. Latvia"/>
  </r>
  <r>
    <x v="105"/>
    <s v="Density"/>
    <n v="28.6"/>
    <n v="167"/>
    <s v="167. Angola"/>
  </r>
  <r>
    <x v="19"/>
    <s v="Density"/>
    <n v="28.4"/>
    <n v="168"/>
    <s v="168. Somalia, Fed. Rep."/>
  </r>
  <r>
    <x v="32"/>
    <s v="Density"/>
    <n v="28.1"/>
    <n v="169"/>
    <s v="169. Eritrea"/>
  </r>
  <r>
    <x v="194"/>
    <s v="Density"/>
    <n v="27.9"/>
    <n v="170"/>
    <s v="170. Solomon Islands"/>
  </r>
  <r>
    <x v="117"/>
    <s v="Density"/>
    <n v="27.1"/>
    <n v="171"/>
    <s v="171. Zambia"/>
  </r>
  <r>
    <x v="37"/>
    <s v="Density"/>
    <n v="26.4"/>
    <n v="172"/>
    <s v="172. Sudan"/>
  </r>
  <r>
    <x v="165"/>
    <s v="Density"/>
    <n v="26.3"/>
    <n v="173"/>
    <s v="173. Chile"/>
  </r>
  <r>
    <x v="153"/>
    <s v="Density"/>
    <n v="26.2"/>
    <n v="174"/>
    <s v="174. Peru"/>
  </r>
  <r>
    <x v="186"/>
    <s v="Density"/>
    <n v="25.7"/>
    <n v="175"/>
    <s v="175. Sweden"/>
  </r>
  <r>
    <x v="163"/>
    <s v="Density"/>
    <n v="25.7"/>
    <n v="176"/>
    <s v="176. Vanuatu"/>
  </r>
  <r>
    <x v="128"/>
    <s v="Density"/>
    <n v="25.2"/>
    <n v="177"/>
    <s v="177. Brazil"/>
  </r>
  <r>
    <x v="199"/>
    <s v="Density"/>
    <n v="22.5"/>
    <n v="178"/>
    <s v="178. Papua New Guinea"/>
  </r>
  <r>
    <x v="167"/>
    <s v="Density"/>
    <n v="20.5"/>
    <n v="179"/>
    <s v="179. Bhutan"/>
  </r>
  <r>
    <x v="107"/>
    <s v="Density"/>
    <n v="20"/>
    <n v="180"/>
    <s v="180. Niger"/>
  </r>
  <r>
    <x v="106"/>
    <s v="Density"/>
    <n v="19.399999999999999"/>
    <n v="181"/>
    <s v="181. New Zealand"/>
  </r>
  <r>
    <x v="3"/>
    <s v="Density"/>
    <n v="19.399999999999999"/>
    <n v="182"/>
    <s v="182. Uruguay"/>
  </r>
  <r>
    <x v="157"/>
    <s v="Density"/>
    <n v="19.100000000000001"/>
    <n v="183"/>
    <s v="183. Algeria"/>
  </r>
  <r>
    <x v="110"/>
    <s v="Density"/>
    <n v="18.899999999999999"/>
    <n v="184"/>
    <s v="184. Mali"/>
  </r>
  <r>
    <x v="185"/>
    <s v="Density"/>
    <n v="18.3"/>
    <n v="185"/>
    <s v="185. Finland"/>
  </r>
  <r>
    <x v="184"/>
    <s v="Density"/>
    <n v="17.7"/>
    <n v="186"/>
    <s v="186. Belize"/>
  </r>
  <r>
    <x v="121"/>
    <s v="Density"/>
    <n v="17.7"/>
    <n v="187"/>
    <s v="187. Congo, Rep."/>
  </r>
  <r>
    <x v="76"/>
    <s v="Density"/>
    <n v="17.399999999999999"/>
    <n v="188"/>
    <s v="188. South Sudan"/>
  </r>
  <r>
    <x v="51"/>
    <s v="Density"/>
    <n v="17.100000000000001"/>
    <n v="189"/>
    <s v="189. Paraguay"/>
  </r>
  <r>
    <x v="87"/>
    <s v="Density"/>
    <n v="16.600000000000001"/>
    <n v="190"/>
    <s v="190. Argentina"/>
  </r>
  <r>
    <x v="175"/>
    <s v="Density"/>
    <n v="15.7"/>
    <n v="191"/>
    <s v="191. New Caledonia"/>
  </r>
  <r>
    <x v="1"/>
    <s v="Density"/>
    <n v="15.4"/>
    <n v="192"/>
    <s v="192. Turkmenistan"/>
  </r>
  <r>
    <x v="192"/>
    <s v="Density"/>
    <n v="15.3"/>
    <n v="193"/>
    <s v="193. Oman"/>
  </r>
  <r>
    <x v="200"/>
    <s v="Density"/>
    <n v="15"/>
    <n v="194"/>
    <s v="194. Norway"/>
  </r>
  <r>
    <x v="4"/>
    <s v="Density"/>
    <n v="15"/>
    <n v="195"/>
    <s v="195. Saudi Arabia"/>
  </r>
  <r>
    <x v="94"/>
    <s v="Density"/>
    <n v="14.7"/>
    <n v="196"/>
    <s v="196. Chad"/>
  </r>
  <r>
    <x v="109"/>
    <s v="Density"/>
    <n v="11.1"/>
    <n v="197"/>
    <s v="197. Bolivia"/>
  </r>
  <r>
    <x v="182"/>
    <s v="Density"/>
    <n v="9.4"/>
    <n v="198"/>
    <s v="198. Gabon"/>
  </r>
  <r>
    <x v="168"/>
    <s v="Density"/>
    <n v="8.8000000000000007"/>
    <n v="199"/>
    <s v="199. Russian Federation"/>
  </r>
  <r>
    <x v="179"/>
    <s v="Density"/>
    <n v="8.1999999999999993"/>
    <n v="200"/>
    <s v="200. Central African Republic"/>
  </r>
  <r>
    <x v="5"/>
    <s v="Density"/>
    <n v="7.4"/>
    <n v="201"/>
    <s v="201. Kazakhstan"/>
  </r>
  <r>
    <x v="100"/>
    <s v="Density"/>
    <n v="4.7"/>
    <n v="202"/>
    <s v="202. Mauritania"/>
  </r>
  <r>
    <x v="188"/>
    <s v="Density"/>
    <n v="4.4000000000000004"/>
    <n v="203"/>
    <s v="203. Canada"/>
  </r>
  <r>
    <x v="75"/>
    <s v="Density"/>
    <n v="4.3"/>
    <n v="204"/>
    <s v="204. Botswana"/>
  </r>
  <r>
    <x v="181"/>
    <s v="Density"/>
    <n v="4.0999999999999996"/>
    <n v="205"/>
    <s v="205. Libya"/>
  </r>
  <r>
    <x v="197"/>
    <s v="Density"/>
    <n v="3.9"/>
    <n v="206"/>
    <s v="206. Guyana"/>
  </r>
  <r>
    <x v="207"/>
    <s v="Density"/>
    <n v="3.9"/>
    <n v="207"/>
    <s v="207. Suriname"/>
  </r>
  <r>
    <x v="160"/>
    <s v="Density"/>
    <n v="3.8"/>
    <n v="208"/>
    <s v="208. Iceland"/>
  </r>
  <r>
    <x v="69"/>
    <s v="Density"/>
    <n v="3.5"/>
    <n v="209"/>
    <s v="209. Namibia"/>
  </r>
  <r>
    <x v="68"/>
    <s v="Density"/>
    <n v="3.4"/>
    <n v="210"/>
    <s v="210. Australia"/>
  </r>
  <r>
    <x v="25"/>
    <s v="Density"/>
    <n v="2.2000000000000002"/>
    <n v="211"/>
    <s v="211. Mongolia"/>
  </r>
  <r>
    <x v="206"/>
    <s v="Density"/>
    <n v="0.1"/>
    <n v="212"/>
    <s v="212. Greenland"/>
  </r>
  <r>
    <x v="195"/>
    <s v="Female population share"/>
    <n v="55"/>
    <n v="1"/>
    <s v="1. Hong Kong SAR, China"/>
  </r>
  <r>
    <x v="10"/>
    <s v="Female population share"/>
    <n v="54"/>
    <n v="2"/>
    <s v="2. Moldova"/>
  </r>
  <r>
    <x v="208"/>
    <s v="Female population share"/>
    <n v="53.9"/>
    <n v="3"/>
    <s v="3. Macao SAR, China"/>
  </r>
  <r>
    <x v="40"/>
    <s v="Female population share"/>
    <n v="53.6"/>
    <n v="4"/>
    <s v="4. Armenia"/>
  </r>
  <r>
    <x v="119"/>
    <s v="Female population share"/>
    <n v="53.6"/>
    <n v="5"/>
    <s v="5. Latvia"/>
  </r>
  <r>
    <x v="168"/>
    <s v="Female population share"/>
    <n v="53.6"/>
    <n v="6"/>
    <s v="6. Russian Federation"/>
  </r>
  <r>
    <x v="236"/>
    <s v="Female population share"/>
    <n v="53.5"/>
    <n v="7"/>
    <s v="7. St. Martin (French part)"/>
  </r>
  <r>
    <x v="17"/>
    <s v="Female population share"/>
    <n v="53.5"/>
    <n v="8"/>
    <s v="8. Ukraine"/>
  </r>
  <r>
    <x v="96"/>
    <s v="Female population share"/>
    <n v="53.4"/>
    <n v="9"/>
    <s v="9. Belarus"/>
  </r>
  <r>
    <x v="113"/>
    <s v="Female population share"/>
    <n v="53.4"/>
    <n v="10"/>
    <s v="10. Georgia"/>
  </r>
  <r>
    <x v="154"/>
    <s v="Female population share"/>
    <n v="52.9"/>
    <n v="11"/>
    <s v="11. Puerto Rico (US)"/>
  </r>
  <r>
    <x v="172"/>
    <s v="Female population share"/>
    <n v="52.8"/>
    <n v="12"/>
    <s v="12. Aruba"/>
  </r>
  <r>
    <x v="73"/>
    <s v="Female population share"/>
    <n v="52.8"/>
    <n v="13"/>
    <s v="13. Lithuania"/>
  </r>
  <r>
    <x v="65"/>
    <s v="Female population share"/>
    <n v="52.8"/>
    <n v="14"/>
    <s v="14. Tonga"/>
  </r>
  <r>
    <x v="93"/>
    <s v="Female population share"/>
    <n v="52.6"/>
    <n v="15"/>
    <s v="15. Serbia"/>
  </r>
  <r>
    <x v="44"/>
    <s v="Female population share"/>
    <n v="52.5"/>
    <n v="16"/>
    <s v="16. El Salvador"/>
  </r>
  <r>
    <x v="138"/>
    <s v="Female population share"/>
    <n v="52.5"/>
    <n v="17"/>
    <s v="17. Estonia"/>
  </r>
  <r>
    <x v="146"/>
    <s v="Female population share"/>
    <n v="52.4"/>
    <n v="18"/>
    <s v="18. Antigua and Barbuda"/>
  </r>
  <r>
    <x v="142"/>
    <s v="Female population share"/>
    <n v="52.4"/>
    <n v="19"/>
    <s v="19. Bosnia and Herzegovina"/>
  </r>
  <r>
    <x v="237"/>
    <s v="Female population share"/>
    <n v="52.4"/>
    <n v="20"/>
    <s v="20. Curacao"/>
  </r>
  <r>
    <x v="83"/>
    <s v="Female population share"/>
    <n v="52.4"/>
    <n v="21"/>
    <s v="21. Portugal"/>
  </r>
  <r>
    <x v="177"/>
    <s v="Female population share"/>
    <n v="52.4"/>
    <n v="22"/>
    <s v="22. Virgin Islands (U.S.)"/>
  </r>
  <r>
    <x v="202"/>
    <s v="Female population share"/>
    <n v="52.3"/>
    <n v="23"/>
    <s v="23. Bahamas, The"/>
  </r>
  <r>
    <x v="91"/>
    <s v="Female population share"/>
    <n v="52.3"/>
    <n v="24"/>
    <s v="24. Zimbabwe"/>
  </r>
  <r>
    <x v="137"/>
    <s v="Female population share"/>
    <n v="52.1"/>
    <n v="25"/>
    <s v="25. Barbados"/>
  </r>
  <r>
    <x v="132"/>
    <s v="Female population share"/>
    <n v="52.1"/>
    <n v="26"/>
    <s v="26. Nepal"/>
  </r>
  <r>
    <x v="139"/>
    <s v="Female population share"/>
    <n v="52.1"/>
    <n v="27"/>
    <s v="27. St. Kitts and Nevis"/>
  </r>
  <r>
    <x v="179"/>
    <s v="Female population share"/>
    <n v="52"/>
    <n v="28"/>
    <s v="28. Central African Republic"/>
  </r>
  <r>
    <x v="45"/>
    <s v="Female population share"/>
    <n v="52"/>
    <n v="29"/>
    <s v="29. Hungary"/>
  </r>
  <r>
    <x v="152"/>
    <s v="Female population share"/>
    <n v="51.9"/>
    <n v="30"/>
    <s v="30. Montenegro"/>
  </r>
  <r>
    <x v="130"/>
    <s v="Female population share"/>
    <n v="51.8"/>
    <n v="31"/>
    <s v="31. Croatia"/>
  </r>
  <r>
    <x v="71"/>
    <s v="Female population share"/>
    <n v="51.6"/>
    <n v="32"/>
    <s v="32. Bulgaria"/>
  </r>
  <r>
    <x v="92"/>
    <s v="Female population share"/>
    <n v="51.6"/>
    <n v="33"/>
    <s v="33. Greece"/>
  </r>
  <r>
    <x v="66"/>
    <s v="Female population share"/>
    <n v="51.6"/>
    <n v="34"/>
    <s v="34. Poland"/>
  </r>
  <r>
    <x v="49"/>
    <s v="Female population share"/>
    <n v="51.6"/>
    <n v="35"/>
    <s v="35. Romania"/>
  </r>
  <r>
    <x v="64"/>
    <s v="Female population share"/>
    <n v="51.6"/>
    <n v="36"/>
    <s v="36. Sri Lanka"/>
  </r>
  <r>
    <x v="56"/>
    <s v="Female population share"/>
    <n v="51.5"/>
    <n v="37"/>
    <s v="37. France"/>
  </r>
  <r>
    <x v="89"/>
    <s v="Female population share"/>
    <n v="51.5"/>
    <n v="38"/>
    <s v="38. Kiribati"/>
  </r>
  <r>
    <x v="58"/>
    <s v="Female population share"/>
    <n v="51.5"/>
    <n v="39"/>
    <s v="39. Mexico"/>
  </r>
  <r>
    <x v="55"/>
    <s v="Female population share"/>
    <n v="51.5"/>
    <n v="40"/>
    <s v="40. Mozambique"/>
  </r>
  <r>
    <x v="3"/>
    <s v="Female population share"/>
    <n v="51.5"/>
    <n v="41"/>
    <s v="41. Uruguay"/>
  </r>
  <r>
    <x v="27"/>
    <s v="Female population share"/>
    <n v="51.4"/>
    <n v="42"/>
    <s v="42. Lebanon"/>
  </r>
  <r>
    <x v="60"/>
    <s v="Female population share"/>
    <n v="51.4"/>
    <n v="43"/>
    <s v="43. North Macedonia"/>
  </r>
  <r>
    <x v="197"/>
    <s v="Female population share"/>
    <n v="51.3"/>
    <n v="44"/>
    <s v="44. Guyana"/>
  </r>
  <r>
    <x v="5"/>
    <s v="Female population share"/>
    <n v="51.3"/>
    <n v="45"/>
    <s v="45. Kazakhstan"/>
  </r>
  <r>
    <x v="7"/>
    <s v="Female population share"/>
    <n v="51.3"/>
    <n v="46"/>
    <s v="46. Lesotho"/>
  </r>
  <r>
    <x v="235"/>
    <s v="Female population share"/>
    <n v="51.3"/>
    <n v="47"/>
    <s v="47. Sint Maarten (Dutch part)"/>
  </r>
  <r>
    <x v="6"/>
    <s v="Female population share"/>
    <n v="51.3"/>
    <n v="48"/>
    <s v="48. South Africa"/>
  </r>
  <r>
    <x v="82"/>
    <s v="Female population share"/>
    <n v="51.3"/>
    <n v="49"/>
    <s v="49. Thailand"/>
  </r>
  <r>
    <x v="169"/>
    <s v="Female population share"/>
    <n v="51.2"/>
    <n v="50"/>
    <s v="50. Japan"/>
  </r>
  <r>
    <x v="31"/>
    <s v="Female population share"/>
    <n v="51.2"/>
    <n v="51"/>
    <s v="51. Malawi"/>
  </r>
  <r>
    <x v="69"/>
    <s v="Female population share"/>
    <n v="51.2"/>
    <n v="52"/>
    <s v="52. Namibia"/>
  </r>
  <r>
    <x v="8"/>
    <s v="Female population share"/>
    <n v="51.2"/>
    <n v="53"/>
    <s v="53. Rwanda"/>
  </r>
  <r>
    <x v="103"/>
    <s v="Female population share"/>
    <n v="51.2"/>
    <n v="54"/>
    <s v="54. Slovak Republic"/>
  </r>
  <r>
    <x v="190"/>
    <s v="Female population share"/>
    <n v="51.1"/>
    <n v="55"/>
    <s v="55. Bermuda"/>
  </r>
  <r>
    <x v="81"/>
    <s v="Female population share"/>
    <n v="51.1"/>
    <n v="56"/>
    <s v="56. Italy"/>
  </r>
  <r>
    <x v="234"/>
    <s v="Female population share"/>
    <n v="51.1"/>
    <n v="57"/>
    <s v="57. Monaco"/>
  </r>
  <r>
    <x v="43"/>
    <s v="Female population share"/>
    <n v="51"/>
    <n v="58"/>
    <s v="58. Azerbaijan"/>
  </r>
  <r>
    <x v="111"/>
    <s v="Female population share"/>
    <n v="51"/>
    <n v="59"/>
    <s v="59. Cambodia"/>
  </r>
  <r>
    <x v="97"/>
    <s v="Female population share"/>
    <n v="51"/>
    <n v="60"/>
    <s v="60. Viet Nam"/>
  </r>
  <r>
    <x v="23"/>
    <s v="Female population share"/>
    <n v="50.9"/>
    <n v="61"/>
    <s v="61. Eswatini"/>
  </r>
  <r>
    <x v="100"/>
    <s v="Female population share"/>
    <n v="50.9"/>
    <n v="62"/>
    <s v="62. Mauritania"/>
  </r>
  <r>
    <x v="61"/>
    <s v="Female population share"/>
    <n v="50.9"/>
    <n v="63"/>
    <s v="63. Spain"/>
  </r>
  <r>
    <x v="129"/>
    <s v="Female population share"/>
    <n v="50.9"/>
    <n v="64"/>
    <s v="64. Tajikistan"/>
  </r>
  <r>
    <x v="1"/>
    <s v="Female population share"/>
    <n v="50.9"/>
    <n v="65"/>
    <s v="65. Turkmenistan"/>
  </r>
  <r>
    <x v="120"/>
    <s v="Female population share"/>
    <n v="50.8"/>
    <n v="66"/>
    <s v="66. Austria"/>
  </r>
  <r>
    <x v="14"/>
    <s v="Female population share"/>
    <n v="50.8"/>
    <n v="67"/>
    <s v="67. Bangladesh"/>
  </r>
  <r>
    <x v="128"/>
    <s v="Female population share"/>
    <n v="50.8"/>
    <n v="68"/>
    <s v="68. Brazil"/>
  </r>
  <r>
    <x v="209"/>
    <s v="Female population share"/>
    <n v="50.8"/>
    <n v="69"/>
    <s v="69. Kosovo"/>
  </r>
  <r>
    <x v="88"/>
    <s v="Female population share"/>
    <n v="50.8"/>
    <n v="70"/>
    <s v="70. Nicaragua"/>
  </r>
  <r>
    <x v="101"/>
    <s v="Female population share"/>
    <n v="50.8"/>
    <n v="71"/>
    <s v="71. San Marino"/>
  </r>
  <r>
    <x v="76"/>
    <s v="Female population share"/>
    <n v="50.8"/>
    <n v="72"/>
    <s v="72. South Sudan"/>
  </r>
  <r>
    <x v="20"/>
    <s v="Female population share"/>
    <n v="50.8"/>
    <n v="73"/>
    <s v="73. United Kingdom"/>
  </r>
  <r>
    <x v="79"/>
    <s v="Female population share"/>
    <n v="50.7"/>
    <n v="74"/>
    <s v="74. Belgium"/>
  </r>
  <r>
    <x v="108"/>
    <s v="Female population share"/>
    <n v="50.7"/>
    <n v="75"/>
    <s v="75. Colombia"/>
  </r>
  <r>
    <x v="35"/>
    <s v="Female population share"/>
    <n v="50.7"/>
    <n v="76"/>
    <s v="76. Cuba"/>
  </r>
  <r>
    <x v="74"/>
    <s v="Female population share"/>
    <n v="50.7"/>
    <n v="77"/>
    <s v="77. Czechia"/>
  </r>
  <r>
    <x v="175"/>
    <s v="Female population share"/>
    <n v="50.7"/>
    <n v="78"/>
    <s v="78. New Caledonia"/>
  </r>
  <r>
    <x v="102"/>
    <s v="Female population share"/>
    <n v="50.6"/>
    <n v="79"/>
    <s v="79. Albania"/>
  </r>
  <r>
    <x v="238"/>
    <s v="Female population share"/>
    <n v="50.6"/>
    <n v="80"/>
    <s v="80. Channel Islands"/>
  </r>
  <r>
    <x v="115"/>
    <s v="Female population share"/>
    <n v="50.6"/>
    <n v="81"/>
    <s v="81. Costa Rica"/>
  </r>
  <r>
    <x v="32"/>
    <s v="Female population share"/>
    <n v="50.6"/>
    <n v="82"/>
    <s v="82. Eritrea"/>
  </r>
  <r>
    <x v="185"/>
    <s v="Female population share"/>
    <n v="50.6"/>
    <n v="83"/>
    <s v="83. Finland"/>
  </r>
  <r>
    <x v="67"/>
    <s v="Female population share"/>
    <n v="50.6"/>
    <n v="84"/>
    <s v="84. Germany"/>
  </r>
  <r>
    <x v="123"/>
    <s v="Female population share"/>
    <n v="50.6"/>
    <n v="85"/>
    <s v="85. Guinea-Bissau"/>
  </r>
  <r>
    <x v="99"/>
    <s v="Female population share"/>
    <n v="50.6"/>
    <n v="86"/>
    <s v="86. Jamaica"/>
  </r>
  <r>
    <x v="52"/>
    <s v="Female population share"/>
    <n v="50.6"/>
    <n v="87"/>
    <s v="87. Kyrgyz Republic"/>
  </r>
  <r>
    <x v="159"/>
    <s v="Female population share"/>
    <n v="50.6"/>
    <n v="88"/>
    <s v="88. St. Lucia"/>
  </r>
  <r>
    <x v="173"/>
    <s v="Female population share"/>
    <n v="50.6"/>
    <n v="89"/>
    <s v="89. Trinidad and Tobago"/>
  </r>
  <r>
    <x v="34"/>
    <s v="Female population share"/>
    <n v="50.6"/>
    <n v="90"/>
    <s v="90. Tunisia"/>
  </r>
  <r>
    <x v="135"/>
    <s v="Female population share"/>
    <n v="50.6"/>
    <n v="91"/>
    <s v="91. Venezuela, RB"/>
  </r>
  <r>
    <x v="105"/>
    <s v="Female population share"/>
    <n v="50.5"/>
    <n v="92"/>
    <s v="92. Angola"/>
  </r>
  <r>
    <x v="13"/>
    <s v="Female population share"/>
    <n v="50.5"/>
    <n v="93"/>
    <s v="93. Guinea"/>
  </r>
  <r>
    <x v="29"/>
    <s v="Female population share"/>
    <n v="50.5"/>
    <n v="94"/>
    <s v="94. Haiti"/>
  </r>
  <r>
    <x v="36"/>
    <s v="Female population share"/>
    <n v="50.5"/>
    <n v="95"/>
    <s v="95. Ireland"/>
  </r>
  <r>
    <x v="24"/>
    <s v="Female population share"/>
    <n v="50.5"/>
    <n v="96"/>
    <s v="96. Isle of Man"/>
  </r>
  <r>
    <x v="117"/>
    <s v="Female population share"/>
    <n v="50.5"/>
    <n v="97"/>
    <s v="97. Zambia"/>
  </r>
  <r>
    <x v="87"/>
    <s v="Female population share"/>
    <n v="50.4"/>
    <n v="98"/>
    <s v="98. Argentina"/>
  </r>
  <r>
    <x v="68"/>
    <s v="Female population share"/>
    <n v="50.4"/>
    <n v="99"/>
    <s v="99. Australia"/>
  </r>
  <r>
    <x v="162"/>
    <s v="Female population share"/>
    <n v="50.4"/>
    <n v="100"/>
    <s v="100. Congo, Dem. Rep."/>
  </r>
  <r>
    <x v="12"/>
    <s v="Female population share"/>
    <n v="50.4"/>
    <n v="101"/>
    <s v="101. Djibouti"/>
  </r>
  <r>
    <x v="158"/>
    <s v="Female population share"/>
    <n v="50.4"/>
    <n v="102"/>
    <s v="102. Fiji"/>
  </r>
  <r>
    <x v="84"/>
    <s v="Female population share"/>
    <n v="50.4"/>
    <n v="103"/>
    <s v="103. Guatemala"/>
  </r>
  <r>
    <x v="37"/>
    <s v="Female population share"/>
    <n v="50.4"/>
    <n v="104"/>
    <s v="104. Sudan"/>
  </r>
  <r>
    <x v="78"/>
    <s v="Female population share"/>
    <n v="50.4"/>
    <n v="105"/>
    <s v="105. Tanzania"/>
  </r>
  <r>
    <x v="15"/>
    <s v="Female population share"/>
    <n v="50.4"/>
    <n v="106"/>
    <s v="106. Uganda"/>
  </r>
  <r>
    <x v="30"/>
    <s v="Female population share"/>
    <n v="50.4"/>
    <n v="107"/>
    <s v="107. West Bank and Gaza"/>
  </r>
  <r>
    <x v="2"/>
    <s v="Female population share"/>
    <n v="50.3"/>
    <n v="108"/>
    <s v="108. Burundi"/>
  </r>
  <r>
    <x v="188"/>
    <s v="Female population share"/>
    <n v="50.3"/>
    <n v="109"/>
    <s v="109. Canada"/>
  </r>
  <r>
    <x v="165"/>
    <s v="Female population share"/>
    <n v="50.3"/>
    <n v="110"/>
    <s v="110. Chile"/>
  </r>
  <r>
    <x v="28"/>
    <s v="Female population share"/>
    <n v="50.3"/>
    <n v="111"/>
    <s v="111. Denmark"/>
  </r>
  <r>
    <x v="47"/>
    <s v="Female population share"/>
    <n v="50.3"/>
    <n v="112"/>
    <s v="112. Dominican Republic"/>
  </r>
  <r>
    <x v="62"/>
    <s v="Female population share"/>
    <n v="50.3"/>
    <n v="113"/>
    <s v="113. Kenya"/>
  </r>
  <r>
    <x v="116"/>
    <s v="Female population share"/>
    <n v="50.3"/>
    <n v="114"/>
    <s v="114. Liechtenstein"/>
  </r>
  <r>
    <x v="187"/>
    <s v="Female population share"/>
    <n v="50.3"/>
    <n v="115"/>
    <s v="115. Micronesia, Fed. Sts."/>
  </r>
  <r>
    <x v="53"/>
    <s v="Female population share"/>
    <n v="50.3"/>
    <n v="116"/>
    <s v="116. Netherlands"/>
  </r>
  <r>
    <x v="106"/>
    <s v="Female population share"/>
    <n v="50.3"/>
    <n v="117"/>
    <s v="117. New Zealand"/>
  </r>
  <r>
    <x v="153"/>
    <s v="Female population share"/>
    <n v="50.3"/>
    <n v="118"/>
    <s v="118. Peru"/>
  </r>
  <r>
    <x v="77"/>
    <s v="Female population share"/>
    <n v="50.3"/>
    <n v="119"/>
    <s v="119. Sao Tome and Principe"/>
  </r>
  <r>
    <x v="104"/>
    <s v="Female population share"/>
    <n v="50.3"/>
    <n v="120"/>
    <s v="120. Switzerland"/>
  </r>
  <r>
    <x v="75"/>
    <s v="Female population share"/>
    <n v="50.2"/>
    <n v="121"/>
    <s v="121. Botswana"/>
  </r>
  <r>
    <x v="54"/>
    <s v="Female population share"/>
    <n v="50.2"/>
    <n v="122"/>
    <s v="122. Burkina Faso"/>
  </r>
  <r>
    <x v="145"/>
    <s v="Female population share"/>
    <n v="50.2"/>
    <n v="123"/>
    <s v="123. Cameroon"/>
  </r>
  <r>
    <x v="33"/>
    <s v="Female population share"/>
    <n v="50.2"/>
    <n v="124"/>
    <s v="124. Gambia, The"/>
  </r>
  <r>
    <x v="134"/>
    <s v="Female population share"/>
    <n v="50.2"/>
    <n v="125"/>
    <s v="125. Israel"/>
  </r>
  <r>
    <x v="149"/>
    <s v="Female population share"/>
    <n v="50.2"/>
    <n v="126"/>
    <s v="126. Myanmar"/>
  </r>
  <r>
    <x v="144"/>
    <s v="Female population share"/>
    <n v="50.1"/>
    <n v="127"/>
    <s v="127. Ecuador"/>
  </r>
  <r>
    <x v="48"/>
    <s v="Female population share"/>
    <n v="50.1"/>
    <n v="128"/>
    <s v="128. Ghana"/>
  </r>
  <r>
    <x v="161"/>
    <s v="Female population share"/>
    <n v="50.1"/>
    <n v="129"/>
    <s v="129. Korea, Rep."/>
  </r>
  <r>
    <x v="147"/>
    <s v="Female population share"/>
    <n v="50.1"/>
    <n v="130"/>
    <s v="130. Liberia"/>
  </r>
  <r>
    <x v="85"/>
    <s v="Female population share"/>
    <n v="50.1"/>
    <n v="131"/>
    <s v="131. Mauritius"/>
  </r>
  <r>
    <x v="25"/>
    <s v="Female population share"/>
    <n v="50.1"/>
    <n v="132"/>
    <s v="132. Mongolia"/>
  </r>
  <r>
    <x v="86"/>
    <s v="Female population share"/>
    <n v="50.1"/>
    <n v="133"/>
    <s v="133. Philippines"/>
  </r>
  <r>
    <x v="50"/>
    <s v="Female population share"/>
    <n v="50.1"/>
    <n v="134"/>
    <s v="134. Sierra Leone"/>
  </r>
  <r>
    <x v="59"/>
    <s v="Female population share"/>
    <n v="50.1"/>
    <n v="135"/>
    <s v="135. Turkiye"/>
  </r>
  <r>
    <x v="121"/>
    <s v="Female population share"/>
    <n v="50"/>
    <n v="136"/>
    <s v="136. Congo, Rep."/>
  </r>
  <r>
    <x v="114"/>
    <s v="Female population share"/>
    <n v="50"/>
    <n v="137"/>
    <s v="137. Dominica"/>
  </r>
  <r>
    <x v="125"/>
    <s v="Female population share"/>
    <n v="50"/>
    <n v="138"/>
    <s v="138. Panama"/>
  </r>
  <r>
    <x v="207"/>
    <s v="Female population share"/>
    <n v="50"/>
    <n v="139"/>
    <s v="139. Suriname"/>
  </r>
  <r>
    <x v="11"/>
    <s v="Female population share"/>
    <n v="50"/>
    <n v="140"/>
    <s v="140. Syrian Arab Republic"/>
  </r>
  <r>
    <x v="90"/>
    <s v="Female population share"/>
    <n v="49.9"/>
    <n v="141"/>
    <s v="141. Benin"/>
  </r>
  <r>
    <x v="109"/>
    <s v="Female population share"/>
    <n v="49.9"/>
    <n v="142"/>
    <s v="142. Bolivia"/>
  </r>
  <r>
    <x v="112"/>
    <s v="Female population share"/>
    <n v="49.9"/>
    <n v="143"/>
    <s v="143. Ethiopia"/>
  </r>
  <r>
    <x v="136"/>
    <s v="Female population share"/>
    <n v="49.9"/>
    <n v="144"/>
    <s v="144. Grenada"/>
  </r>
  <r>
    <x v="51"/>
    <s v="Female population share"/>
    <n v="49.9"/>
    <n v="145"/>
    <s v="145. Paraguay"/>
  </r>
  <r>
    <x v="19"/>
    <s v="Female population share"/>
    <n v="49.9"/>
    <n v="146"/>
    <s v="146. Somalia, Fed. Rep."/>
  </r>
  <r>
    <x v="204"/>
    <s v="Female population share"/>
    <n v="49.9"/>
    <n v="147"/>
    <s v="147. Turks and Caicos Islands"/>
  </r>
  <r>
    <x v="171"/>
    <s v="Female population share"/>
    <n v="49.8"/>
    <n v="148"/>
    <s v="148. Cayman Islands"/>
  </r>
  <r>
    <x v="94"/>
    <s v="Female population share"/>
    <n v="49.8"/>
    <n v="149"/>
    <s v="149. Chad"/>
  </r>
  <r>
    <x v="126"/>
    <s v="Female population share"/>
    <n v="49.8"/>
    <n v="150"/>
    <s v="150. Indonesia"/>
  </r>
  <r>
    <x v="141"/>
    <s v="Female population share"/>
    <n v="49.8"/>
    <n v="151"/>
    <s v="151. Iraq"/>
  </r>
  <r>
    <x v="176"/>
    <s v="Female population share"/>
    <n v="49.8"/>
    <n v="152"/>
    <s v="152. Lao PDR"/>
  </r>
  <r>
    <x v="18"/>
    <s v="Female population share"/>
    <n v="49.8"/>
    <n v="153"/>
    <s v="153. Madagascar"/>
  </r>
  <r>
    <x v="122"/>
    <s v="Female population share"/>
    <n v="49.8"/>
    <n v="154"/>
    <s v="154. Slovenia"/>
  </r>
  <r>
    <x v="72"/>
    <s v="Female population share"/>
    <n v="49.8"/>
    <n v="155"/>
    <s v="155. United States"/>
  </r>
  <r>
    <x v="16"/>
    <s v="Female population share"/>
    <n v="49.7"/>
    <n v="156"/>
    <s v="156. Comoros"/>
  </r>
  <r>
    <x v="118"/>
    <s v="Female population share"/>
    <n v="49.7"/>
    <n v="157"/>
    <s v="157. Honduras"/>
  </r>
  <r>
    <x v="57"/>
    <s v="Female population share"/>
    <n v="49.7"/>
    <n v="158"/>
    <s v="158. Luxembourg"/>
  </r>
  <r>
    <x v="21"/>
    <s v="Female population share"/>
    <n v="49.7"/>
    <n v="159"/>
    <s v="159. Togo"/>
  </r>
  <r>
    <x v="166"/>
    <s v="Female population share"/>
    <n v="49.6"/>
    <n v="160"/>
    <s v="160. Cyprus"/>
  </r>
  <r>
    <x v="26"/>
    <s v="Female population share"/>
    <n v="49.6"/>
    <n v="161"/>
    <s v="161. Morocco"/>
  </r>
  <r>
    <x v="200"/>
    <s v="Female population share"/>
    <n v="49.6"/>
    <n v="162"/>
    <s v="162. Norway"/>
  </r>
  <r>
    <x v="156"/>
    <s v="Female population share"/>
    <n v="49.6"/>
    <n v="163"/>
    <s v="163. Samoa"/>
  </r>
  <r>
    <x v="186"/>
    <s v="Female population share"/>
    <n v="49.6"/>
    <n v="164"/>
    <s v="164. Sweden"/>
  </r>
  <r>
    <x v="140"/>
    <s v="Female population share"/>
    <n v="49.6"/>
    <n v="165"/>
    <s v="165. Timor-Leste"/>
  </r>
  <r>
    <x v="42"/>
    <s v="Female population share"/>
    <n v="49.6"/>
    <n v="166"/>
    <s v="166. Uzbekistan"/>
  </r>
  <r>
    <x v="41"/>
    <s v="Female population share"/>
    <n v="49.5"/>
    <n v="167"/>
    <s v="167. Afghanistan"/>
  </r>
  <r>
    <x v="164"/>
    <s v="Female population share"/>
    <n v="49.5"/>
    <n v="168"/>
    <s v="168. American Samoa"/>
  </r>
  <r>
    <x v="184"/>
    <s v="Female population share"/>
    <n v="49.5"/>
    <n v="169"/>
    <s v="169. Belize"/>
  </r>
  <r>
    <x v="193"/>
    <s v="Female population share"/>
    <n v="49.5"/>
    <n v="170"/>
    <s v="170. Egypt, Arab Rep."/>
  </r>
  <r>
    <x v="110"/>
    <s v="Female population share"/>
    <n v="49.5"/>
    <n v="171"/>
    <s v="171. Mali"/>
  </r>
  <r>
    <x v="163"/>
    <s v="Female population share"/>
    <n v="49.5"/>
    <n v="172"/>
    <s v="172. Vanuatu"/>
  </r>
  <r>
    <x v="180"/>
    <s v="Female population share"/>
    <n v="49.4"/>
    <n v="173"/>
    <s v="173. French Polynesia"/>
  </r>
  <r>
    <x v="9"/>
    <s v="Female population share"/>
    <n v="49.4"/>
    <n v="174"/>
    <s v="174. Nigeria"/>
  </r>
  <r>
    <x v="124"/>
    <s v="Female population share"/>
    <n v="49.3"/>
    <n v="175"/>
    <s v="175. Guam"/>
  </r>
  <r>
    <x v="70"/>
    <s v="Female population share"/>
    <n v="49.3"/>
    <n v="176"/>
    <s v="176. Pakistan"/>
  </r>
  <r>
    <x v="80"/>
    <s v="Female population share"/>
    <n v="49.3"/>
    <n v="177"/>
    <s v="177. Yemen, Rep."/>
  </r>
  <r>
    <x v="182"/>
    <s v="Female population share"/>
    <n v="49.2"/>
    <n v="178"/>
    <s v="178. Gabon"/>
  </r>
  <r>
    <x v="127"/>
    <s v="Female population share"/>
    <n v="49.2"/>
    <n v="179"/>
    <s v="179. Iran, Islamic Rep."/>
  </r>
  <r>
    <x v="181"/>
    <s v="Female population share"/>
    <n v="49.2"/>
    <n v="180"/>
    <s v="180. Libya"/>
  </r>
  <r>
    <x v="107"/>
    <s v="Female population share"/>
    <n v="49.2"/>
    <n v="181"/>
    <s v="181. Niger"/>
  </r>
  <r>
    <x v="63"/>
    <s v="Female population share"/>
    <n v="49.2"/>
    <n v="182"/>
    <s v="182. Senegal"/>
  </r>
  <r>
    <x v="151"/>
    <s v="Female population share"/>
    <n v="49.1"/>
    <n v="183"/>
    <s v="183. Cabo Verde"/>
  </r>
  <r>
    <x v="46"/>
    <s v="Female population share"/>
    <n v="49.1"/>
    <n v="184"/>
    <s v="184. China"/>
  </r>
  <r>
    <x v="0"/>
    <s v="Female population share"/>
    <n v="49.1"/>
    <n v="185"/>
    <s v="185. Cote d'Ivoire"/>
  </r>
  <r>
    <x v="148"/>
    <s v="Female population share"/>
    <n v="49.1"/>
    <n v="186"/>
    <s v="186. Nauru"/>
  </r>
  <r>
    <x v="155"/>
    <s v="Female population share"/>
    <n v="49.1"/>
    <n v="187"/>
    <s v="187. St. Vincent and the Grenadines"/>
  </r>
  <r>
    <x v="157"/>
    <s v="Female population share"/>
    <n v="49"/>
    <n v="188"/>
    <s v="188. Algeria"/>
  </r>
  <r>
    <x v="95"/>
    <s v="Female population share"/>
    <n v="48.9"/>
    <n v="189"/>
    <s v="189. Andorra"/>
  </r>
  <r>
    <x v="194"/>
    <s v="Female population share"/>
    <n v="48.9"/>
    <n v="190"/>
    <s v="190. Solomon Islands"/>
  </r>
  <r>
    <x v="160"/>
    <s v="Female population share"/>
    <n v="48.8"/>
    <n v="191"/>
    <s v="191. Iceland"/>
  </r>
  <r>
    <x v="98"/>
    <s v="Female population share"/>
    <n v="48.8"/>
    <n v="192"/>
    <s v="192. Marshall Islands"/>
  </r>
  <r>
    <x v="39"/>
    <s v="Female population share"/>
    <n v="48.8"/>
    <n v="193"/>
    <s v="193. Tuvalu"/>
  </r>
  <r>
    <x v="199"/>
    <s v="Female population share"/>
    <n v="48.6"/>
    <n v="194"/>
    <s v="194. Papua New Guinea"/>
  </r>
  <r>
    <x v="38"/>
    <s v="Female population share"/>
    <n v="48.4"/>
    <n v="195"/>
    <s v="195. India"/>
  </r>
  <r>
    <x v="170"/>
    <s v="Female population share"/>
    <n v="48.4"/>
    <n v="196"/>
    <s v="196. Jordan"/>
  </r>
  <r>
    <x v="22"/>
    <s v="Female population share"/>
    <n v="48.3"/>
    <n v="197"/>
    <s v="197. Faroe Islands"/>
  </r>
  <r>
    <x v="205"/>
    <s v="Female population share"/>
    <n v="48.3"/>
    <n v="198"/>
    <s v="198. Singapore"/>
  </r>
  <r>
    <x v="133"/>
    <s v="Female population share"/>
    <n v="48.1"/>
    <n v="199"/>
    <s v="199. Malta"/>
  </r>
  <r>
    <x v="131"/>
    <s v="Female population share"/>
    <n v="47.6"/>
    <n v="200"/>
    <s v="200. Malaysia"/>
  </r>
  <r>
    <x v="206"/>
    <s v="Female population share"/>
    <n v="47.4"/>
    <n v="201"/>
    <s v="201. Greenland"/>
  </r>
  <r>
    <x v="196"/>
    <s v="Female population share"/>
    <n v="47.3"/>
    <n v="202"/>
    <s v="202. Equatorial Guinea"/>
  </r>
  <r>
    <x v="203"/>
    <s v="Female population share"/>
    <n v="47.2"/>
    <n v="203"/>
    <s v="203. Northern Mariana Islands"/>
  </r>
  <r>
    <x v="201"/>
    <s v="Female population share"/>
    <n v="46.9"/>
    <n v="204"/>
    <s v="204. Brunei Darussalam"/>
  </r>
  <r>
    <x v="167"/>
    <s v="Female population share"/>
    <n v="46.6"/>
    <n v="205"/>
    <s v="205. Bhutan"/>
  </r>
  <r>
    <x v="178"/>
    <s v="Female population share"/>
    <n v="46.1"/>
    <n v="206"/>
    <s v="206. Palau"/>
  </r>
  <r>
    <x v="198"/>
    <s v="Female population share"/>
    <n v="44.8"/>
    <n v="207"/>
    <s v="207. Seychelles"/>
  </r>
  <r>
    <x v="4"/>
    <s v="Female population share"/>
    <n v="39.5"/>
    <n v="208"/>
    <s v="208. Saudi Arabia"/>
  </r>
  <r>
    <x v="183"/>
    <s v="Female population share"/>
    <n v="38.9"/>
    <n v="209"/>
    <s v="209. Kuwait"/>
  </r>
  <r>
    <x v="150"/>
    <s v="Female population share"/>
    <n v="38.1"/>
    <n v="210"/>
    <s v="210. Maldives"/>
  </r>
  <r>
    <x v="174"/>
    <s v="Female population share"/>
    <n v="38"/>
    <n v="211"/>
    <s v="211. Bahrain"/>
  </r>
  <r>
    <x v="192"/>
    <s v="Female population share"/>
    <n v="37.799999999999997"/>
    <n v="212"/>
    <s v="212. Oman"/>
  </r>
  <r>
    <x v="191"/>
    <s v="Female population share"/>
    <n v="36.1"/>
    <n v="213"/>
    <s v="213. United Arab Emirates"/>
  </r>
  <r>
    <x v="189"/>
    <s v="Female population share"/>
    <n v="28.7"/>
    <n v="214"/>
    <s v="214. Qatar"/>
  </r>
  <r>
    <x v="72"/>
    <s v="Foreign direct investment, net"/>
    <n v="297.10000000000002"/>
    <n v="1"/>
    <s v="1. United States"/>
  </r>
  <r>
    <x v="205"/>
    <s v="Foreign direct investment, net"/>
    <n v="151.9"/>
    <n v="2"/>
    <s v="2. Singapore"/>
  </r>
  <r>
    <x v="195"/>
    <s v="Foreign direct investment, net"/>
    <n v="117"/>
    <n v="3"/>
    <s v="3. Hong Kong SAR, China"/>
  </r>
  <r>
    <x v="57"/>
    <s v="Foreign direct investment, net"/>
    <n v="106"/>
    <n v="4"/>
    <s v="4. Luxembourg"/>
  </r>
  <r>
    <x v="128"/>
    <s v="Foreign direct investment, net"/>
    <n v="71.099999999999994"/>
    <n v="5"/>
    <s v="5. Brazil"/>
  </r>
  <r>
    <x v="188"/>
    <s v="Foreign direct investment, net"/>
    <n v="58.8"/>
    <n v="6"/>
    <s v="6. Canada"/>
  </r>
  <r>
    <x v="68"/>
    <s v="Foreign direct investment, net"/>
    <n v="54.2"/>
    <n v="7"/>
    <s v="7. Australia"/>
  </r>
  <r>
    <x v="56"/>
    <s v="Foreign direct investment, net"/>
    <n v="52.1"/>
    <n v="8"/>
    <s v="8. France"/>
  </r>
  <r>
    <x v="67"/>
    <s v="Foreign direct investment, net"/>
    <n v="47.6"/>
    <n v="9"/>
    <s v="9. Germany"/>
  </r>
  <r>
    <x v="193"/>
    <s v="Foreign direct investment, net"/>
    <n v="46.6"/>
    <n v="10"/>
    <s v="10. Egypt, Arab Rep."/>
  </r>
  <r>
    <x v="191"/>
    <s v="Foreign direct investment, net"/>
    <n v="45.6"/>
    <n v="11"/>
    <s v="11. United Arab Emirates"/>
  </r>
  <r>
    <x v="58"/>
    <s v="Foreign direct investment, net"/>
    <n v="45.3"/>
    <n v="12"/>
    <s v="12. Mexico"/>
  </r>
  <r>
    <x v="133"/>
    <s v="Foreign direct investment, net"/>
    <n v="42.5"/>
    <n v="13"/>
    <s v="13. Malta"/>
  </r>
  <r>
    <x v="171"/>
    <s v="Foreign direct investment, net"/>
    <n v="35.9"/>
    <n v="14"/>
    <s v="14. Cayman Islands"/>
  </r>
  <r>
    <x v="61"/>
    <s v="Foreign direct investment, net"/>
    <n v="34.1"/>
    <n v="15"/>
    <s v="15. Spain"/>
  </r>
  <r>
    <x v="186"/>
    <s v="Foreign direct investment, net"/>
    <n v="28.9"/>
    <n v="16"/>
    <s v="16. Sweden"/>
  </r>
  <r>
    <x v="38"/>
    <s v="Foreign direct investment, net"/>
    <n v="27.1"/>
    <n v="17"/>
    <s v="17. India"/>
  </r>
  <r>
    <x v="126"/>
    <s v="Foreign direct investment, net"/>
    <n v="24.1"/>
    <n v="18"/>
    <s v="18. Indonesia"/>
  </r>
  <r>
    <x v="81"/>
    <s v="Foreign direct investment, net"/>
    <n v="21.8"/>
    <n v="19"/>
    <s v="19. Italy"/>
  </r>
  <r>
    <x v="66"/>
    <s v="Foreign direct investment, net"/>
    <n v="21.4"/>
    <n v="20"/>
    <s v="20. Poland"/>
  </r>
  <r>
    <x v="4"/>
    <s v="Foreign direct investment, net"/>
    <n v="20.3"/>
    <n v="21"/>
    <s v="21. Saudi Arabia"/>
  </r>
  <r>
    <x v="97"/>
    <s v="Foreign direct investment, net"/>
    <n v="20.2"/>
    <n v="22"/>
    <s v="22. Viet Nam"/>
  </r>
  <r>
    <x v="46"/>
    <s v="Foreign direct investment, net"/>
    <n v="18.600000000000001"/>
    <n v="23"/>
    <s v="23. China"/>
  </r>
  <r>
    <x v="28"/>
    <s v="Foreign direct investment, net"/>
    <n v="18.5"/>
    <n v="24"/>
    <s v="24. Denmark"/>
  </r>
  <r>
    <x v="169"/>
    <s v="Foreign direct investment, net"/>
    <n v="17.2"/>
    <n v="25"/>
    <s v="25. Japan"/>
  </r>
  <r>
    <x v="131"/>
    <s v="Foreign direct investment, net"/>
    <n v="15.6"/>
    <n v="26"/>
    <s v="26. Malaysia"/>
  </r>
  <r>
    <x v="161"/>
    <s v="Foreign direct investment, net"/>
    <n v="15.2"/>
    <n v="27"/>
    <s v="27. Korea, Rep."/>
  </r>
  <r>
    <x v="134"/>
    <s v="Foreign direct investment, net"/>
    <n v="14.8"/>
    <n v="28"/>
    <s v="28. Israel"/>
  </r>
  <r>
    <x v="108"/>
    <s v="Foreign direct investment, net"/>
    <n v="14.3"/>
    <n v="29"/>
    <s v="29. Colombia"/>
  </r>
  <r>
    <x v="83"/>
    <s v="Foreign direct investment, net"/>
    <n v="13.2"/>
    <n v="30"/>
    <s v="30. Portugal"/>
  </r>
  <r>
    <x v="74"/>
    <s v="Foreign direct investment, net"/>
    <n v="13.1"/>
    <n v="31"/>
    <s v="31. Czechia"/>
  </r>
  <r>
    <x v="200"/>
    <s v="Foreign direct investment, net"/>
    <n v="12.6"/>
    <n v="32"/>
    <s v="32. Norway"/>
  </r>
  <r>
    <x v="165"/>
    <s v="Foreign direct investment, net"/>
    <n v="12.5"/>
    <n v="33"/>
    <s v="33. Chile"/>
  </r>
  <r>
    <x v="59"/>
    <s v="Foreign direct investment, net"/>
    <n v="11.7"/>
    <n v="34"/>
    <s v="34. Turkiye"/>
  </r>
  <r>
    <x v="87"/>
    <s v="Foreign direct investment, net"/>
    <n v="11.6"/>
    <n v="35"/>
    <s v="35. Argentina"/>
  </r>
  <r>
    <x v="82"/>
    <s v="Foreign direct investment, net"/>
    <n v="10.1"/>
    <n v="36"/>
    <s v="36. Thailand"/>
  </r>
  <r>
    <x v="120"/>
    <s v="Foreign direct investment, net"/>
    <n v="9.3000000000000007"/>
    <n v="37"/>
    <s v="37. Austria"/>
  </r>
  <r>
    <x v="86"/>
    <s v="Foreign direct investment, net"/>
    <n v="8.9"/>
    <n v="38"/>
    <s v="38. Philippines"/>
  </r>
  <r>
    <x v="192"/>
    <s v="Foreign direct investment, net"/>
    <n v="8.6999999999999993"/>
    <n v="39"/>
    <s v="39. Oman"/>
  </r>
  <r>
    <x v="197"/>
    <s v="Foreign direct investment, net"/>
    <n v="8.6"/>
    <n v="40"/>
    <s v="40. Guyana"/>
  </r>
  <r>
    <x v="49"/>
    <s v="Foreign direct investment, net"/>
    <n v="7.4"/>
    <n v="41"/>
    <s v="41. Romania"/>
  </r>
  <r>
    <x v="153"/>
    <s v="Foreign direct investment, net"/>
    <n v="6.8"/>
    <n v="42"/>
    <s v="42. Peru"/>
  </r>
  <r>
    <x v="92"/>
    <s v="Foreign direct investment, net"/>
    <n v="6.5"/>
    <n v="43"/>
    <s v="43. Greece"/>
  </r>
  <r>
    <x v="93"/>
    <s v="Foreign direct investment, net"/>
    <n v="5.6"/>
    <n v="44"/>
    <s v="44. Serbia"/>
  </r>
  <r>
    <x v="115"/>
    <s v="Foreign direct investment, net"/>
    <n v="5.3"/>
    <n v="45"/>
    <s v="45. Costa Rica"/>
  </r>
  <r>
    <x v="130"/>
    <s v="Foreign direct investment, net"/>
    <n v="4.7"/>
    <n v="46"/>
    <s v="46. Croatia"/>
  </r>
  <r>
    <x v="47"/>
    <s v="Foreign direct investment, net"/>
    <n v="4.5"/>
    <n v="47"/>
    <s v="47. Dominican Republic"/>
  </r>
  <r>
    <x v="111"/>
    <s v="Foreign direct investment, net"/>
    <n v="4.4000000000000004"/>
    <n v="48"/>
    <s v="48. Cambodia"/>
  </r>
  <r>
    <x v="112"/>
    <s v="Foreign direct investment, net"/>
    <n v="4"/>
    <n v="49"/>
    <s v="49. Ethiopia"/>
  </r>
  <r>
    <x v="17"/>
    <s v="Foreign direct investment, net"/>
    <n v="4"/>
    <n v="50"/>
    <s v="50. Ukraine"/>
  </r>
  <r>
    <x v="0"/>
    <s v="Foreign direct investment, net"/>
    <n v="3.8"/>
    <n v="51"/>
    <s v="51. Cote d'Ivoire"/>
  </r>
  <r>
    <x v="73"/>
    <s v="Foreign direct investment, net"/>
    <n v="3.6"/>
    <n v="52"/>
    <s v="52. Lithuania"/>
  </r>
  <r>
    <x v="103"/>
    <s v="Foreign direct investment, net"/>
    <n v="3.6"/>
    <n v="53"/>
    <s v="53. Slovak Republic"/>
  </r>
  <r>
    <x v="71"/>
    <s v="Foreign direct investment, net"/>
    <n v="3.5"/>
    <n v="54"/>
    <s v="54. Bulgaria"/>
  </r>
  <r>
    <x v="208"/>
    <s v="Foreign direct investment, net"/>
    <n v="3.5"/>
    <n v="55"/>
    <s v="55. Macao SAR, China"/>
  </r>
  <r>
    <x v="55"/>
    <s v="Foreign direct investment, net"/>
    <n v="3.5"/>
    <n v="56"/>
    <s v="56. Mozambique"/>
  </r>
  <r>
    <x v="20"/>
    <s v="Foreign direct investment, net"/>
    <n v="3.5"/>
    <n v="57"/>
    <s v="57. United Kingdom"/>
  </r>
  <r>
    <x v="106"/>
    <s v="Foreign direct investment, net"/>
    <n v="3.4"/>
    <n v="58"/>
    <s v="58. New Zealand"/>
  </r>
  <r>
    <x v="15"/>
    <s v="Foreign direct investment, net"/>
    <n v="3.3"/>
    <n v="59"/>
    <s v="59. Uganda"/>
  </r>
  <r>
    <x v="125"/>
    <s v="Foreign direct investment, net"/>
    <n v="3.2"/>
    <n v="60"/>
    <s v="60. Panama"/>
  </r>
  <r>
    <x v="162"/>
    <s v="Foreign direct investment, net"/>
    <n v="2.9"/>
    <n v="61"/>
    <s v="61. Congo, Dem. Rep."/>
  </r>
  <r>
    <x v="25"/>
    <s v="Foreign direct investment, net"/>
    <n v="2.8"/>
    <n v="62"/>
    <s v="62. Mongolia"/>
  </r>
  <r>
    <x v="42"/>
    <s v="Foreign direct investment, net"/>
    <n v="2.8"/>
    <n v="63"/>
    <s v="63. Uzbekistan"/>
  </r>
  <r>
    <x v="174"/>
    <s v="Foreign direct investment, net"/>
    <n v="2.7"/>
    <n v="64"/>
    <s v="64. Bahrain"/>
  </r>
  <r>
    <x v="160"/>
    <s v="Foreign direct investment, net"/>
    <n v="2.7"/>
    <n v="65"/>
    <s v="65. Iceland"/>
  </r>
  <r>
    <x v="70"/>
    <s v="Foreign direct investment, net"/>
    <n v="2.7"/>
    <n v="66"/>
    <s v="66. Pakistan"/>
  </r>
  <r>
    <x v="185"/>
    <s v="Foreign direct investment, net"/>
    <n v="2.5"/>
    <n v="67"/>
    <s v="67. Finland"/>
  </r>
  <r>
    <x v="6"/>
    <s v="Foreign direct investment, net"/>
    <n v="2.2999999999999998"/>
    <n v="68"/>
    <s v="68. South Africa"/>
  </r>
  <r>
    <x v="69"/>
    <s v="Foreign direct investment, net"/>
    <n v="2"/>
    <n v="69"/>
    <s v="69. Namibia"/>
  </r>
  <r>
    <x v="63"/>
    <s v="Foreign direct investment, net"/>
    <n v="2"/>
    <n v="70"/>
    <s v="70. Senegal"/>
  </r>
  <r>
    <x v="122"/>
    <s v="Foreign direct investment, net"/>
    <n v="2"/>
    <n v="71"/>
    <s v="71. Slovenia"/>
  </r>
  <r>
    <x v="48"/>
    <s v="Foreign direct investment, net"/>
    <n v="1.8"/>
    <n v="72"/>
    <s v="72. Ghana"/>
  </r>
  <r>
    <x v="84"/>
    <s v="Foreign direct investment, net"/>
    <n v="1.8"/>
    <n v="73"/>
    <s v="73. Guatemala"/>
  </r>
  <r>
    <x v="27"/>
    <s v="Foreign direct investment, net"/>
    <n v="1.8"/>
    <n v="74"/>
    <s v="74. Lebanon"/>
  </r>
  <r>
    <x v="102"/>
    <s v="Foreign direct investment, net"/>
    <n v="1.7"/>
    <n v="75"/>
    <s v="75. Albania"/>
  </r>
  <r>
    <x v="96"/>
    <s v="Foreign direct investment, net"/>
    <n v="1.7"/>
    <n v="76"/>
    <s v="76. Belarus"/>
  </r>
  <r>
    <x v="78"/>
    <s v="Foreign direct investment, net"/>
    <n v="1.7"/>
    <n v="77"/>
    <s v="77. Tanzania"/>
  </r>
  <r>
    <x v="170"/>
    <s v="Foreign direct investment, net"/>
    <n v="1.6"/>
    <n v="78"/>
    <s v="78. Jordan"/>
  </r>
  <r>
    <x v="26"/>
    <s v="Foreign direct investment, net"/>
    <n v="1.6"/>
    <n v="79"/>
    <s v="79. Morocco"/>
  </r>
  <r>
    <x v="1"/>
    <s v="Foreign direct investment, net"/>
    <n v="1.6"/>
    <n v="80"/>
    <s v="80. Turkmenistan"/>
  </r>
  <r>
    <x v="135"/>
    <s v="Foreign direct investment, net"/>
    <n v="1.6"/>
    <n v="81"/>
    <s v="81. Venezuela, RB"/>
  </r>
  <r>
    <x v="14"/>
    <s v="Foreign direct investment, net"/>
    <n v="1.5"/>
    <n v="82"/>
    <s v="82. Bangladesh"/>
  </r>
  <r>
    <x v="119"/>
    <s v="Foreign direct investment, net"/>
    <n v="1.5"/>
    <n v="83"/>
    <s v="83. Latvia"/>
  </r>
  <r>
    <x v="113"/>
    <s v="Foreign direct investment, net"/>
    <n v="1.4"/>
    <n v="84"/>
    <s v="84. Georgia"/>
  </r>
  <r>
    <x v="13"/>
    <s v="Foreign direct investment, net"/>
    <n v="1.4"/>
    <n v="85"/>
    <s v="85. Guinea"/>
  </r>
  <r>
    <x v="127"/>
    <s v="Foreign direct investment, net"/>
    <n v="1.4"/>
    <n v="86"/>
    <s v="86. Iran, Islamic Rep."/>
  </r>
  <r>
    <x v="100"/>
    <s v="Foreign direct investment, net"/>
    <n v="1.4"/>
    <n v="87"/>
    <s v="87. Mauritania"/>
  </r>
  <r>
    <x v="88"/>
    <s v="Foreign direct investment, net"/>
    <n v="1.4"/>
    <n v="88"/>
    <s v="88. Nicaragua"/>
  </r>
  <r>
    <x v="118"/>
    <s v="Foreign direct investment, net"/>
    <n v="1.3"/>
    <n v="89"/>
    <s v="89. Honduras"/>
  </r>
  <r>
    <x v="157"/>
    <s v="Foreign direct investment, net"/>
    <n v="1.2"/>
    <n v="90"/>
    <s v="90. Algeria"/>
  </r>
  <r>
    <x v="60"/>
    <s v="Foreign direct investment, net"/>
    <n v="1.2"/>
    <n v="91"/>
    <s v="91. North Macedonia"/>
  </r>
  <r>
    <x v="117"/>
    <s v="Foreign direct investment, net"/>
    <n v="1.2"/>
    <n v="92"/>
    <s v="92. Zambia"/>
  </r>
  <r>
    <x v="182"/>
    <s v="Foreign direct investment, net"/>
    <n v="1.1000000000000001"/>
    <n v="93"/>
    <s v="93. Gabon"/>
  </r>
  <r>
    <x v="149"/>
    <s v="Foreign direct investment, net"/>
    <n v="1.1000000000000001"/>
    <n v="94"/>
    <s v="94. Myanmar"/>
  </r>
  <r>
    <x v="9"/>
    <s v="Foreign direct investment, net"/>
    <n v="1.1000000000000001"/>
    <n v="95"/>
    <s v="95. Nigeria"/>
  </r>
  <r>
    <x v="142"/>
    <s v="Foreign direct investment, net"/>
    <n v="1"/>
    <n v="96"/>
    <s v="96. Bosnia and Herzegovina"/>
  </r>
  <r>
    <x v="94"/>
    <s v="Foreign direct investment, net"/>
    <n v="1"/>
    <n v="97"/>
    <s v="97. Chad"/>
  </r>
  <r>
    <x v="176"/>
    <s v="Foreign direct investment, net"/>
    <n v="1"/>
    <n v="98"/>
    <s v="98. Lao PDR"/>
  </r>
  <r>
    <x v="145"/>
    <s v="Foreign direct investment, net"/>
    <n v="0.9"/>
    <n v="99"/>
    <s v="99. Cameroon"/>
  </r>
  <r>
    <x v="44"/>
    <s v="Foreign direct investment, net"/>
    <n v="0.9"/>
    <n v="100"/>
    <s v="100. El Salvador"/>
  </r>
  <r>
    <x v="209"/>
    <s v="Foreign direct investment, net"/>
    <n v="0.9"/>
    <n v="101"/>
    <s v="101. Kosovo"/>
  </r>
  <r>
    <x v="150"/>
    <s v="Foreign direct investment, net"/>
    <n v="0.8"/>
    <n v="102"/>
    <s v="102. Maldives"/>
  </r>
  <r>
    <x v="8"/>
    <s v="Foreign direct investment, net"/>
    <n v="0.8"/>
    <n v="103"/>
    <s v="103. Rwanda"/>
  </r>
  <r>
    <x v="19"/>
    <s v="Foreign direct investment, net"/>
    <n v="0.8"/>
    <n v="104"/>
    <s v="104. Somalia, Fed. Rep."/>
  </r>
  <r>
    <x v="64"/>
    <s v="Foreign direct investment, net"/>
    <n v="0.8"/>
    <n v="105"/>
    <s v="105. Sri Lanka"/>
  </r>
  <r>
    <x v="34"/>
    <s v="Foreign direct investment, net"/>
    <n v="0.8"/>
    <n v="106"/>
    <s v="106. Tunisia"/>
  </r>
  <r>
    <x v="52"/>
    <s v="Foreign direct investment, net"/>
    <n v="0.7"/>
    <n v="107"/>
    <s v="107. Kyrgyz Republic"/>
  </r>
  <r>
    <x v="147"/>
    <s v="Foreign direct investment, net"/>
    <n v="0.7"/>
    <n v="108"/>
    <s v="108. Liberia"/>
  </r>
  <r>
    <x v="110"/>
    <s v="Foreign direct investment, net"/>
    <n v="0.7"/>
    <n v="109"/>
    <s v="109. Mali"/>
  </r>
  <r>
    <x v="85"/>
    <s v="Foreign direct investment, net"/>
    <n v="0.7"/>
    <n v="110"/>
    <s v="110. Mauritius"/>
  </r>
  <r>
    <x v="175"/>
    <s v="Foreign direct investment, net"/>
    <n v="0.7"/>
    <n v="111"/>
    <s v="111. New Caledonia"/>
  </r>
  <r>
    <x v="121"/>
    <s v="Foreign direct investment, net"/>
    <n v="0.6"/>
    <n v="112"/>
    <s v="112. Congo, Rep."/>
  </r>
  <r>
    <x v="183"/>
    <s v="Foreign direct investment, net"/>
    <n v="0.6"/>
    <n v="113"/>
    <s v="113. Kuwait"/>
  </r>
  <r>
    <x v="152"/>
    <s v="Foreign direct investment, net"/>
    <n v="0.6"/>
    <n v="114"/>
    <s v="114. Montenegro"/>
  </r>
  <r>
    <x v="91"/>
    <s v="Foreign direct investment, net"/>
    <n v="0.6"/>
    <n v="115"/>
    <s v="115. Zimbabwe"/>
  </r>
  <r>
    <x v="90"/>
    <s v="Foreign direct investment, net"/>
    <n v="0.5"/>
    <n v="116"/>
    <s v="116. Benin"/>
  </r>
  <r>
    <x v="75"/>
    <s v="Foreign direct investment, net"/>
    <n v="0.5"/>
    <n v="117"/>
    <s v="117. Botswana"/>
  </r>
  <r>
    <x v="62"/>
    <s v="Foreign direct investment, net"/>
    <n v="0.5"/>
    <n v="118"/>
    <s v="118. Kenya"/>
  </r>
  <r>
    <x v="107"/>
    <s v="Foreign direct investment, net"/>
    <n v="0.5"/>
    <n v="119"/>
    <s v="119. Niger"/>
  </r>
  <r>
    <x v="189"/>
    <s v="Foreign direct investment, net"/>
    <n v="0.5"/>
    <n v="120"/>
    <s v="120. Qatar"/>
  </r>
  <r>
    <x v="109"/>
    <s v="Foreign direct investment, net"/>
    <n v="0.4"/>
    <n v="121"/>
    <s v="121. Bolivia"/>
  </r>
  <r>
    <x v="18"/>
    <s v="Foreign direct investment, net"/>
    <n v="0.4"/>
    <n v="122"/>
    <s v="122. Madagascar"/>
  </r>
  <r>
    <x v="51"/>
    <s v="Foreign direct investment, net"/>
    <n v="0.4"/>
    <n v="123"/>
    <s v="123. Paraguay"/>
  </r>
  <r>
    <x v="95"/>
    <s v="Foreign direct investment, net"/>
    <n v="0.3"/>
    <n v="124"/>
    <s v="124. Andorra"/>
  </r>
  <r>
    <x v="146"/>
    <s v="Foreign direct investment, net"/>
    <n v="0.3"/>
    <n v="125"/>
    <s v="125. Antigua and Barbuda"/>
  </r>
  <r>
    <x v="137"/>
    <s v="Foreign direct investment, net"/>
    <n v="0.3"/>
    <n v="126"/>
    <s v="126. Barbados"/>
  </r>
  <r>
    <x v="144"/>
    <s v="Foreign direct investment, net"/>
    <n v="0.3"/>
    <n v="127"/>
    <s v="127. Ecuador"/>
  </r>
  <r>
    <x v="99"/>
    <s v="Foreign direct investment, net"/>
    <n v="0.3"/>
    <n v="128"/>
    <s v="128. Jamaica"/>
  </r>
  <r>
    <x v="10"/>
    <s v="Foreign direct investment, net"/>
    <n v="0.3"/>
    <n v="129"/>
    <s v="129. Moldova"/>
  </r>
  <r>
    <x v="198"/>
    <s v="Foreign direct investment, net"/>
    <n v="0.3"/>
    <n v="130"/>
    <s v="130. Seychelles"/>
  </r>
  <r>
    <x v="50"/>
    <s v="Foreign direct investment, net"/>
    <n v="0.3"/>
    <n v="131"/>
    <s v="131. Sierra Leone"/>
  </r>
  <r>
    <x v="129"/>
    <s v="Foreign direct investment, net"/>
    <n v="0.3"/>
    <n v="132"/>
    <s v="132. Tajikistan"/>
  </r>
  <r>
    <x v="43"/>
    <s v="Foreign direct investment, net"/>
    <n v="0.2"/>
    <n v="133"/>
    <s v="133. Azerbaijan"/>
  </r>
  <r>
    <x v="202"/>
    <s v="Foreign direct investment, net"/>
    <n v="0.2"/>
    <n v="134"/>
    <s v="134. Bahamas, The"/>
  </r>
  <r>
    <x v="237"/>
    <s v="Foreign direct investment, net"/>
    <n v="0.2"/>
    <n v="135"/>
    <s v="135. Curacao"/>
  </r>
  <r>
    <x v="196"/>
    <s v="Foreign direct investment, net"/>
    <n v="0.2"/>
    <n v="136"/>
    <s v="136. Equatorial Guinea"/>
  </r>
  <r>
    <x v="158"/>
    <s v="Foreign direct investment, net"/>
    <n v="0.2"/>
    <n v="137"/>
    <s v="137. Fiji"/>
  </r>
  <r>
    <x v="33"/>
    <s v="Foreign direct investment, net"/>
    <n v="0.2"/>
    <n v="138"/>
    <s v="138. Gambia, The"/>
  </r>
  <r>
    <x v="136"/>
    <s v="Foreign direct investment, net"/>
    <n v="0.2"/>
    <n v="139"/>
    <s v="139. Grenada"/>
  </r>
  <r>
    <x v="31"/>
    <s v="Foreign direct investment, net"/>
    <n v="0.2"/>
    <n v="140"/>
    <s v="140. Malawi"/>
  </r>
  <r>
    <x v="132"/>
    <s v="Foreign direct investment, net"/>
    <n v="0.2"/>
    <n v="141"/>
    <s v="141. Nepal"/>
  </r>
  <r>
    <x v="159"/>
    <s v="Foreign direct investment, net"/>
    <n v="0.2"/>
    <n v="142"/>
    <s v="142. St. Lucia"/>
  </r>
  <r>
    <x v="140"/>
    <s v="Foreign direct investment, net"/>
    <n v="0.2"/>
    <n v="143"/>
    <s v="143. Timor-Leste"/>
  </r>
  <r>
    <x v="30"/>
    <s v="Foreign direct investment, net"/>
    <n v="0.2"/>
    <n v="144"/>
    <s v="144. West Bank and Gaza"/>
  </r>
  <r>
    <x v="40"/>
    <s v="Foreign direct investment, net"/>
    <n v="0.1"/>
    <n v="145"/>
    <s v="145. Armenia"/>
  </r>
  <r>
    <x v="172"/>
    <s v="Foreign direct investment, net"/>
    <n v="0.1"/>
    <n v="146"/>
    <s v="146. Aruba"/>
  </r>
  <r>
    <x v="184"/>
    <s v="Foreign direct investment, net"/>
    <n v="0.1"/>
    <n v="147"/>
    <s v="147. Belize"/>
  </r>
  <r>
    <x v="190"/>
    <s v="Foreign direct investment, net"/>
    <n v="0.1"/>
    <n v="148"/>
    <s v="148. Bermuda"/>
  </r>
  <r>
    <x v="54"/>
    <s v="Foreign direct investment, net"/>
    <n v="0.1"/>
    <n v="149"/>
    <s v="149. Burkina Faso"/>
  </r>
  <r>
    <x v="151"/>
    <s v="Foreign direct investment, net"/>
    <n v="0.1"/>
    <n v="150"/>
    <s v="150. Cabo Verde"/>
  </r>
  <r>
    <x v="12"/>
    <s v="Foreign direct investment, net"/>
    <n v="0.1"/>
    <n v="151"/>
    <s v="151. Djibouti"/>
  </r>
  <r>
    <x v="23"/>
    <s v="Foreign direct investment, net"/>
    <n v="0.1"/>
    <n v="152"/>
    <s v="152. Eswatini"/>
  </r>
  <r>
    <x v="178"/>
    <s v="Foreign direct investment, net"/>
    <n v="0.1"/>
    <n v="153"/>
    <s v="153. Palau"/>
  </r>
  <r>
    <x v="76"/>
    <s v="Foreign direct investment, net"/>
    <n v="0.1"/>
    <n v="154"/>
    <s v="154. South Sudan"/>
  </r>
  <r>
    <x v="155"/>
    <s v="Foreign direct investment, net"/>
    <n v="0.1"/>
    <n v="155"/>
    <s v="155. St. Vincent and the Grenadines"/>
  </r>
  <r>
    <x v="21"/>
    <s v="Foreign direct investment, net"/>
    <n v="0.1"/>
    <n v="156"/>
    <s v="156. Togo"/>
  </r>
  <r>
    <x v="167"/>
    <s v="Foreign direct investment, net"/>
    <n v="0"/>
    <n v="157"/>
    <s v="157. Bhutan"/>
  </r>
  <r>
    <x v="201"/>
    <s v="Foreign direct investment, net"/>
    <n v="0"/>
    <n v="158"/>
    <s v="158. Brunei Darussalam"/>
  </r>
  <r>
    <x v="2"/>
    <s v="Foreign direct investment, net"/>
    <n v="0"/>
    <n v="159"/>
    <s v="159. Burundi"/>
  </r>
  <r>
    <x v="179"/>
    <s v="Foreign direct investment, net"/>
    <n v="0"/>
    <n v="160"/>
    <s v="160. Central African Republic"/>
  </r>
  <r>
    <x v="16"/>
    <s v="Foreign direct investment, net"/>
    <n v="0"/>
    <n v="161"/>
    <s v="161. Comoros"/>
  </r>
  <r>
    <x v="114"/>
    <s v="Foreign direct investment, net"/>
    <n v="0"/>
    <n v="162"/>
    <s v="162. Dominica"/>
  </r>
  <r>
    <x v="32"/>
    <s v="Foreign direct investment, net"/>
    <n v="0"/>
    <n v="163"/>
    <s v="163. Eritrea"/>
  </r>
  <r>
    <x v="180"/>
    <s v="Foreign direct investment, net"/>
    <n v="0"/>
    <n v="164"/>
    <s v="164. French Polynesia"/>
  </r>
  <r>
    <x v="123"/>
    <s v="Foreign direct investment, net"/>
    <n v="0"/>
    <n v="165"/>
    <s v="165. Guinea-Bissau"/>
  </r>
  <r>
    <x v="29"/>
    <s v="Foreign direct investment, net"/>
    <n v="0"/>
    <n v="166"/>
    <s v="166. Haiti"/>
  </r>
  <r>
    <x v="89"/>
    <s v="Foreign direct investment, net"/>
    <n v="0"/>
    <n v="167"/>
    <s v="167. Kiribati"/>
  </r>
  <r>
    <x v="7"/>
    <s v="Foreign direct investment, net"/>
    <n v="0"/>
    <n v="168"/>
    <s v="168. Lesotho"/>
  </r>
  <r>
    <x v="98"/>
    <s v="Foreign direct investment, net"/>
    <n v="0"/>
    <n v="169"/>
    <s v="169. Marshall Islands"/>
  </r>
  <r>
    <x v="148"/>
    <s v="Foreign direct investment, net"/>
    <n v="0"/>
    <n v="170"/>
    <s v="170. Nauru"/>
  </r>
  <r>
    <x v="156"/>
    <s v="Foreign direct investment, net"/>
    <n v="0"/>
    <n v="171"/>
    <s v="171. Samoa"/>
  </r>
  <r>
    <x v="77"/>
    <s v="Foreign direct investment, net"/>
    <n v="0"/>
    <n v="172"/>
    <s v="172. Sao Tome and Principe"/>
  </r>
  <r>
    <x v="235"/>
    <s v="Foreign direct investment, net"/>
    <n v="0"/>
    <n v="173"/>
    <s v="173. Sint Maarten (Dutch part)"/>
  </r>
  <r>
    <x v="194"/>
    <s v="Foreign direct investment, net"/>
    <n v="0"/>
    <n v="174"/>
    <s v="174. Solomon Islands"/>
  </r>
  <r>
    <x v="139"/>
    <s v="Foreign direct investment, net"/>
    <n v="0"/>
    <n v="175"/>
    <s v="175. St. Kitts and Nevis"/>
  </r>
  <r>
    <x v="207"/>
    <s v="Foreign direct investment, net"/>
    <n v="0"/>
    <n v="176"/>
    <s v="176. Suriname"/>
  </r>
  <r>
    <x v="65"/>
    <s v="Foreign direct investment, net"/>
    <n v="0"/>
    <n v="177"/>
    <s v="177. Tonga"/>
  </r>
  <r>
    <x v="204"/>
    <s v="Foreign direct investment, net"/>
    <n v="0"/>
    <n v="178"/>
    <s v="178. Turks and Caicos Islands"/>
  </r>
  <r>
    <x v="39"/>
    <s v="Foreign direct investment, net"/>
    <n v="0"/>
    <n v="179"/>
    <s v="179. Tuvalu"/>
  </r>
  <r>
    <x v="163"/>
    <s v="Foreign direct investment, net"/>
    <n v="0"/>
    <n v="180"/>
    <s v="180. Vanuatu"/>
  </r>
  <r>
    <x v="199"/>
    <s v="Foreign direct investment, net"/>
    <n v="-0.2"/>
    <n v="181"/>
    <s v="181. Papua New Guinea"/>
  </r>
  <r>
    <x v="5"/>
    <s v="Foreign direct investment, net"/>
    <n v="-0.7"/>
    <n v="182"/>
    <s v="182. Kazakhstan"/>
  </r>
  <r>
    <x v="173"/>
    <s v="Foreign direct investment, net"/>
    <n v="-1"/>
    <n v="183"/>
    <s v="183. Trinidad and Tobago"/>
  </r>
  <r>
    <x v="105"/>
    <s v="Foreign direct investment, net"/>
    <n v="-1.1000000000000001"/>
    <n v="184"/>
    <s v="184. Angola"/>
  </r>
  <r>
    <x v="3"/>
    <s v="Foreign direct investment, net"/>
    <n v="-2.5"/>
    <n v="185"/>
    <s v="185. Uruguay"/>
  </r>
  <r>
    <x v="138"/>
    <s v="Foreign direct investment, net"/>
    <n v="-3.5"/>
    <n v="186"/>
    <s v="186. Estonia"/>
  </r>
  <r>
    <x v="141"/>
    <s v="Foreign direct investment, net"/>
    <n v="-7.5"/>
    <n v="187"/>
    <s v="187. Iraq"/>
  </r>
  <r>
    <x v="168"/>
    <s v="Foreign direct investment, net"/>
    <n v="-8.1"/>
    <n v="188"/>
    <s v="188. Russian Federation"/>
  </r>
  <r>
    <x v="53"/>
    <s v="Foreign direct investment, net"/>
    <n v="-17.100000000000001"/>
    <n v="189"/>
    <s v="189. Netherlands"/>
  </r>
  <r>
    <x v="166"/>
    <s v="Foreign direct investment, net"/>
    <n v="-18.600000000000001"/>
    <n v="190"/>
    <s v="190. Cyprus"/>
  </r>
  <r>
    <x v="45"/>
    <s v="Foreign direct investment, net"/>
    <n v="-34.9"/>
    <n v="191"/>
    <s v="191. Hungary"/>
  </r>
  <r>
    <x v="79"/>
    <s v="Foreign direct investment, net"/>
    <n v="-35.6"/>
    <n v="192"/>
    <s v="192. Belgium"/>
  </r>
  <r>
    <x v="36"/>
    <s v="Foreign direct investment, net"/>
    <n v="-38.9"/>
    <n v="193"/>
    <s v="193. Ireland"/>
  </r>
  <r>
    <x v="104"/>
    <s v="Foreign direct investment, net"/>
    <n v="-112.1"/>
    <n v="194"/>
    <s v="194. Switzerland"/>
  </r>
  <r>
    <x v="207"/>
    <s v="Forest area share"/>
    <n v="94.4"/>
    <n v="1"/>
    <s v="1. Suriname"/>
  </r>
  <r>
    <x v="187"/>
    <s v="Forest area share"/>
    <n v="92.2"/>
    <n v="2"/>
    <s v="2. Micronesia, Fed. Sts."/>
  </r>
  <r>
    <x v="182"/>
    <s v="Forest area share"/>
    <n v="91.2"/>
    <n v="3"/>
    <s v="3. Gabon"/>
  </r>
  <r>
    <x v="178"/>
    <s v="Forest area share"/>
    <n v="90.5"/>
    <n v="4"/>
    <s v="4. Palau"/>
  </r>
  <r>
    <x v="194"/>
    <s v="Forest area share"/>
    <n v="90.1"/>
    <n v="5"/>
    <s v="5. Solomon Islands"/>
  </r>
  <r>
    <x v="197"/>
    <s v="Forest area share"/>
    <n v="87.1"/>
    <n v="6"/>
    <s v="6. Guyana"/>
  </r>
  <r>
    <x v="196"/>
    <s v="Forest area share"/>
    <n v="86.4"/>
    <n v="7"/>
    <s v="7. Equatorial Guinea"/>
  </r>
  <r>
    <x v="164"/>
    <s v="Forest area share"/>
    <n v="85.2"/>
    <n v="8"/>
    <s v="8. American Samoa"/>
  </r>
  <r>
    <x v="199"/>
    <s v="Forest area share"/>
    <n v="79"/>
    <n v="9"/>
    <s v="9. Papua New Guinea"/>
  </r>
  <r>
    <x v="147"/>
    <s v="Forest area share"/>
    <n v="78.099999999999994"/>
    <n v="10"/>
    <s v="10. Liberia"/>
  </r>
  <r>
    <x v="185"/>
    <s v="Forest area share"/>
    <n v="73.7"/>
    <n v="11"/>
    <s v="11. Finland"/>
  </r>
  <r>
    <x v="198"/>
    <s v="Forest area share"/>
    <n v="73.3"/>
    <n v="12"/>
    <s v="12. Seychelles"/>
  </r>
  <r>
    <x v="155"/>
    <s v="Forest area share"/>
    <n v="73.2"/>
    <n v="13"/>
    <s v="13. St. Vincent and the Grenadines"/>
  </r>
  <r>
    <x v="201"/>
    <s v="Forest area share"/>
    <n v="72.099999999999994"/>
    <n v="14"/>
    <s v="14. Brunei Darussalam"/>
  </r>
  <r>
    <x v="167"/>
    <s v="Forest area share"/>
    <n v="71.599999999999994"/>
    <n v="15"/>
    <s v="15. Bhutan"/>
  </r>
  <r>
    <x v="176"/>
    <s v="Forest area share"/>
    <n v="71.5"/>
    <n v="16"/>
    <s v="16. Lao PDR"/>
  </r>
  <r>
    <x v="123"/>
    <s v="Forest area share"/>
    <n v="69.5"/>
    <n v="17"/>
    <s v="17. Guinea-Bissau"/>
  </r>
  <r>
    <x v="186"/>
    <s v="Forest area share"/>
    <n v="68.7"/>
    <n v="18"/>
    <s v="18. Sweden"/>
  </r>
  <r>
    <x v="169"/>
    <s v="Forest area share"/>
    <n v="68.400000000000006"/>
    <n v="19"/>
    <s v="19. Japan"/>
  </r>
  <r>
    <x v="121"/>
    <s v="Forest area share"/>
    <n v="64.099999999999994"/>
    <n v="20"/>
    <s v="20. Congo, Rep."/>
  </r>
  <r>
    <x v="161"/>
    <s v="Forest area share"/>
    <n v="64.099999999999994"/>
    <n v="21"/>
    <s v="21. Korea, Rep."/>
  </r>
  <r>
    <x v="114"/>
    <s v="Forest area share"/>
    <n v="63.8"/>
    <n v="22"/>
    <s v="22. Dominica"/>
  </r>
  <r>
    <x v="158"/>
    <s v="Forest area share"/>
    <n v="63.5"/>
    <n v="23"/>
    <s v="23. Fiji"/>
  </r>
  <r>
    <x v="140"/>
    <s v="Forest area share"/>
    <n v="61.7"/>
    <n v="24"/>
    <s v="24. Timor-Leste"/>
  </r>
  <r>
    <x v="152"/>
    <s v="Forest area share"/>
    <n v="61.5"/>
    <n v="25"/>
    <s v="25. Montenegro"/>
  </r>
  <r>
    <x v="122"/>
    <s v="Forest area share"/>
    <n v="61.2"/>
    <n v="26"/>
    <s v="26. Slovenia"/>
  </r>
  <r>
    <x v="115"/>
    <s v="Forest area share"/>
    <n v="60.4"/>
    <n v="27"/>
    <s v="27. Costa Rica"/>
  </r>
  <r>
    <x v="117"/>
    <s v="Forest area share"/>
    <n v="59.5"/>
    <n v="28"/>
    <s v="28. Zambia"/>
  </r>
  <r>
    <x v="128"/>
    <s v="Forest area share"/>
    <n v="59"/>
    <n v="29"/>
    <s v="29. Brazil"/>
  </r>
  <r>
    <x v="177"/>
    <s v="Forest area share"/>
    <n v="58.2"/>
    <n v="30"/>
    <s v="30. Virgin Islands (U.S.)"/>
  </r>
  <r>
    <x v="131"/>
    <s v="Forest area share"/>
    <n v="57.7"/>
    <n v="31"/>
    <s v="31. Malaysia"/>
  </r>
  <r>
    <x v="156"/>
    <s v="Forest area share"/>
    <n v="57.6"/>
    <n v="32"/>
    <s v="32. Samoa"/>
  </r>
  <r>
    <x v="138"/>
    <s v="Forest area share"/>
    <n v="57.1"/>
    <n v="33"/>
    <s v="33. Estonia"/>
  </r>
  <r>
    <x v="118"/>
    <s v="Forest area share"/>
    <n v="56.3"/>
    <n v="34"/>
    <s v="34. Honduras"/>
  </r>
  <r>
    <x v="125"/>
    <s v="Forest area share"/>
    <n v="56.3"/>
    <n v="35"/>
    <s v="35. Panama"/>
  </r>
  <r>
    <x v="99"/>
    <s v="Forest area share"/>
    <n v="56.2"/>
    <n v="36"/>
    <s v="36. Jamaica"/>
  </r>
  <r>
    <x v="153"/>
    <s v="Forest area share"/>
    <n v="56.1"/>
    <n v="37"/>
    <s v="37. Peru"/>
  </r>
  <r>
    <x v="154"/>
    <s v="Forest area share"/>
    <n v="56.1"/>
    <n v="38"/>
    <s v="38. Puerto Rico (US)"/>
  </r>
  <r>
    <x v="119"/>
    <s v="Forest area share"/>
    <n v="55"/>
    <n v="39"/>
    <s v="39. Latvia"/>
  </r>
  <r>
    <x v="184"/>
    <s v="Forest area share"/>
    <n v="54.5"/>
    <n v="40"/>
    <s v="40. Belize"/>
  </r>
  <r>
    <x v="162"/>
    <s v="Forest area share"/>
    <n v="54.2"/>
    <n v="41"/>
    <s v="41. Congo, Dem. Rep."/>
  </r>
  <r>
    <x v="203"/>
    <s v="Forest area share"/>
    <n v="53"/>
    <n v="42"/>
    <s v="42. Northern Mariana Islands"/>
  </r>
  <r>
    <x v="108"/>
    <s v="Forest area share"/>
    <n v="52.8"/>
    <n v="43"/>
    <s v="43. Colombia"/>
  </r>
  <r>
    <x v="171"/>
    <s v="Forest area share"/>
    <n v="52.5"/>
    <n v="44"/>
    <s v="44. Cayman Islands"/>
  </r>
  <r>
    <x v="98"/>
    <s v="Forest area share"/>
    <n v="52.2"/>
    <n v="45"/>
    <s v="45. Marshall Islands"/>
  </r>
  <r>
    <x v="135"/>
    <s v="Forest area share"/>
    <n v="52.2"/>
    <n v="46"/>
    <s v="46. Venezuela, RB"/>
  </r>
  <r>
    <x v="105"/>
    <s v="Forest area share"/>
    <n v="52.1"/>
    <n v="47"/>
    <s v="47. Angola"/>
  </r>
  <r>
    <x v="136"/>
    <s v="Forest area share"/>
    <n v="52.1"/>
    <n v="48"/>
    <s v="48. Grenada"/>
  </r>
  <r>
    <x v="77"/>
    <s v="Forest area share"/>
    <n v="52.1"/>
    <n v="49"/>
    <s v="49. Sao Tome and Principe"/>
  </r>
  <r>
    <x v="124"/>
    <s v="Forest area share"/>
    <n v="51.9"/>
    <n v="50"/>
    <s v="50. Guam"/>
  </r>
  <r>
    <x v="202"/>
    <s v="Forest area share"/>
    <n v="50.9"/>
    <n v="51"/>
    <s v="51. Bahamas, The"/>
  </r>
  <r>
    <x v="78"/>
    <s v="Forest area share"/>
    <n v="50.1"/>
    <n v="52"/>
    <s v="52. Tanzania"/>
  </r>
  <r>
    <x v="168"/>
    <s v="Forest area share"/>
    <n v="49.8"/>
    <n v="53"/>
    <s v="53. Russian Federation"/>
  </r>
  <r>
    <x v="143"/>
    <s v="Forest area share"/>
    <n v="49.6"/>
    <n v="54"/>
    <s v="54. Korea, Dem. People's Rep."/>
  </r>
  <r>
    <x v="144"/>
    <s v="Forest area share"/>
    <n v="49.5"/>
    <n v="55"/>
    <s v="55. Ecuador"/>
  </r>
  <r>
    <x v="126"/>
    <s v="Forest area share"/>
    <n v="47.7"/>
    <n v="56"/>
    <s v="56. Indonesia"/>
  </r>
  <r>
    <x v="97"/>
    <s v="Forest area share"/>
    <n v="47.4"/>
    <n v="57"/>
    <s v="57. Viet Nam"/>
  </r>
  <r>
    <x v="120"/>
    <s v="Forest area share"/>
    <n v="47.2"/>
    <n v="58"/>
    <s v="58. Austria"/>
  </r>
  <r>
    <x v="109"/>
    <s v="Forest area share"/>
    <n v="46.3"/>
    <n v="59"/>
    <s v="59. Bolivia"/>
  </r>
  <r>
    <x v="55"/>
    <s v="Forest area share"/>
    <n v="45.8"/>
    <n v="60"/>
    <s v="60. Mozambique"/>
  </r>
  <r>
    <x v="175"/>
    <s v="Forest area share"/>
    <n v="45.8"/>
    <n v="61"/>
    <s v="61. New Caledonia"/>
  </r>
  <r>
    <x v="47"/>
    <s v="Forest area share"/>
    <n v="45"/>
    <n v="62"/>
    <s v="62. Dominican Republic"/>
  </r>
  <r>
    <x v="91"/>
    <s v="Forest area share"/>
    <n v="44.7"/>
    <n v="63"/>
    <s v="63. Zimbabwe"/>
  </r>
  <r>
    <x v="173"/>
    <s v="Forest area share"/>
    <n v="44.2"/>
    <n v="64"/>
    <s v="64. Trinidad and Tobago"/>
  </r>
  <r>
    <x v="96"/>
    <s v="Forest area share"/>
    <n v="43.4"/>
    <n v="65"/>
    <s v="65. Belarus"/>
  </r>
  <r>
    <x v="111"/>
    <s v="Forest area share"/>
    <n v="43.1"/>
    <n v="66"/>
    <s v="66. Cambodia"/>
  </r>
  <r>
    <x v="180"/>
    <s v="Forest area share"/>
    <n v="43.1"/>
    <n v="67"/>
    <s v="67. French Polynesia"/>
  </r>
  <r>
    <x v="142"/>
    <s v="Forest area share"/>
    <n v="42.7"/>
    <n v="68"/>
    <s v="68. Bosnia and Herzegovina"/>
  </r>
  <r>
    <x v="145"/>
    <s v="Forest area share"/>
    <n v="42.7"/>
    <n v="69"/>
    <s v="69. Cameroon"/>
  </r>
  <r>
    <x v="149"/>
    <s v="Forest area share"/>
    <n v="42.4"/>
    <n v="70"/>
    <s v="70. Myanmar"/>
  </r>
  <r>
    <x v="139"/>
    <s v="Forest area share"/>
    <n v="42.3"/>
    <n v="71"/>
    <s v="71. St. Kitts and Nevis"/>
  </r>
  <r>
    <x v="116"/>
    <s v="Forest area share"/>
    <n v="41.9"/>
    <n v="72"/>
    <s v="72. Liechtenstein"/>
  </r>
  <r>
    <x v="132"/>
    <s v="Forest area share"/>
    <n v="41.6"/>
    <n v="73"/>
    <s v="73. Nepal"/>
  </r>
  <r>
    <x v="63"/>
    <s v="Forest area share"/>
    <n v="41.3"/>
    <n v="74"/>
    <s v="74. Senegal"/>
  </r>
  <r>
    <x v="113"/>
    <s v="Forest area share"/>
    <n v="40.6"/>
    <n v="75"/>
    <s v="75. Georgia"/>
  </r>
  <r>
    <x v="103"/>
    <s v="Forest area share"/>
    <n v="40.1"/>
    <n v="76"/>
    <s v="76. Slovak Republic"/>
  </r>
  <r>
    <x v="60"/>
    <s v="Forest area share"/>
    <n v="39.700000000000003"/>
    <n v="77"/>
    <s v="77. North Macedonia"/>
  </r>
  <r>
    <x v="188"/>
    <s v="Forest area share"/>
    <n v="39.5"/>
    <n v="78"/>
    <s v="78. Canada"/>
  </r>
  <r>
    <x v="82"/>
    <s v="Forest area share"/>
    <n v="38.700000000000003"/>
    <n v="79"/>
    <s v="79. Thailand"/>
  </r>
  <r>
    <x v="51"/>
    <s v="Forest area share"/>
    <n v="38.5"/>
    <n v="80"/>
    <s v="80. Paraguay"/>
  </r>
  <r>
    <x v="106"/>
    <s v="Forest area share"/>
    <n v="37.799999999999997"/>
    <n v="81"/>
    <s v="81. New Zealand"/>
  </r>
  <r>
    <x v="61"/>
    <s v="Forest area share"/>
    <n v="37.200000000000003"/>
    <n v="82"/>
    <s v="82. Spain"/>
  </r>
  <r>
    <x v="163"/>
    <s v="Forest area share"/>
    <n v="36.299999999999997"/>
    <n v="83"/>
    <s v="83. Vanuatu"/>
  </r>
  <r>
    <x v="71"/>
    <s v="Forest area share"/>
    <n v="36.200000000000003"/>
    <n v="84"/>
    <s v="84. Bulgaria"/>
  </r>
  <r>
    <x v="83"/>
    <s v="Forest area share"/>
    <n v="36.200000000000003"/>
    <n v="85"/>
    <s v="85. Portugal"/>
  </r>
  <r>
    <x v="179"/>
    <s v="Forest area share"/>
    <n v="35.700000000000003"/>
    <n v="86"/>
    <s v="86. Central African Republic"/>
  </r>
  <r>
    <x v="48"/>
    <s v="Forest area share"/>
    <n v="35.200000000000003"/>
    <n v="87"/>
    <s v="87. Ghana"/>
  </r>
  <r>
    <x v="73"/>
    <s v="Forest area share"/>
    <n v="35.200000000000003"/>
    <n v="88"/>
    <s v="88. Lithuania"/>
  </r>
  <r>
    <x v="130"/>
    <s v="Forest area share"/>
    <n v="34.799999999999997"/>
    <n v="89"/>
    <s v="89. Croatia"/>
  </r>
  <r>
    <x v="74"/>
    <s v="Forest area share"/>
    <n v="34.799999999999997"/>
    <n v="90"/>
    <s v="90. Czechia"/>
  </r>
  <r>
    <x v="57"/>
    <s v="Forest area share"/>
    <n v="34.5"/>
    <n v="91"/>
    <s v="91. Luxembourg"/>
  </r>
  <r>
    <x v="50"/>
    <s v="Forest area share"/>
    <n v="34.299999999999997"/>
    <n v="92"/>
    <s v="92. Sierra Leone"/>
  </r>
  <r>
    <x v="95"/>
    <s v="Forest area share"/>
    <n v="34"/>
    <n v="93"/>
    <s v="93. Andorra"/>
  </r>
  <r>
    <x v="64"/>
    <s v="Forest area share"/>
    <n v="34"/>
    <n v="94"/>
    <s v="94. Sri Lanka"/>
  </r>
  <r>
    <x v="159"/>
    <s v="Forest area share"/>
    <n v="34"/>
    <n v="95"/>
    <s v="95. St. Lucia"/>
  </r>
  <r>
    <x v="72"/>
    <s v="Forest area share"/>
    <n v="33.9"/>
    <n v="96"/>
    <s v="96. United States"/>
  </r>
  <r>
    <x v="58"/>
    <s v="Forest area share"/>
    <n v="33.6"/>
    <n v="97"/>
    <s v="97. Mexico"/>
  </r>
  <r>
    <x v="200"/>
    <s v="Forest area share"/>
    <n v="33.5"/>
    <n v="98"/>
    <s v="98. Norway"/>
  </r>
  <r>
    <x v="39"/>
    <s v="Forest area share"/>
    <n v="33.299999999999997"/>
    <n v="99"/>
    <s v="99. Tuvalu"/>
  </r>
  <r>
    <x v="81"/>
    <s v="Forest area share"/>
    <n v="32.9"/>
    <n v="100"/>
    <s v="100. Italy"/>
  </r>
  <r>
    <x v="67"/>
    <s v="Forest area share"/>
    <n v="32.700000000000003"/>
    <n v="101"/>
    <s v="101. Germany"/>
  </r>
  <r>
    <x v="84"/>
    <s v="Forest area share"/>
    <n v="32.6"/>
    <n v="102"/>
    <s v="102. Guatemala"/>
  </r>
  <r>
    <x v="56"/>
    <s v="Forest area share"/>
    <n v="32.5"/>
    <n v="103"/>
    <s v="103. France"/>
  </r>
  <r>
    <x v="93"/>
    <s v="Forest area share"/>
    <n v="32.4"/>
    <n v="104"/>
    <s v="104. Serbia"/>
  </r>
  <r>
    <x v="104"/>
    <s v="Forest area share"/>
    <n v="32.4"/>
    <n v="105"/>
    <s v="105. Switzerland"/>
  </r>
  <r>
    <x v="35"/>
    <s v="Forest area share"/>
    <n v="31.2"/>
    <n v="106"/>
    <s v="106. Cuba"/>
  </r>
  <r>
    <x v="66"/>
    <s v="Forest area share"/>
    <n v="31.1"/>
    <n v="107"/>
    <s v="107. Poland"/>
  </r>
  <r>
    <x v="92"/>
    <s v="Forest area share"/>
    <n v="30.3"/>
    <n v="108"/>
    <s v="108. Greece"/>
  </r>
  <r>
    <x v="49"/>
    <s v="Forest area share"/>
    <n v="30.1"/>
    <n v="109"/>
    <s v="109. Romania"/>
  </r>
  <r>
    <x v="59"/>
    <s v="Forest area share"/>
    <n v="29.5"/>
    <n v="110"/>
    <s v="110. Turkiye"/>
  </r>
  <r>
    <x v="23"/>
    <s v="Forest area share"/>
    <n v="29.1"/>
    <n v="111"/>
    <s v="111. Eswatini"/>
  </r>
  <r>
    <x v="102"/>
    <s v="Forest area share"/>
    <n v="28.8"/>
    <n v="112"/>
    <s v="112. Albania"/>
  </r>
  <r>
    <x v="44"/>
    <s v="Forest area share"/>
    <n v="27.5"/>
    <n v="113"/>
    <s v="113. El Salvador"/>
  </r>
  <r>
    <x v="90"/>
    <s v="Forest area share"/>
    <n v="26.5"/>
    <n v="114"/>
    <s v="114. Benin"/>
  </r>
  <r>
    <x v="75"/>
    <s v="Forest area share"/>
    <n v="26.3"/>
    <n v="115"/>
    <s v="115. Botswana"/>
  </r>
  <r>
    <x v="88"/>
    <s v="Forest area share"/>
    <n v="25.8"/>
    <n v="116"/>
    <s v="116. Nicaragua"/>
  </r>
  <r>
    <x v="165"/>
    <s v="Forest area share"/>
    <n v="25"/>
    <n v="117"/>
    <s v="117. Chile"/>
  </r>
  <r>
    <x v="236"/>
    <s v="Forest area share"/>
    <n v="24.8"/>
    <n v="118"/>
    <s v="118. St. Martin (French part)"/>
  </r>
  <r>
    <x v="13"/>
    <s v="Forest area share"/>
    <n v="24.7"/>
    <n v="119"/>
    <s v="119. Guinea"/>
  </r>
  <r>
    <x v="38"/>
    <s v="Forest area share"/>
    <n v="24.5"/>
    <n v="120"/>
    <s v="120. India"/>
  </r>
  <r>
    <x v="86"/>
    <s v="Forest area share"/>
    <n v="24.5"/>
    <n v="121"/>
    <s v="121. Philippines"/>
  </r>
  <r>
    <x v="46"/>
    <s v="Forest area share"/>
    <n v="24"/>
    <n v="122"/>
    <s v="122. China"/>
  </r>
  <r>
    <x v="9"/>
    <s v="Forest area share"/>
    <n v="23.2"/>
    <n v="123"/>
    <s v="123. Nigeria"/>
  </r>
  <r>
    <x v="79"/>
    <s v="Forest area share"/>
    <n v="22.6"/>
    <n v="124"/>
    <s v="124. Belgium"/>
  </r>
  <r>
    <x v="45"/>
    <s v="Forest area share"/>
    <n v="22.4"/>
    <n v="125"/>
    <s v="125. Hungary"/>
  </r>
  <r>
    <x v="31"/>
    <s v="Forest area share"/>
    <n v="22.4"/>
    <n v="126"/>
    <s v="126. Malawi"/>
  </r>
  <r>
    <x v="33"/>
    <s v="Forest area share"/>
    <n v="22.3"/>
    <n v="127"/>
    <s v="127. Gambia, The"/>
  </r>
  <r>
    <x v="54"/>
    <s v="Forest area share"/>
    <n v="22.2"/>
    <n v="128"/>
    <s v="128. Burkina Faso"/>
  </r>
  <r>
    <x v="21"/>
    <s v="Forest area share"/>
    <n v="22.1"/>
    <n v="129"/>
    <s v="129. Togo"/>
  </r>
  <r>
    <x v="18"/>
    <s v="Forest area share"/>
    <n v="21.3"/>
    <n v="130"/>
    <s v="130. Madagascar"/>
  </r>
  <r>
    <x v="205"/>
    <s v="Forest area share"/>
    <n v="20.9"/>
    <n v="131"/>
    <s v="131. Singapore"/>
  </r>
  <r>
    <x v="85"/>
    <s v="Forest area share"/>
    <n v="19.5"/>
    <n v="132"/>
    <s v="132. Mauritius"/>
  </r>
  <r>
    <x v="166"/>
    <s v="Forest area share"/>
    <n v="18.7"/>
    <n v="133"/>
    <s v="133. Cyprus"/>
  </r>
  <r>
    <x v="190"/>
    <s v="Forest area share"/>
    <n v="18.5"/>
    <n v="134"/>
    <s v="134. Bermuda"/>
  </r>
  <r>
    <x v="146"/>
    <s v="Forest area share"/>
    <n v="18"/>
    <n v="135"/>
    <s v="135. Antigua and Barbuda"/>
  </r>
  <r>
    <x v="68"/>
    <s v="Forest area share"/>
    <n v="17.399999999999999"/>
    <n v="136"/>
    <s v="136. Australia"/>
  </r>
  <r>
    <x v="16"/>
    <s v="Forest area share"/>
    <n v="17"/>
    <n v="137"/>
    <s v="137. Comoros"/>
  </r>
  <r>
    <x v="17"/>
    <s v="Forest area share"/>
    <n v="16.8"/>
    <n v="138"/>
    <s v="138. Ukraine"/>
  </r>
  <r>
    <x v="101"/>
    <s v="Forest area share"/>
    <n v="16.7"/>
    <n v="139"/>
    <s v="139. San Marino"/>
  </r>
  <r>
    <x v="28"/>
    <s v="Forest area share"/>
    <n v="15.8"/>
    <n v="140"/>
    <s v="140. Denmark"/>
  </r>
  <r>
    <x v="112"/>
    <s v="Forest area share"/>
    <n v="14.9"/>
    <n v="141"/>
    <s v="141. Ethiopia"/>
  </r>
  <r>
    <x v="137"/>
    <s v="Forest area share"/>
    <n v="14.7"/>
    <n v="142"/>
    <s v="142. Barbados"/>
  </r>
  <r>
    <x v="14"/>
    <s v="Forest area share"/>
    <n v="14.5"/>
    <n v="143"/>
    <s v="143. Bangladesh"/>
  </r>
  <r>
    <x v="27"/>
    <s v="Forest area share"/>
    <n v="14.2"/>
    <n v="144"/>
    <s v="144. Lebanon"/>
  </r>
  <r>
    <x v="43"/>
    <s v="Forest area share"/>
    <n v="14.1"/>
    <n v="145"/>
    <s v="145. Azerbaijan"/>
  </r>
  <r>
    <x v="6"/>
    <s v="Forest area share"/>
    <n v="14"/>
    <n v="146"/>
    <s v="146. South Africa"/>
  </r>
  <r>
    <x v="20"/>
    <s v="Forest area share"/>
    <n v="13.3"/>
    <n v="147"/>
    <s v="147. United Kingdom"/>
  </r>
  <r>
    <x v="26"/>
    <s v="Forest area share"/>
    <n v="12.9"/>
    <n v="148"/>
    <s v="148. Morocco"/>
  </r>
  <r>
    <x v="65"/>
    <s v="Forest area share"/>
    <n v="12.4"/>
    <n v="149"/>
    <s v="149. Tonga"/>
  </r>
  <r>
    <x v="29"/>
    <s v="Forest area share"/>
    <n v="12.3"/>
    <n v="150"/>
    <s v="150. Haiti"/>
  </r>
  <r>
    <x v="3"/>
    <s v="Forest area share"/>
    <n v="12"/>
    <n v="151"/>
    <s v="151. Uruguay"/>
  </r>
  <r>
    <x v="10"/>
    <s v="Forest area share"/>
    <n v="11.7"/>
    <n v="152"/>
    <s v="152. Moldova"/>
  </r>
  <r>
    <x v="40"/>
    <s v="Forest area share"/>
    <n v="11.6"/>
    <n v="153"/>
    <s v="153. Armenia"/>
  </r>
  <r>
    <x v="151"/>
    <s v="Forest area share"/>
    <n v="11.6"/>
    <n v="154"/>
    <s v="154. Cabo Verde"/>
  </r>
  <r>
    <x v="36"/>
    <s v="Forest area share"/>
    <n v="11.5"/>
    <n v="155"/>
    <s v="155. Ireland"/>
  </r>
  <r>
    <x v="8"/>
    <s v="Forest area share"/>
    <n v="11.3"/>
    <n v="156"/>
    <s v="156. Rwanda"/>
  </r>
  <r>
    <x v="76"/>
    <s v="Forest area share"/>
    <n v="11.3"/>
    <n v="157"/>
    <s v="157. South Sudan"/>
  </r>
  <r>
    <x v="53"/>
    <s v="Forest area share"/>
    <n v="11.1"/>
    <n v="158"/>
    <s v="158. Netherlands"/>
  </r>
  <r>
    <x v="204"/>
    <s v="Forest area share"/>
    <n v="11.1"/>
    <n v="159"/>
    <s v="159. Turks and Caicos Islands"/>
  </r>
  <r>
    <x v="15"/>
    <s v="Forest area share"/>
    <n v="11"/>
    <n v="160"/>
    <s v="160. Uganda"/>
  </r>
  <r>
    <x v="2"/>
    <s v="Forest area share"/>
    <n v="10.9"/>
    <n v="161"/>
    <s v="161. Burundi"/>
  </r>
  <r>
    <x v="110"/>
    <s v="Forest area share"/>
    <n v="10.9"/>
    <n v="162"/>
    <s v="162. Mali"/>
  </r>
  <r>
    <x v="235"/>
    <s v="Forest area share"/>
    <n v="10.9"/>
    <n v="163"/>
    <s v="163. Sint Maarten (Dutch part)"/>
  </r>
  <r>
    <x v="87"/>
    <s v="Forest area share"/>
    <n v="10.3"/>
    <n v="164"/>
    <s v="164. Argentina"/>
  </r>
  <r>
    <x v="37"/>
    <s v="Forest area share"/>
    <n v="9.6"/>
    <n v="165"/>
    <s v="165. Sudan"/>
  </r>
  <r>
    <x v="19"/>
    <s v="Forest area share"/>
    <n v="9.1999999999999993"/>
    <n v="166"/>
    <s v="166. Somalia, Fed. Rep."/>
  </r>
  <r>
    <x v="25"/>
    <s v="Forest area share"/>
    <n v="9.1"/>
    <n v="167"/>
    <s v="167. Mongolia"/>
  </r>
  <r>
    <x v="1"/>
    <s v="Forest area share"/>
    <n v="8.8000000000000007"/>
    <n v="168"/>
    <s v="168. Turkmenistan"/>
  </r>
  <r>
    <x v="32"/>
    <s v="Forest area share"/>
    <n v="8.6"/>
    <n v="169"/>
    <s v="169. Eritrea"/>
  </r>
  <r>
    <x v="42"/>
    <s v="Forest area share"/>
    <n v="8.5"/>
    <n v="170"/>
    <s v="170. Uzbekistan"/>
  </r>
  <r>
    <x v="0"/>
    <s v="Forest area share"/>
    <n v="7.9"/>
    <n v="171"/>
    <s v="171. Cote d'Ivoire"/>
  </r>
  <r>
    <x v="69"/>
    <s v="Forest area share"/>
    <n v="7.8"/>
    <n v="172"/>
    <s v="172. Namibia"/>
  </r>
  <r>
    <x v="52"/>
    <s v="Forest area share"/>
    <n v="7.1"/>
    <n v="173"/>
    <s v="173. Kyrgyz Republic"/>
  </r>
  <r>
    <x v="127"/>
    <s v="Forest area share"/>
    <n v="6.6"/>
    <n v="174"/>
    <s v="174. Iran, Islamic Rep."/>
  </r>
  <r>
    <x v="134"/>
    <s v="Forest area share"/>
    <n v="6.5"/>
    <n v="175"/>
    <s v="175. Israel"/>
  </r>
  <r>
    <x v="62"/>
    <s v="Forest area share"/>
    <n v="6.2"/>
    <n v="176"/>
    <s v="176. Kenya"/>
  </r>
  <r>
    <x v="24"/>
    <s v="Forest area share"/>
    <n v="6.1"/>
    <n v="177"/>
    <s v="177. Isle of Man"/>
  </r>
  <r>
    <x v="70"/>
    <s v="Forest area share"/>
    <n v="4.7"/>
    <n v="178"/>
    <s v="178. Pakistan"/>
  </r>
  <r>
    <x v="34"/>
    <s v="Forest area share"/>
    <n v="4.5999999999999996"/>
    <n v="179"/>
    <s v="179. Tunisia"/>
  </r>
  <r>
    <x v="191"/>
    <s v="Forest area share"/>
    <n v="4.5"/>
    <n v="180"/>
    <s v="180. United Arab Emirates"/>
  </r>
  <r>
    <x v="94"/>
    <s v="Forest area share"/>
    <n v="3.2"/>
    <n v="181"/>
    <s v="181. Chad"/>
  </r>
  <r>
    <x v="129"/>
    <s v="Forest area share"/>
    <n v="3.1"/>
    <n v="182"/>
    <s v="182. Tajikistan"/>
  </r>
  <r>
    <x v="150"/>
    <s v="Forest area share"/>
    <n v="2.8"/>
    <n v="183"/>
    <s v="183. Maldives"/>
  </r>
  <r>
    <x v="11"/>
    <s v="Forest area share"/>
    <n v="2.8"/>
    <n v="184"/>
    <s v="184. Syrian Arab Republic"/>
  </r>
  <r>
    <x v="172"/>
    <s v="Forest area share"/>
    <n v="2.2999999999999998"/>
    <n v="185"/>
    <s v="185. Aruba"/>
  </r>
  <r>
    <x v="41"/>
    <s v="Forest area share"/>
    <n v="1.9"/>
    <n v="186"/>
    <s v="186. Afghanistan"/>
  </r>
  <r>
    <x v="141"/>
    <s v="Forest area share"/>
    <n v="1.9"/>
    <n v="187"/>
    <s v="187. Iraq"/>
  </r>
  <r>
    <x v="30"/>
    <s v="Forest area share"/>
    <n v="1.7"/>
    <n v="188"/>
    <s v="188. West Bank and Gaza"/>
  </r>
  <r>
    <x v="89"/>
    <s v="Forest area share"/>
    <n v="1.5"/>
    <n v="189"/>
    <s v="189. Kiribati"/>
  </r>
  <r>
    <x v="133"/>
    <s v="Forest area share"/>
    <n v="1.4"/>
    <n v="190"/>
    <s v="190. Malta"/>
  </r>
  <r>
    <x v="5"/>
    <s v="Forest area share"/>
    <n v="1.3"/>
    <n v="191"/>
    <s v="191. Kazakhstan"/>
  </r>
  <r>
    <x v="170"/>
    <s v="Forest area share"/>
    <n v="1.1000000000000001"/>
    <n v="192"/>
    <s v="192. Jordan"/>
  </r>
  <r>
    <x v="7"/>
    <s v="Forest area share"/>
    <n v="1.1000000000000001"/>
    <n v="193"/>
    <s v="193. Lesotho"/>
  </r>
  <r>
    <x v="174"/>
    <s v="Forest area share"/>
    <n v="1"/>
    <n v="194"/>
    <s v="194. Bahrain"/>
  </r>
  <r>
    <x v="80"/>
    <s v="Forest area share"/>
    <n v="1"/>
    <n v="195"/>
    <s v="195. Yemen, Rep."/>
  </r>
  <r>
    <x v="157"/>
    <s v="Forest area share"/>
    <n v="0.8"/>
    <n v="196"/>
    <s v="196. Algeria"/>
  </r>
  <r>
    <x v="107"/>
    <s v="Forest area share"/>
    <n v="0.8"/>
    <n v="197"/>
    <s v="197. Niger"/>
  </r>
  <r>
    <x v="160"/>
    <s v="Forest area share"/>
    <n v="0.5"/>
    <n v="198"/>
    <s v="198. Iceland"/>
  </r>
  <r>
    <x v="4"/>
    <s v="Forest area share"/>
    <n v="0.5"/>
    <n v="199"/>
    <s v="199. Saudi Arabia"/>
  </r>
  <r>
    <x v="183"/>
    <s v="Forest area share"/>
    <n v="0.4"/>
    <n v="200"/>
    <s v="200. Kuwait"/>
  </r>
  <r>
    <x v="12"/>
    <s v="Forest area share"/>
    <n v="0.3"/>
    <n v="201"/>
    <s v="201. Djibouti"/>
  </r>
  <r>
    <x v="100"/>
    <s v="Forest area share"/>
    <n v="0.3"/>
    <n v="202"/>
    <s v="202. Mauritania"/>
  </r>
  <r>
    <x v="237"/>
    <s v="Forest area share"/>
    <n v="0.2"/>
    <n v="203"/>
    <s v="203. Curacao"/>
  </r>
  <r>
    <x v="22"/>
    <s v="Forest area share"/>
    <n v="0.1"/>
    <n v="204"/>
    <s v="204. Faroe Islands"/>
  </r>
  <r>
    <x v="181"/>
    <s v="Forest area share"/>
    <n v="0.1"/>
    <n v="205"/>
    <s v="205. Libya"/>
  </r>
  <r>
    <x v="193"/>
    <s v="Forest area share"/>
    <n v="0"/>
    <n v="206"/>
    <s v="206. Egypt, Arab Rep."/>
  </r>
  <r>
    <x v="206"/>
    <s v="Forest area share"/>
    <n v="0"/>
    <n v="207"/>
    <s v="207. Greenland"/>
  </r>
  <r>
    <x v="234"/>
    <s v="Forest area share"/>
    <n v="0"/>
    <n v="208"/>
    <s v="208. Monaco"/>
  </r>
  <r>
    <x v="148"/>
    <s v="Forest area share"/>
    <n v="0"/>
    <n v="209"/>
    <s v="209. Nauru"/>
  </r>
  <r>
    <x v="192"/>
    <s v="Forest area share"/>
    <n v="0"/>
    <n v="210"/>
    <s v="210. Oman"/>
  </r>
  <r>
    <x v="189"/>
    <s v="Forest area share"/>
    <n v="0"/>
    <n v="211"/>
    <s v="211. Qatar"/>
  </r>
  <r>
    <x v="72"/>
    <s v="GDP"/>
    <n v="29184.9"/>
    <n v="1"/>
    <s v="1. United States"/>
  </r>
  <r>
    <x v="46"/>
    <s v="GDP"/>
    <n v="18743.8"/>
    <n v="2"/>
    <s v="2. China"/>
  </r>
  <r>
    <x v="67"/>
    <s v="GDP"/>
    <n v="4659.8999999999996"/>
    <n v="3"/>
    <s v="3. Germany"/>
  </r>
  <r>
    <x v="169"/>
    <s v="GDP"/>
    <n v="4026.2"/>
    <n v="4"/>
    <s v="4. Japan"/>
  </r>
  <r>
    <x v="38"/>
    <s v="GDP"/>
    <n v="3912.7"/>
    <n v="5"/>
    <s v="5. India"/>
  </r>
  <r>
    <x v="20"/>
    <s v="GDP"/>
    <n v="3643.8"/>
    <n v="6"/>
    <s v="6. United Kingdom"/>
  </r>
  <r>
    <x v="56"/>
    <s v="GDP"/>
    <n v="3162.1"/>
    <n v="7"/>
    <s v="7. France"/>
  </r>
  <r>
    <x v="81"/>
    <s v="GDP"/>
    <n v="2372.8000000000002"/>
    <n v="8"/>
    <s v="8. Italy"/>
  </r>
  <r>
    <x v="188"/>
    <s v="GDP"/>
    <n v="2241.3000000000002"/>
    <n v="9"/>
    <s v="9. Canada"/>
  </r>
  <r>
    <x v="128"/>
    <s v="GDP"/>
    <n v="2179.4"/>
    <n v="10"/>
    <s v="10. Brazil"/>
  </r>
  <r>
    <x v="168"/>
    <s v="GDP"/>
    <n v="2173.8000000000002"/>
    <n v="11"/>
    <s v="11. Russian Federation"/>
  </r>
  <r>
    <x v="58"/>
    <s v="GDP"/>
    <n v="1852.7"/>
    <n v="12"/>
    <s v="12. Mexico"/>
  </r>
  <r>
    <x v="68"/>
    <s v="GDP"/>
    <n v="1752.2"/>
    <n v="13"/>
    <s v="13. Australia"/>
  </r>
  <r>
    <x v="61"/>
    <s v="GDP"/>
    <n v="1722.7"/>
    <n v="14"/>
    <s v="14. Spain"/>
  </r>
  <r>
    <x v="126"/>
    <s v="GDP"/>
    <n v="1396.3"/>
    <n v="15"/>
    <s v="15. Indonesia"/>
  </r>
  <r>
    <x v="59"/>
    <s v="GDP"/>
    <n v="1323.3"/>
    <n v="16"/>
    <s v="16. Turkiye"/>
  </r>
  <r>
    <x v="4"/>
    <s v="GDP"/>
    <n v="1237.5"/>
    <n v="17"/>
    <s v="17. Saudi Arabia"/>
  </r>
  <r>
    <x v="53"/>
    <s v="GDP"/>
    <n v="1227.5"/>
    <n v="18"/>
    <s v="18. Netherlands"/>
  </r>
  <r>
    <x v="104"/>
    <s v="GDP"/>
    <n v="936.6"/>
    <n v="19"/>
    <s v="19. Switzerland"/>
  </r>
  <r>
    <x v="66"/>
    <s v="GDP"/>
    <n v="914.7"/>
    <n v="20"/>
    <s v="20. Poland"/>
  </r>
  <r>
    <x v="79"/>
    <s v="GDP"/>
    <n v="664.6"/>
    <n v="21"/>
    <s v="21. Belgium"/>
  </r>
  <r>
    <x v="87"/>
    <s v="GDP"/>
    <n v="633.29999999999995"/>
    <n v="22"/>
    <s v="22. Argentina"/>
  </r>
  <r>
    <x v="186"/>
    <s v="GDP"/>
    <n v="610.1"/>
    <n v="23"/>
    <s v="23. Sweden"/>
  </r>
  <r>
    <x v="36"/>
    <s v="GDP"/>
    <n v="577.4"/>
    <n v="24"/>
    <s v="24. Ireland"/>
  </r>
  <r>
    <x v="205"/>
    <s v="GDP"/>
    <n v="547.4"/>
    <n v="25"/>
    <s v="25. Singapore"/>
  </r>
  <r>
    <x v="134"/>
    <s v="GDP"/>
    <n v="540.4"/>
    <n v="26"/>
    <s v="26. Israel"/>
  </r>
  <r>
    <x v="191"/>
    <s v="GDP"/>
    <n v="537.1"/>
    <n v="27"/>
    <s v="27. United Arab Emirates"/>
  </r>
  <r>
    <x v="82"/>
    <s v="GDP"/>
    <n v="526.4"/>
    <n v="28"/>
    <s v="28. Thailand"/>
  </r>
  <r>
    <x v="120"/>
    <s v="GDP"/>
    <n v="521.6"/>
    <n v="29"/>
    <s v="29. Austria"/>
  </r>
  <r>
    <x v="200"/>
    <s v="GDP"/>
    <n v="483.7"/>
    <n v="30"/>
    <s v="30. Norway"/>
  </r>
  <r>
    <x v="97"/>
    <s v="GDP"/>
    <n v="476.4"/>
    <n v="31"/>
    <s v="31. Viet Nam"/>
  </r>
  <r>
    <x v="86"/>
    <s v="GDP"/>
    <n v="461.6"/>
    <n v="32"/>
    <s v="32. Philippines"/>
  </r>
  <r>
    <x v="14"/>
    <s v="GDP"/>
    <n v="450.1"/>
    <n v="33"/>
    <s v="33. Bangladesh"/>
  </r>
  <r>
    <x v="127"/>
    <s v="GDP"/>
    <n v="436.9"/>
    <n v="34"/>
    <s v="34. Iran, Islamic Rep."/>
  </r>
  <r>
    <x v="28"/>
    <s v="GDP"/>
    <n v="429.5"/>
    <n v="35"/>
    <s v="35. Denmark"/>
  </r>
  <r>
    <x v="131"/>
    <s v="GDP"/>
    <n v="422"/>
    <n v="36"/>
    <s v="36. Malaysia"/>
  </r>
  <r>
    <x v="108"/>
    <s v="GDP"/>
    <n v="418.5"/>
    <n v="37"/>
    <s v="37. Colombia"/>
  </r>
  <r>
    <x v="195"/>
    <s v="GDP"/>
    <n v="407.1"/>
    <n v="38"/>
    <s v="38. Hong Kong SAR, China"/>
  </r>
  <r>
    <x v="6"/>
    <s v="GDP"/>
    <n v="400.3"/>
    <n v="39"/>
    <s v="39. South Africa"/>
  </r>
  <r>
    <x v="193"/>
    <s v="GDP"/>
    <n v="389.1"/>
    <n v="40"/>
    <s v="40. Egypt, Arab Rep."/>
  </r>
  <r>
    <x v="49"/>
    <s v="GDP"/>
    <n v="382.8"/>
    <n v="41"/>
    <s v="41. Romania"/>
  </r>
  <r>
    <x v="70"/>
    <s v="GDP"/>
    <n v="373.1"/>
    <n v="42"/>
    <s v="42. Pakistan"/>
  </r>
  <r>
    <x v="74"/>
    <s v="GDP"/>
    <n v="345"/>
    <n v="43"/>
    <s v="43. Czechia"/>
  </r>
  <r>
    <x v="165"/>
    <s v="GDP"/>
    <n v="330.3"/>
    <n v="44"/>
    <s v="44. Chile"/>
  </r>
  <r>
    <x v="83"/>
    <s v="GDP"/>
    <n v="308.7"/>
    <n v="45"/>
    <s v="45. Portugal"/>
  </r>
  <r>
    <x v="185"/>
    <s v="GDP"/>
    <n v="299.8"/>
    <n v="46"/>
    <s v="46. Finland"/>
  </r>
  <r>
    <x v="153"/>
    <s v="GDP"/>
    <n v="289.2"/>
    <n v="47"/>
    <s v="47. Peru"/>
  </r>
  <r>
    <x v="5"/>
    <s v="GDP"/>
    <n v="288.39999999999998"/>
    <n v="48"/>
    <s v="48. Kazakhstan"/>
  </r>
  <r>
    <x v="141"/>
    <s v="GDP"/>
    <n v="279.60000000000002"/>
    <n v="49"/>
    <s v="49. Iraq"/>
  </r>
  <r>
    <x v="157"/>
    <s v="GDP"/>
    <n v="263.60000000000002"/>
    <n v="50"/>
    <s v="50. Algeria"/>
  </r>
  <r>
    <x v="106"/>
    <s v="GDP"/>
    <n v="260.2"/>
    <n v="51"/>
    <s v="51. New Zealand"/>
  </r>
  <r>
    <x v="92"/>
    <s v="GDP"/>
    <n v="257.10000000000002"/>
    <n v="52"/>
    <s v="52. Greece"/>
  </r>
  <r>
    <x v="45"/>
    <s v="GDP"/>
    <n v="222.9"/>
    <n v="53"/>
    <s v="53. Hungary"/>
  </r>
  <r>
    <x v="189"/>
    <s v="GDP"/>
    <n v="218"/>
    <n v="54"/>
    <s v="54. Qatar"/>
  </r>
  <r>
    <x v="17"/>
    <s v="GDP"/>
    <n v="190.7"/>
    <n v="55"/>
    <s v="55. Ukraine"/>
  </r>
  <r>
    <x v="9"/>
    <s v="GDP"/>
    <n v="187.8"/>
    <n v="56"/>
    <s v="56. Nigeria"/>
  </r>
  <r>
    <x v="183"/>
    <s v="GDP"/>
    <n v="160.19999999999999"/>
    <n v="57"/>
    <s v="57. Kuwait"/>
  </r>
  <r>
    <x v="26"/>
    <s v="GDP"/>
    <n v="154.4"/>
    <n v="58"/>
    <s v="58. Morocco"/>
  </r>
  <r>
    <x v="103"/>
    <s v="GDP"/>
    <n v="141.80000000000001"/>
    <n v="59"/>
    <s v="59. Slovak Republic"/>
  </r>
  <r>
    <x v="154"/>
    <s v="GDP"/>
    <n v="125.8"/>
    <n v="60"/>
    <s v="60. Puerto Rico (US)"/>
  </r>
  <r>
    <x v="144"/>
    <s v="GDP"/>
    <n v="124.7"/>
    <n v="61"/>
    <s v="61. Ecuador"/>
  </r>
  <r>
    <x v="62"/>
    <s v="GDP"/>
    <n v="124.5"/>
    <n v="62"/>
    <s v="62. Kenya"/>
  </r>
  <r>
    <x v="47"/>
    <s v="GDP"/>
    <n v="124.3"/>
    <n v="63"/>
    <s v="63. Dominican Republic"/>
  </r>
  <r>
    <x v="42"/>
    <s v="GDP"/>
    <n v="115"/>
    <n v="64"/>
    <s v="64. Uzbekistan"/>
  </r>
  <r>
    <x v="84"/>
    <s v="GDP"/>
    <n v="113.2"/>
    <n v="65"/>
    <s v="65. Guatemala"/>
  </r>
  <r>
    <x v="71"/>
    <s v="GDP"/>
    <n v="112.2"/>
    <n v="66"/>
    <s v="66. Bulgaria"/>
  </r>
  <r>
    <x v="192"/>
    <s v="GDP"/>
    <n v="106.9"/>
    <n v="67"/>
    <s v="67. Oman"/>
  </r>
  <r>
    <x v="64"/>
    <s v="GDP"/>
    <n v="99"/>
    <n v="68"/>
    <s v="68. Sri Lanka"/>
  </r>
  <r>
    <x v="115"/>
    <s v="GDP"/>
    <n v="95.4"/>
    <n v="69"/>
    <s v="69. Costa Rica"/>
  </r>
  <r>
    <x v="57"/>
    <s v="GDP"/>
    <n v="93.2"/>
    <n v="70"/>
    <s v="70. Luxembourg"/>
  </r>
  <r>
    <x v="130"/>
    <s v="GDP"/>
    <n v="92.5"/>
    <n v="71"/>
    <s v="71. Croatia"/>
  </r>
  <r>
    <x v="93"/>
    <s v="GDP"/>
    <n v="89.1"/>
    <n v="72"/>
    <s v="72. Serbia"/>
  </r>
  <r>
    <x v="0"/>
    <s v="GDP"/>
    <n v="86.5"/>
    <n v="73"/>
    <s v="73. Cote d'Ivoire"/>
  </r>
  <r>
    <x v="125"/>
    <s v="GDP"/>
    <n v="86.3"/>
    <n v="74"/>
    <s v="74. Panama"/>
  </r>
  <r>
    <x v="73"/>
    <s v="GDP"/>
    <n v="84.9"/>
    <n v="75"/>
    <s v="75. Lithuania"/>
  </r>
  <r>
    <x v="48"/>
    <s v="GDP"/>
    <n v="82.8"/>
    <n v="76"/>
    <s v="76. Ghana"/>
  </r>
  <r>
    <x v="3"/>
    <s v="GDP"/>
    <n v="81"/>
    <n v="77"/>
    <s v="77. Uruguay"/>
  </r>
  <r>
    <x v="105"/>
    <s v="GDP"/>
    <n v="80.400000000000006"/>
    <n v="78"/>
    <s v="78. Angola"/>
  </r>
  <r>
    <x v="78"/>
    <s v="GDP"/>
    <n v="78.8"/>
    <n v="79"/>
    <s v="79. Tanzania"/>
  </r>
  <r>
    <x v="96"/>
    <s v="GDP"/>
    <n v="76"/>
    <n v="80"/>
    <s v="80. Belarus"/>
  </r>
  <r>
    <x v="43"/>
    <s v="GDP"/>
    <n v="74.3"/>
    <n v="81"/>
    <s v="81. Azerbaijan"/>
  </r>
  <r>
    <x v="149"/>
    <s v="GDP"/>
    <n v="74.099999999999994"/>
    <n v="82"/>
    <s v="82. Myanmar"/>
  </r>
  <r>
    <x v="122"/>
    <s v="GDP"/>
    <n v="72.5"/>
    <n v="83"/>
    <s v="83. Slovenia"/>
  </r>
  <r>
    <x v="162"/>
    <s v="GDP"/>
    <n v="70.7"/>
    <n v="84"/>
    <s v="84. Congo, Dem. Rep."/>
  </r>
  <r>
    <x v="1"/>
    <s v="GDP"/>
    <n v="64.2"/>
    <n v="85"/>
    <s v="85. Turkmenistan"/>
  </r>
  <r>
    <x v="15"/>
    <s v="GDP"/>
    <n v="53.7"/>
    <n v="86"/>
    <s v="86. Uganda"/>
  </r>
  <r>
    <x v="170"/>
    <s v="GDP"/>
    <n v="53.4"/>
    <n v="87"/>
    <s v="87. Jordan"/>
  </r>
  <r>
    <x v="34"/>
    <s v="GDP"/>
    <n v="53.4"/>
    <n v="88"/>
    <s v="88. Tunisia"/>
  </r>
  <r>
    <x v="145"/>
    <s v="GDP"/>
    <n v="51.3"/>
    <n v="89"/>
    <s v="89. Cameroon"/>
  </r>
  <r>
    <x v="208"/>
    <s v="GDP"/>
    <n v="50.2"/>
    <n v="90"/>
    <s v="90. Macao SAR, China"/>
  </r>
  <r>
    <x v="37"/>
    <s v="GDP"/>
    <n v="49.9"/>
    <n v="91"/>
    <s v="91. Sudan"/>
  </r>
  <r>
    <x v="109"/>
    <s v="GDP"/>
    <n v="49.7"/>
    <n v="92"/>
    <s v="92. Bolivia"/>
  </r>
  <r>
    <x v="174"/>
    <s v="GDP"/>
    <n v="47.7"/>
    <n v="93"/>
    <s v="93. Bahrain"/>
  </r>
  <r>
    <x v="181"/>
    <s v="GDP"/>
    <n v="46.6"/>
    <n v="94"/>
    <s v="94. Libya"/>
  </r>
  <r>
    <x v="111"/>
    <s v="GDP"/>
    <n v="46.4"/>
    <n v="95"/>
    <s v="95. Cambodia"/>
  </r>
  <r>
    <x v="51"/>
    <s v="GDP"/>
    <n v="44.5"/>
    <n v="96"/>
    <s v="96. Paraguay"/>
  </r>
  <r>
    <x v="91"/>
    <s v="GDP"/>
    <n v="44.2"/>
    <n v="97"/>
    <s v="97. Zimbabwe"/>
  </r>
  <r>
    <x v="119"/>
    <s v="GDP"/>
    <n v="43.5"/>
    <n v="98"/>
    <s v="98. Latvia"/>
  </r>
  <r>
    <x v="132"/>
    <s v="GDP"/>
    <n v="42.9"/>
    <n v="99"/>
    <s v="99. Nepal"/>
  </r>
  <r>
    <x v="138"/>
    <s v="GDP"/>
    <n v="42.8"/>
    <n v="100"/>
    <s v="100. Estonia"/>
  </r>
  <r>
    <x v="118"/>
    <s v="GDP"/>
    <n v="37.1"/>
    <n v="101"/>
    <s v="101. Honduras"/>
  </r>
  <r>
    <x v="166"/>
    <s v="GDP"/>
    <n v="36.299999999999997"/>
    <n v="102"/>
    <s v="102. Cyprus"/>
  </r>
  <r>
    <x v="44"/>
    <s v="GDP"/>
    <n v="35.4"/>
    <n v="103"/>
    <s v="103. El Salvador"/>
  </r>
  <r>
    <x v="113"/>
    <s v="GDP"/>
    <n v="33.799999999999997"/>
    <n v="104"/>
    <s v="104. Georgia"/>
  </r>
  <r>
    <x v="160"/>
    <s v="GDP"/>
    <n v="33.5"/>
    <n v="105"/>
    <s v="105. Iceland"/>
  </r>
  <r>
    <x v="199"/>
    <s v="GDP"/>
    <n v="32.5"/>
    <n v="106"/>
    <s v="106. Papua New Guinea"/>
  </r>
  <r>
    <x v="63"/>
    <s v="GDP"/>
    <n v="32.299999999999997"/>
    <n v="107"/>
    <s v="107. Senegal"/>
  </r>
  <r>
    <x v="142"/>
    <s v="GDP"/>
    <n v="28.3"/>
    <n v="108"/>
    <s v="108. Bosnia and Herzegovina"/>
  </r>
  <r>
    <x v="102"/>
    <s v="GDP"/>
    <n v="27.2"/>
    <n v="109"/>
    <s v="109. Albania"/>
  </r>
  <r>
    <x v="110"/>
    <s v="GDP"/>
    <n v="26.6"/>
    <n v="110"/>
    <s v="110. Mali"/>
  </r>
  <r>
    <x v="173"/>
    <s v="GDP"/>
    <n v="26.4"/>
    <n v="111"/>
    <s v="111. Trinidad and Tobago"/>
  </r>
  <r>
    <x v="117"/>
    <s v="GDP"/>
    <n v="26.3"/>
    <n v="112"/>
    <s v="112. Zambia"/>
  </r>
  <r>
    <x v="40"/>
    <s v="GDP"/>
    <n v="25.8"/>
    <n v="113"/>
    <s v="113. Armenia"/>
  </r>
  <r>
    <x v="13"/>
    <s v="GDP"/>
    <n v="25.3"/>
    <n v="114"/>
    <s v="114. Guinea"/>
  </r>
  <r>
    <x v="29"/>
    <s v="GDP"/>
    <n v="25.2"/>
    <n v="115"/>
    <s v="115. Haiti"/>
  </r>
  <r>
    <x v="197"/>
    <s v="GDP"/>
    <n v="24.8"/>
    <n v="116"/>
    <s v="116. Guyana"/>
  </r>
  <r>
    <x v="133"/>
    <s v="GDP"/>
    <n v="24.3"/>
    <n v="117"/>
    <s v="117. Malta"/>
  </r>
  <r>
    <x v="25"/>
    <s v="GDP"/>
    <n v="23.6"/>
    <n v="118"/>
    <s v="118. Mongolia"/>
  </r>
  <r>
    <x v="54"/>
    <s v="GDP"/>
    <n v="23.3"/>
    <n v="119"/>
    <s v="119. Burkina Faso"/>
  </r>
  <r>
    <x v="55"/>
    <s v="GDP"/>
    <n v="22.4"/>
    <n v="120"/>
    <s v="120. Mozambique"/>
  </r>
  <r>
    <x v="90"/>
    <s v="GDP"/>
    <n v="21.5"/>
    <n v="121"/>
    <s v="121. Benin"/>
  </r>
  <r>
    <x v="182"/>
    <s v="GDP"/>
    <n v="20.9"/>
    <n v="122"/>
    <s v="122. Gabon"/>
  </r>
  <r>
    <x v="94"/>
    <s v="GDP"/>
    <n v="20.6"/>
    <n v="123"/>
    <s v="123. Chad"/>
  </r>
  <r>
    <x v="99"/>
    <s v="GDP"/>
    <n v="19.899999999999999"/>
    <n v="124"/>
    <s v="124. Jamaica"/>
  </r>
  <r>
    <x v="88"/>
    <s v="GDP"/>
    <n v="19.7"/>
    <n v="125"/>
    <s v="125. Nicaragua"/>
  </r>
  <r>
    <x v="107"/>
    <s v="GDP"/>
    <n v="19.5"/>
    <n v="126"/>
    <s v="126. Niger"/>
  </r>
  <r>
    <x v="75"/>
    <s v="GDP"/>
    <n v="19.399999999999999"/>
    <n v="127"/>
    <s v="127. Botswana"/>
  </r>
  <r>
    <x v="10"/>
    <s v="GDP"/>
    <n v="18.2"/>
    <n v="128"/>
    <s v="128. Moldova"/>
  </r>
  <r>
    <x v="52"/>
    <s v="GDP"/>
    <n v="17.5"/>
    <n v="129"/>
    <s v="129. Kyrgyz Republic"/>
  </r>
  <r>
    <x v="18"/>
    <s v="GDP"/>
    <n v="17.399999999999999"/>
    <n v="130"/>
    <s v="130. Madagascar"/>
  </r>
  <r>
    <x v="60"/>
    <s v="GDP"/>
    <n v="16.7"/>
    <n v="131"/>
    <s v="131. North Macedonia"/>
  </r>
  <r>
    <x v="176"/>
    <s v="GDP"/>
    <n v="16.5"/>
    <n v="132"/>
    <s v="132. Lao PDR"/>
  </r>
  <r>
    <x v="202"/>
    <s v="GDP"/>
    <n v="15.8"/>
    <n v="133"/>
    <s v="133. Bahamas, The"/>
  </r>
  <r>
    <x v="121"/>
    <s v="GDP"/>
    <n v="15.7"/>
    <n v="134"/>
    <s v="134. Congo, Rep."/>
  </r>
  <r>
    <x v="201"/>
    <s v="GDP"/>
    <n v="15.5"/>
    <n v="135"/>
    <s v="135. Brunei Darussalam"/>
  </r>
  <r>
    <x v="85"/>
    <s v="GDP"/>
    <n v="15"/>
    <n v="136"/>
    <s v="136. Mauritius"/>
  </r>
  <r>
    <x v="8"/>
    <s v="GDP"/>
    <n v="14.3"/>
    <n v="137"/>
    <s v="137. Rwanda"/>
  </r>
  <r>
    <x v="129"/>
    <s v="GDP"/>
    <n v="14.2"/>
    <n v="138"/>
    <s v="138. Tajikistan"/>
  </r>
  <r>
    <x v="30"/>
    <s v="GDP"/>
    <n v="13.7"/>
    <n v="139"/>
    <s v="139. West Bank and Gaza"/>
  </r>
  <r>
    <x v="69"/>
    <s v="GDP"/>
    <n v="13.4"/>
    <n v="140"/>
    <s v="140. Namibia"/>
  </r>
  <r>
    <x v="196"/>
    <s v="GDP"/>
    <n v="12.8"/>
    <n v="141"/>
    <s v="141. Equatorial Guinea"/>
  </r>
  <r>
    <x v="239"/>
    <s v="GDP"/>
    <n v="12.1"/>
    <n v="142"/>
    <s v="142. Somalia"/>
  </r>
  <r>
    <x v="209"/>
    <s v="GDP"/>
    <n v="11.1"/>
    <n v="143"/>
    <s v="143. Kosovo"/>
  </r>
  <r>
    <x v="31"/>
    <s v="GDP"/>
    <n v="11"/>
    <n v="144"/>
    <s v="144. Malawi"/>
  </r>
  <r>
    <x v="100"/>
    <s v="GDP"/>
    <n v="10.8"/>
    <n v="145"/>
    <s v="145. Mauritania"/>
  </r>
  <r>
    <x v="21"/>
    <s v="GDP"/>
    <n v="9.9"/>
    <n v="146"/>
    <s v="146. Togo"/>
  </r>
  <r>
    <x v="190"/>
    <s v="GDP"/>
    <n v="9"/>
    <n v="147"/>
    <s v="147. Bermuda"/>
  </r>
  <r>
    <x v="152"/>
    <s v="GDP"/>
    <n v="8.1"/>
    <n v="148"/>
    <s v="148. Montenegro"/>
  </r>
  <r>
    <x v="50"/>
    <s v="GDP"/>
    <n v="7.5"/>
    <n v="149"/>
    <s v="149. Sierra Leone"/>
  </r>
  <r>
    <x v="137"/>
    <s v="GDP"/>
    <n v="7.2"/>
    <n v="150"/>
    <s v="150. Barbados"/>
  </r>
  <r>
    <x v="150"/>
    <s v="GDP"/>
    <n v="7"/>
    <n v="151"/>
    <s v="151. Maldives"/>
  </r>
  <r>
    <x v="158"/>
    <s v="GDP"/>
    <n v="5.8"/>
    <n v="152"/>
    <s v="152. Fiji"/>
  </r>
  <r>
    <x v="23"/>
    <s v="GDP"/>
    <n v="4.9000000000000004"/>
    <n v="153"/>
    <s v="153. Eswatini"/>
  </r>
  <r>
    <x v="147"/>
    <s v="GDP"/>
    <n v="4.8"/>
    <n v="154"/>
    <s v="154. Liberia"/>
  </r>
  <r>
    <x v="207"/>
    <s v="GDP"/>
    <n v="4.7"/>
    <n v="155"/>
    <s v="155. Suriname"/>
  </r>
  <r>
    <x v="12"/>
    <s v="GDP"/>
    <n v="4.0999999999999996"/>
    <n v="156"/>
    <s v="156. Djibouti"/>
  </r>
  <r>
    <x v="95"/>
    <s v="GDP"/>
    <n v="4"/>
    <n v="157"/>
    <s v="157. Andorra"/>
  </r>
  <r>
    <x v="184"/>
    <s v="GDP"/>
    <n v="3.5"/>
    <n v="158"/>
    <s v="158. Belize"/>
  </r>
  <r>
    <x v="151"/>
    <s v="GDP"/>
    <n v="2.8"/>
    <n v="159"/>
    <s v="159. Cabo Verde"/>
  </r>
  <r>
    <x v="179"/>
    <s v="GDP"/>
    <n v="2.8"/>
    <n v="160"/>
    <s v="160. Central African Republic"/>
  </r>
  <r>
    <x v="33"/>
    <s v="GDP"/>
    <n v="2.5"/>
    <n v="161"/>
    <s v="161. Gambia, The"/>
  </r>
  <r>
    <x v="159"/>
    <s v="GDP"/>
    <n v="2.5"/>
    <n v="162"/>
    <s v="162. St. Lucia"/>
  </r>
  <r>
    <x v="7"/>
    <s v="GDP"/>
    <n v="2.2999999999999998"/>
    <n v="163"/>
    <s v="163. Lesotho"/>
  </r>
  <r>
    <x v="146"/>
    <s v="GDP"/>
    <n v="2.2000000000000002"/>
    <n v="164"/>
    <s v="164. Antigua and Barbuda"/>
  </r>
  <r>
    <x v="2"/>
    <s v="GDP"/>
    <n v="2.2000000000000002"/>
    <n v="165"/>
    <s v="165. Burundi"/>
  </r>
  <r>
    <x v="198"/>
    <s v="GDP"/>
    <n v="2.2000000000000002"/>
    <n v="166"/>
    <s v="166. Seychelles"/>
  </r>
  <r>
    <x v="123"/>
    <s v="GDP"/>
    <n v="2.1"/>
    <n v="167"/>
    <s v="167. Guinea-Bissau"/>
  </r>
  <r>
    <x v="140"/>
    <s v="GDP"/>
    <n v="1.9"/>
    <n v="168"/>
    <s v="168. Timor-Leste"/>
  </r>
  <r>
    <x v="194"/>
    <s v="GDP"/>
    <n v="1.8"/>
    <n v="169"/>
    <s v="169. Solomon Islands"/>
  </r>
  <r>
    <x v="235"/>
    <s v="GDP"/>
    <n v="1.7"/>
    <n v="170"/>
    <s v="170. Sint Maarten (Dutch part)"/>
  </r>
  <r>
    <x v="204"/>
    <s v="GDP"/>
    <n v="1.7"/>
    <n v="171"/>
    <s v="171. Turks and Caicos Islands"/>
  </r>
  <r>
    <x v="16"/>
    <s v="GDP"/>
    <n v="1.5"/>
    <n v="172"/>
    <s v="172. Comoros"/>
  </r>
  <r>
    <x v="136"/>
    <s v="GDP"/>
    <n v="1.4"/>
    <n v="173"/>
    <s v="173. Grenada"/>
  </r>
  <r>
    <x v="155"/>
    <s v="GDP"/>
    <n v="1.2"/>
    <n v="174"/>
    <s v="174. St. Vincent and the Grenadines"/>
  </r>
  <r>
    <x v="163"/>
    <s v="GDP"/>
    <n v="1.2"/>
    <n v="175"/>
    <s v="175. Vanuatu"/>
  </r>
  <r>
    <x v="156"/>
    <s v="GDP"/>
    <n v="1.1000000000000001"/>
    <n v="176"/>
    <s v="176. Samoa"/>
  </r>
  <r>
    <x v="139"/>
    <s v="GDP"/>
    <n v="1.1000000000000001"/>
    <n v="177"/>
    <s v="177. St. Kitts and Nevis"/>
  </r>
  <r>
    <x v="77"/>
    <s v="GDP"/>
    <n v="0.8"/>
    <n v="178"/>
    <s v="178. Sao Tome and Principe"/>
  </r>
  <r>
    <x v="114"/>
    <s v="GDP"/>
    <n v="0.7"/>
    <n v="179"/>
    <s v="179. Dominica"/>
  </r>
  <r>
    <x v="187"/>
    <s v="GDP"/>
    <n v="0.5"/>
    <n v="180"/>
    <s v="180. Micronesia, Fed. Sts."/>
  </r>
  <r>
    <x v="89"/>
    <s v="GDP"/>
    <n v="0.3"/>
    <n v="181"/>
    <s v="181. Kiribati"/>
  </r>
  <r>
    <x v="98"/>
    <s v="GDP"/>
    <n v="0.3"/>
    <n v="182"/>
    <s v="182. Marshall Islands"/>
  </r>
  <r>
    <x v="148"/>
    <s v="GDP"/>
    <n v="0.2"/>
    <n v="183"/>
    <s v="183. Nauru"/>
  </r>
  <r>
    <x v="190"/>
    <s v="GDP per capita"/>
    <n v="138.9"/>
    <n v="1"/>
    <s v="1. Bermuda"/>
  </r>
  <r>
    <x v="57"/>
    <s v="GDP per capita"/>
    <n v="137.5"/>
    <n v="2"/>
    <s v="2. Luxembourg"/>
  </r>
  <r>
    <x v="36"/>
    <s v="GDP per capita"/>
    <n v="107.3"/>
    <n v="3"/>
    <s v="3. Ireland"/>
  </r>
  <r>
    <x v="104"/>
    <s v="GDP per capita"/>
    <n v="103.7"/>
    <n v="4"/>
    <s v="4. Switzerland"/>
  </r>
  <r>
    <x v="205"/>
    <s v="GDP per capita"/>
    <n v="90.7"/>
    <n v="5"/>
    <s v="5. Singapore"/>
  </r>
  <r>
    <x v="200"/>
    <s v="GDP per capita"/>
    <n v="86.8"/>
    <n v="6"/>
    <s v="6. Norway"/>
  </r>
  <r>
    <x v="72"/>
    <s v="GDP per capita"/>
    <n v="85.8"/>
    <n v="7"/>
    <s v="7. United States"/>
  </r>
  <r>
    <x v="160"/>
    <s v="GDP per capita"/>
    <n v="82.7"/>
    <n v="8"/>
    <s v="8. Iceland"/>
  </r>
  <r>
    <x v="189"/>
    <s v="GDP per capita"/>
    <n v="76.3"/>
    <n v="9"/>
    <s v="9. Qatar"/>
  </r>
  <r>
    <x v="208"/>
    <s v="GDP per capita"/>
    <n v="73"/>
    <n v="10"/>
    <s v="10. Macao SAR, China"/>
  </r>
  <r>
    <x v="28"/>
    <s v="GDP per capita"/>
    <n v="71.900000000000006"/>
    <n v="11"/>
    <s v="11. Denmark"/>
  </r>
  <r>
    <x v="53"/>
    <s v="GDP per capita"/>
    <n v="68.2"/>
    <n v="12"/>
    <s v="12. Netherlands"/>
  </r>
  <r>
    <x v="68"/>
    <s v="GDP per capita"/>
    <n v="64.400000000000006"/>
    <n v="13"/>
    <s v="13. Australia"/>
  </r>
  <r>
    <x v="186"/>
    <s v="GDP per capita"/>
    <n v="57.7"/>
    <n v="14"/>
    <s v="14. Sweden"/>
  </r>
  <r>
    <x v="120"/>
    <s v="GDP per capita"/>
    <n v="56.8"/>
    <n v="15"/>
    <s v="15. Austria"/>
  </r>
  <r>
    <x v="79"/>
    <s v="GDP per capita"/>
    <n v="56"/>
    <n v="16"/>
    <s v="16. Belgium"/>
  </r>
  <r>
    <x v="67"/>
    <s v="GDP per capita"/>
    <n v="55.8"/>
    <n v="17"/>
    <s v="17. Germany"/>
  </r>
  <r>
    <x v="188"/>
    <s v="GDP per capita"/>
    <n v="54.3"/>
    <n v="18"/>
    <s v="18. Canada"/>
  </r>
  <r>
    <x v="134"/>
    <s v="GDP per capita"/>
    <n v="54.2"/>
    <n v="19"/>
    <s v="19. Israel"/>
  </r>
  <r>
    <x v="195"/>
    <s v="GDP per capita"/>
    <n v="54.1"/>
    <n v="20"/>
    <s v="20. Hong Kong SAR, China"/>
  </r>
  <r>
    <x v="185"/>
    <s v="GDP per capita"/>
    <n v="53.2"/>
    <n v="21"/>
    <s v="21. Finland"/>
  </r>
  <r>
    <x v="20"/>
    <s v="GDP per capita"/>
    <n v="52.6"/>
    <n v="22"/>
    <s v="22. United Kingdom"/>
  </r>
  <r>
    <x v="191"/>
    <s v="GDP per capita"/>
    <n v="49.4"/>
    <n v="23"/>
    <s v="23. United Arab Emirates"/>
  </r>
  <r>
    <x v="95"/>
    <s v="GDP per capita"/>
    <n v="49.3"/>
    <n v="24"/>
    <s v="24. Andorra"/>
  </r>
  <r>
    <x v="106"/>
    <s v="GDP per capita"/>
    <n v="48.7"/>
    <n v="25"/>
    <s v="25. New Zealand"/>
  </r>
  <r>
    <x v="56"/>
    <s v="GDP per capita"/>
    <n v="46.2"/>
    <n v="26"/>
    <s v="26. France"/>
  </r>
  <r>
    <x v="133"/>
    <s v="GDP per capita"/>
    <n v="42.3"/>
    <n v="27"/>
    <s v="27. Malta"/>
  </r>
  <r>
    <x v="81"/>
    <s v="GDP per capita"/>
    <n v="40.200000000000003"/>
    <n v="28"/>
    <s v="28. Italy"/>
  </r>
  <r>
    <x v="235"/>
    <s v="GDP per capita"/>
    <n v="40"/>
    <n v="29"/>
    <s v="29. Sint Maarten (Dutch part)"/>
  </r>
  <r>
    <x v="202"/>
    <s v="GDP per capita"/>
    <n v="39.5"/>
    <n v="30"/>
    <s v="30. Bahamas, The"/>
  </r>
  <r>
    <x v="154"/>
    <s v="GDP per capita"/>
    <n v="39.299999999999997"/>
    <n v="31"/>
    <s v="31. Puerto Rico (US)"/>
  </r>
  <r>
    <x v="166"/>
    <s v="GDP per capita"/>
    <n v="38.700000000000003"/>
    <n v="32"/>
    <s v="32. Cyprus"/>
  </r>
  <r>
    <x v="204"/>
    <s v="GDP per capita"/>
    <n v="37.5"/>
    <n v="33"/>
    <s v="33. Turks and Caicos Islands"/>
  </r>
  <r>
    <x v="61"/>
    <s v="GDP per capita"/>
    <n v="35.299999999999997"/>
    <n v="34"/>
    <s v="34. Spain"/>
  </r>
  <r>
    <x v="4"/>
    <s v="GDP per capita"/>
    <n v="35.1"/>
    <n v="35"/>
    <s v="35. Saudi Arabia"/>
  </r>
  <r>
    <x v="122"/>
    <s v="GDP per capita"/>
    <n v="34.1"/>
    <n v="36"/>
    <s v="36. Slovenia"/>
  </r>
  <r>
    <x v="201"/>
    <s v="GDP per capita"/>
    <n v="33.4"/>
    <n v="37"/>
    <s v="37. Brunei Darussalam"/>
  </r>
  <r>
    <x v="169"/>
    <s v="GDP per capita"/>
    <n v="32.5"/>
    <n v="38"/>
    <s v="38. Japan"/>
  </r>
  <r>
    <x v="183"/>
    <s v="GDP per capita"/>
    <n v="32.200000000000003"/>
    <n v="39"/>
    <s v="39. Kuwait"/>
  </r>
  <r>
    <x v="74"/>
    <s v="GDP per capita"/>
    <n v="31.7"/>
    <n v="40"/>
    <s v="40. Czechia"/>
  </r>
  <r>
    <x v="138"/>
    <s v="GDP per capita"/>
    <n v="31.2"/>
    <n v="41"/>
    <s v="41. Estonia"/>
  </r>
  <r>
    <x v="174"/>
    <s v="GDP per capita"/>
    <n v="30"/>
    <n v="42"/>
    <s v="42. Bahrain"/>
  </r>
  <r>
    <x v="197"/>
    <s v="GDP per capita"/>
    <n v="29.9"/>
    <n v="43"/>
    <s v="43. Guyana"/>
  </r>
  <r>
    <x v="73"/>
    <s v="GDP per capita"/>
    <n v="29.4"/>
    <n v="44"/>
    <s v="44. Lithuania"/>
  </r>
  <r>
    <x v="83"/>
    <s v="GDP per capita"/>
    <n v="28.8"/>
    <n v="45"/>
    <s v="45. Portugal"/>
  </r>
  <r>
    <x v="103"/>
    <s v="GDP per capita"/>
    <n v="26.1"/>
    <n v="46"/>
    <s v="46. Slovak Republic"/>
  </r>
  <r>
    <x v="137"/>
    <s v="GDP per capita"/>
    <n v="25.4"/>
    <n v="47"/>
    <s v="47. Barbados"/>
  </r>
  <r>
    <x v="66"/>
    <s v="GDP per capita"/>
    <n v="25"/>
    <n v="48"/>
    <s v="48. Poland"/>
  </r>
  <r>
    <x v="92"/>
    <s v="GDP per capita"/>
    <n v="24.8"/>
    <n v="49"/>
    <s v="49. Greece"/>
  </r>
  <r>
    <x v="130"/>
    <s v="GDP per capita"/>
    <n v="23.9"/>
    <n v="50"/>
    <s v="50. Croatia"/>
  </r>
  <r>
    <x v="3"/>
    <s v="GDP per capita"/>
    <n v="23.9"/>
    <n v="51"/>
    <s v="51. Uruguay"/>
  </r>
  <r>
    <x v="146"/>
    <s v="GDP per capita"/>
    <n v="23.7"/>
    <n v="52"/>
    <s v="52. Antigua and Barbuda"/>
  </r>
  <r>
    <x v="119"/>
    <s v="GDP per capita"/>
    <n v="23.4"/>
    <n v="53"/>
    <s v="53. Latvia"/>
  </r>
  <r>
    <x v="45"/>
    <s v="GDP per capita"/>
    <n v="23.3"/>
    <n v="54"/>
    <s v="54. Hungary"/>
  </r>
  <r>
    <x v="139"/>
    <s v="GDP per capita"/>
    <n v="22.8"/>
    <n v="55"/>
    <s v="55. St. Kitts and Nevis"/>
  </r>
  <r>
    <x v="192"/>
    <s v="GDP per capita"/>
    <n v="20.2"/>
    <n v="56"/>
    <s v="56. Oman"/>
  </r>
  <r>
    <x v="49"/>
    <s v="GDP per capita"/>
    <n v="20.100000000000001"/>
    <n v="57"/>
    <s v="57. Romania"/>
  </r>
  <r>
    <x v="173"/>
    <s v="GDP per capita"/>
    <n v="19.3"/>
    <n v="58"/>
    <s v="58. Trinidad and Tobago"/>
  </r>
  <r>
    <x v="125"/>
    <s v="GDP per capita"/>
    <n v="19.100000000000001"/>
    <n v="59"/>
    <s v="59. Panama"/>
  </r>
  <r>
    <x v="115"/>
    <s v="GDP per capita"/>
    <n v="18.600000000000001"/>
    <n v="60"/>
    <s v="60. Costa Rica"/>
  </r>
  <r>
    <x v="198"/>
    <s v="GDP per capita"/>
    <n v="17.899999999999999"/>
    <n v="61"/>
    <s v="61. Seychelles"/>
  </r>
  <r>
    <x v="71"/>
    <s v="GDP per capita"/>
    <n v="17.399999999999999"/>
    <n v="62"/>
    <s v="62. Bulgaria"/>
  </r>
  <r>
    <x v="165"/>
    <s v="GDP per capita"/>
    <n v="16.7"/>
    <n v="63"/>
    <s v="63. Chile"/>
  </r>
  <r>
    <x v="59"/>
    <s v="GDP per capita"/>
    <n v="15.5"/>
    <n v="64"/>
    <s v="64. Turkiye"/>
  </r>
  <r>
    <x v="168"/>
    <s v="GDP per capita"/>
    <n v="14.9"/>
    <n v="65"/>
    <s v="65. Russian Federation"/>
  </r>
  <r>
    <x v="58"/>
    <s v="GDP per capita"/>
    <n v="14.2"/>
    <n v="66"/>
    <s v="66. Mexico"/>
  </r>
  <r>
    <x v="159"/>
    <s v="GDP per capita"/>
    <n v="14.2"/>
    <n v="67"/>
    <s v="67. St. Lucia"/>
  </r>
  <r>
    <x v="5"/>
    <s v="GDP per capita"/>
    <n v="14"/>
    <n v="68"/>
    <s v="68. Kazakhstan"/>
  </r>
  <r>
    <x v="87"/>
    <s v="GDP per capita"/>
    <n v="13.9"/>
    <n v="69"/>
    <s v="69. Argentina"/>
  </r>
  <r>
    <x v="93"/>
    <s v="GDP per capita"/>
    <n v="13.5"/>
    <n v="70"/>
    <s v="70. Serbia"/>
  </r>
  <r>
    <x v="148"/>
    <s v="GDP per capita"/>
    <n v="13.4"/>
    <n v="71"/>
    <s v="71. Nauru"/>
  </r>
  <r>
    <x v="46"/>
    <s v="GDP per capita"/>
    <n v="13.3"/>
    <n v="72"/>
    <s v="72. China"/>
  </r>
  <r>
    <x v="150"/>
    <s v="GDP per capita"/>
    <n v="13.2"/>
    <n v="73"/>
    <s v="73. Maldives"/>
  </r>
  <r>
    <x v="152"/>
    <s v="GDP per capita"/>
    <n v="12.9"/>
    <n v="74"/>
    <s v="74. Montenegro"/>
  </r>
  <r>
    <x v="136"/>
    <s v="GDP per capita"/>
    <n v="11.9"/>
    <n v="75"/>
    <s v="75. Grenada"/>
  </r>
  <r>
    <x v="131"/>
    <s v="GDP per capita"/>
    <n v="11.9"/>
    <n v="76"/>
    <s v="76. Malaysia"/>
  </r>
  <r>
    <x v="85"/>
    <s v="GDP per capita"/>
    <n v="11.9"/>
    <n v="77"/>
    <s v="77. Mauritius"/>
  </r>
  <r>
    <x v="155"/>
    <s v="GDP per capita"/>
    <n v="11.5"/>
    <n v="78"/>
    <s v="78. St. Vincent and the Grenadines"/>
  </r>
  <r>
    <x v="47"/>
    <s v="GDP per capita"/>
    <n v="10.9"/>
    <n v="79"/>
    <s v="79. Dominican Republic"/>
  </r>
  <r>
    <x v="114"/>
    <s v="GDP per capita"/>
    <n v="10.4"/>
    <n v="80"/>
    <s v="80. Dominica"/>
  </r>
  <r>
    <x v="128"/>
    <s v="GDP per capita"/>
    <n v="10.3"/>
    <n v="81"/>
    <s v="81. Brazil"/>
  </r>
  <r>
    <x v="102"/>
    <s v="GDP per capita"/>
    <n v="10"/>
    <n v="82"/>
    <s v="82. Albania"/>
  </r>
  <r>
    <x v="60"/>
    <s v="GDP per capita"/>
    <n v="9.3000000000000007"/>
    <n v="83"/>
    <s v="83. North Macedonia"/>
  </r>
  <r>
    <x v="113"/>
    <s v="GDP per capita"/>
    <n v="9.1999999999999993"/>
    <n v="84"/>
    <s v="84. Georgia"/>
  </r>
  <r>
    <x v="142"/>
    <s v="GDP per capita"/>
    <n v="9"/>
    <n v="85"/>
    <s v="85. Bosnia and Herzegovina"/>
  </r>
  <r>
    <x v="1"/>
    <s v="GDP per capita"/>
    <n v="8.6"/>
    <n v="86"/>
    <s v="86. Turkmenistan"/>
  </r>
  <r>
    <x v="40"/>
    <s v="GDP per capita"/>
    <n v="8.5"/>
    <n v="87"/>
    <s v="87. Armenia"/>
  </r>
  <r>
    <x v="153"/>
    <s v="GDP per capita"/>
    <n v="8.5"/>
    <n v="88"/>
    <s v="88. Peru"/>
  </r>
  <r>
    <x v="184"/>
    <s v="GDP per capita"/>
    <n v="8.4"/>
    <n v="89"/>
    <s v="89. Belize"/>
  </r>
  <r>
    <x v="96"/>
    <s v="GDP per capita"/>
    <n v="8.3000000000000007"/>
    <n v="90"/>
    <s v="90. Belarus"/>
  </r>
  <r>
    <x v="182"/>
    <s v="GDP per capita"/>
    <n v="8.1999999999999993"/>
    <n v="91"/>
    <s v="91. Gabon"/>
  </r>
  <r>
    <x v="108"/>
    <s v="GDP per capita"/>
    <n v="7.9"/>
    <n v="92"/>
    <s v="92. Colombia"/>
  </r>
  <r>
    <x v="75"/>
    <s v="GDP per capita"/>
    <n v="7.7"/>
    <n v="93"/>
    <s v="93. Botswana"/>
  </r>
  <r>
    <x v="10"/>
    <s v="GDP per capita"/>
    <n v="7.6"/>
    <n v="94"/>
    <s v="94. Moldova"/>
  </r>
  <r>
    <x v="98"/>
    <s v="GDP per capita"/>
    <n v="7.5"/>
    <n v="95"/>
    <s v="95. Marshall Islands"/>
  </r>
  <r>
    <x v="207"/>
    <s v="GDP per capita"/>
    <n v="7.4"/>
    <n v="96"/>
    <s v="96. Suriname"/>
  </r>
  <r>
    <x v="43"/>
    <s v="GDP per capita"/>
    <n v="7.3"/>
    <n v="97"/>
    <s v="97. Azerbaijan"/>
  </r>
  <r>
    <x v="209"/>
    <s v="GDP per capita"/>
    <n v="7.3"/>
    <n v="98"/>
    <s v="98. Kosovo"/>
  </r>
  <r>
    <x v="82"/>
    <s v="GDP per capita"/>
    <n v="7.3"/>
    <n v="99"/>
    <s v="99. Thailand"/>
  </r>
  <r>
    <x v="99"/>
    <s v="GDP per capita"/>
    <n v="7"/>
    <n v="100"/>
    <s v="100. Jamaica"/>
  </r>
  <r>
    <x v="144"/>
    <s v="GDP per capita"/>
    <n v="6.9"/>
    <n v="101"/>
    <s v="101. Ecuador"/>
  </r>
  <r>
    <x v="196"/>
    <s v="GDP per capita"/>
    <n v="6.7"/>
    <n v="102"/>
    <s v="102. Equatorial Guinea"/>
  </r>
  <r>
    <x v="25"/>
    <s v="GDP per capita"/>
    <n v="6.7"/>
    <n v="103"/>
    <s v="103. Mongolia"/>
  </r>
  <r>
    <x v="51"/>
    <s v="GDP per capita"/>
    <n v="6.4"/>
    <n v="104"/>
    <s v="104. Paraguay"/>
  </r>
  <r>
    <x v="158"/>
    <s v="GDP per capita"/>
    <n v="6.3"/>
    <n v="105"/>
    <s v="105. Fiji"/>
  </r>
  <r>
    <x v="181"/>
    <s v="GDP per capita"/>
    <n v="6.3"/>
    <n v="106"/>
    <s v="106. Libya"/>
  </r>
  <r>
    <x v="6"/>
    <s v="GDP per capita"/>
    <n v="6.3"/>
    <n v="107"/>
    <s v="107. South Africa"/>
  </r>
  <r>
    <x v="84"/>
    <s v="GDP per capita"/>
    <n v="6.2"/>
    <n v="108"/>
    <s v="108. Guatemala"/>
  </r>
  <r>
    <x v="141"/>
    <s v="GDP per capita"/>
    <n v="6.1"/>
    <n v="109"/>
    <s v="109. Iraq"/>
  </r>
  <r>
    <x v="157"/>
    <s v="GDP per capita"/>
    <n v="5.6"/>
    <n v="110"/>
    <s v="110. Algeria"/>
  </r>
  <r>
    <x v="44"/>
    <s v="GDP per capita"/>
    <n v="5.6"/>
    <n v="111"/>
    <s v="111. El Salvador"/>
  </r>
  <r>
    <x v="17"/>
    <s v="GDP per capita"/>
    <n v="5.4"/>
    <n v="112"/>
    <s v="112. Ukraine"/>
  </r>
  <r>
    <x v="151"/>
    <s v="GDP per capita"/>
    <n v="5.3"/>
    <n v="113"/>
    <s v="113. Cabo Verde"/>
  </r>
  <r>
    <x v="126"/>
    <s v="GDP per capita"/>
    <n v="4.9000000000000004"/>
    <n v="114"/>
    <s v="114. Indonesia"/>
  </r>
  <r>
    <x v="156"/>
    <s v="GDP per capita"/>
    <n v="4.9000000000000004"/>
    <n v="115"/>
    <s v="115. Samoa"/>
  </r>
  <r>
    <x v="127"/>
    <s v="GDP per capita"/>
    <n v="4.8"/>
    <n v="116"/>
    <s v="116. Iran, Islamic Rep."/>
  </r>
  <r>
    <x v="97"/>
    <s v="GDP per capita"/>
    <n v="4.7"/>
    <n v="117"/>
    <s v="117. Viet Nam"/>
  </r>
  <r>
    <x v="170"/>
    <s v="GDP per capita"/>
    <n v="4.5999999999999996"/>
    <n v="118"/>
    <s v="118. Jordan"/>
  </r>
  <r>
    <x v="64"/>
    <s v="GDP per capita"/>
    <n v="4.5"/>
    <n v="119"/>
    <s v="119. Sri Lanka"/>
  </r>
  <r>
    <x v="69"/>
    <s v="GDP per capita"/>
    <n v="4.4000000000000004"/>
    <n v="120"/>
    <s v="120. Namibia"/>
  </r>
  <r>
    <x v="34"/>
    <s v="GDP per capita"/>
    <n v="4.4000000000000004"/>
    <n v="121"/>
    <s v="121. Tunisia"/>
  </r>
  <r>
    <x v="187"/>
    <s v="GDP per capita"/>
    <n v="4.2"/>
    <n v="122"/>
    <s v="122. Micronesia, Fed. Sts."/>
  </r>
  <r>
    <x v="109"/>
    <s v="GDP per capita"/>
    <n v="4"/>
    <n v="123"/>
    <s v="123. Bolivia"/>
  </r>
  <r>
    <x v="26"/>
    <s v="GDP per capita"/>
    <n v="4"/>
    <n v="124"/>
    <s v="124. Morocco"/>
  </r>
  <r>
    <x v="86"/>
    <s v="GDP per capita"/>
    <n v="4"/>
    <n v="125"/>
    <s v="125. Philippines"/>
  </r>
  <r>
    <x v="23"/>
    <s v="GDP per capita"/>
    <n v="3.9"/>
    <n v="126"/>
    <s v="126. Eswatini"/>
  </r>
  <r>
    <x v="12"/>
    <s v="GDP per capita"/>
    <n v="3.5"/>
    <n v="127"/>
    <s v="127. Djibouti"/>
  </r>
  <r>
    <x v="163"/>
    <s v="GDP per capita"/>
    <n v="3.5"/>
    <n v="128"/>
    <s v="128. Vanuatu"/>
  </r>
  <r>
    <x v="118"/>
    <s v="GDP per capita"/>
    <n v="3.4"/>
    <n v="129"/>
    <s v="129. Honduras"/>
  </r>
  <r>
    <x v="193"/>
    <s v="GDP per capita"/>
    <n v="3.3"/>
    <n v="130"/>
    <s v="130. Egypt, Arab Rep."/>
  </r>
  <r>
    <x v="77"/>
    <s v="GDP per capita"/>
    <n v="3.2"/>
    <n v="131"/>
    <s v="131. Sao Tome and Principe"/>
  </r>
  <r>
    <x v="42"/>
    <s v="GDP per capita"/>
    <n v="3.2"/>
    <n v="132"/>
    <s v="132. Uzbekistan"/>
  </r>
  <r>
    <x v="199"/>
    <s v="GDP per capita"/>
    <n v="3.1"/>
    <n v="133"/>
    <s v="133. Papua New Guinea"/>
  </r>
  <r>
    <x v="88"/>
    <s v="GDP per capita"/>
    <n v="2.8"/>
    <n v="134"/>
    <s v="134. Nicaragua"/>
  </r>
  <r>
    <x v="0"/>
    <s v="GDP per capita"/>
    <n v="2.7"/>
    <n v="135"/>
    <s v="135. Cote d'Ivoire"/>
  </r>
  <r>
    <x v="38"/>
    <s v="GDP per capita"/>
    <n v="2.7"/>
    <n v="136"/>
    <s v="136. India"/>
  </r>
  <r>
    <x v="91"/>
    <s v="GDP per capita"/>
    <n v="2.7"/>
    <n v="137"/>
    <s v="137. Zimbabwe"/>
  </r>
  <r>
    <x v="14"/>
    <s v="GDP per capita"/>
    <n v="2.6"/>
    <n v="138"/>
    <s v="138. Bangladesh"/>
  </r>
  <r>
    <x v="111"/>
    <s v="GDP per capita"/>
    <n v="2.6"/>
    <n v="139"/>
    <s v="139. Cambodia"/>
  </r>
  <r>
    <x v="30"/>
    <s v="GDP per capita"/>
    <n v="2.6"/>
    <n v="140"/>
    <s v="140. West Bank and Gaza"/>
  </r>
  <r>
    <x v="121"/>
    <s v="GDP per capita"/>
    <n v="2.5"/>
    <n v="141"/>
    <s v="141. Congo, Rep."/>
  </r>
  <r>
    <x v="48"/>
    <s v="GDP per capita"/>
    <n v="2.4"/>
    <n v="142"/>
    <s v="142. Ghana"/>
  </r>
  <r>
    <x v="52"/>
    <s v="GDP per capita"/>
    <n v="2.4"/>
    <n v="143"/>
    <s v="143. Kyrgyz Republic"/>
  </r>
  <r>
    <x v="89"/>
    <s v="GDP per capita"/>
    <n v="2.2999999999999998"/>
    <n v="144"/>
    <s v="144. Kiribati"/>
  </r>
  <r>
    <x v="62"/>
    <s v="GDP per capita"/>
    <n v="2.2000000000000002"/>
    <n v="145"/>
    <s v="145. Kenya"/>
  </r>
  <r>
    <x v="105"/>
    <s v="GDP per capita"/>
    <n v="2.1"/>
    <n v="146"/>
    <s v="146. Angola"/>
  </r>
  <r>
    <x v="29"/>
    <s v="GDP per capita"/>
    <n v="2.1"/>
    <n v="147"/>
    <s v="147. Haiti"/>
  </r>
  <r>
    <x v="176"/>
    <s v="GDP per capita"/>
    <n v="2.1"/>
    <n v="148"/>
    <s v="148. Lao PDR"/>
  </r>
  <r>
    <x v="100"/>
    <s v="GDP per capita"/>
    <n v="2.1"/>
    <n v="149"/>
    <s v="149. Mauritania"/>
  </r>
  <r>
    <x v="194"/>
    <s v="GDP per capita"/>
    <n v="2.1"/>
    <n v="150"/>
    <s v="150. Solomon Islands"/>
  </r>
  <r>
    <x v="145"/>
    <s v="GDP per capita"/>
    <n v="1.8"/>
    <n v="151"/>
    <s v="151. Cameroon"/>
  </r>
  <r>
    <x v="16"/>
    <s v="GDP per capita"/>
    <n v="1.8"/>
    <n v="152"/>
    <s v="152. Comoros"/>
  </r>
  <r>
    <x v="13"/>
    <s v="GDP per capita"/>
    <n v="1.7"/>
    <n v="153"/>
    <s v="153. Guinea"/>
  </r>
  <r>
    <x v="63"/>
    <s v="GDP per capita"/>
    <n v="1.7"/>
    <n v="154"/>
    <s v="154. Senegal"/>
  </r>
  <r>
    <x v="90"/>
    <s v="GDP per capita"/>
    <n v="1.5"/>
    <n v="155"/>
    <s v="155. Benin"/>
  </r>
  <r>
    <x v="70"/>
    <s v="GDP per capita"/>
    <n v="1.5"/>
    <n v="156"/>
    <s v="156. Pakistan"/>
  </r>
  <r>
    <x v="149"/>
    <s v="GDP per capita"/>
    <n v="1.4"/>
    <n v="157"/>
    <s v="157. Myanmar"/>
  </r>
  <r>
    <x v="132"/>
    <s v="GDP per capita"/>
    <n v="1.4"/>
    <n v="158"/>
    <s v="158. Nepal"/>
  </r>
  <r>
    <x v="129"/>
    <s v="GDP per capita"/>
    <n v="1.3"/>
    <n v="159"/>
    <s v="159. Tajikistan"/>
  </r>
  <r>
    <x v="140"/>
    <s v="GDP per capita"/>
    <n v="1.3"/>
    <n v="160"/>
    <s v="160. Timor-Leste"/>
  </r>
  <r>
    <x v="78"/>
    <s v="GDP per capita"/>
    <n v="1.2"/>
    <n v="161"/>
    <s v="161. Tanzania"/>
  </r>
  <r>
    <x v="117"/>
    <s v="GDP per capita"/>
    <n v="1.2"/>
    <n v="162"/>
    <s v="162. Zambia"/>
  </r>
  <r>
    <x v="110"/>
    <s v="GDP per capita"/>
    <n v="1.1000000000000001"/>
    <n v="163"/>
    <s v="163. Mali"/>
  </r>
  <r>
    <x v="15"/>
    <s v="GDP per capita"/>
    <n v="1.1000000000000001"/>
    <n v="164"/>
    <s v="164. Uganda"/>
  </r>
  <r>
    <x v="54"/>
    <s v="GDP per capita"/>
    <n v="1"/>
    <n v="165"/>
    <s v="165. Burkina Faso"/>
  </r>
  <r>
    <x v="94"/>
    <s v="GDP per capita"/>
    <n v="1"/>
    <n v="166"/>
    <s v="166. Chad"/>
  </r>
  <r>
    <x v="123"/>
    <s v="GDP per capita"/>
    <n v="1"/>
    <n v="167"/>
    <s v="167. Guinea-Bissau"/>
  </r>
  <r>
    <x v="7"/>
    <s v="GDP per capita"/>
    <n v="1"/>
    <n v="168"/>
    <s v="168. Lesotho"/>
  </r>
  <r>
    <x v="8"/>
    <s v="GDP per capita"/>
    <n v="1"/>
    <n v="169"/>
    <s v="169. Rwanda"/>
  </r>
  <r>
    <x v="37"/>
    <s v="GDP per capita"/>
    <n v="1"/>
    <n v="170"/>
    <s v="170. Sudan"/>
  </r>
  <r>
    <x v="21"/>
    <s v="GDP per capita"/>
    <n v="1"/>
    <n v="171"/>
    <s v="171. Togo"/>
  </r>
  <r>
    <x v="33"/>
    <s v="GDP per capita"/>
    <n v="0.9"/>
    <n v="172"/>
    <s v="172. Gambia, The"/>
  </r>
  <r>
    <x v="50"/>
    <s v="GDP per capita"/>
    <n v="0.9"/>
    <n v="173"/>
    <s v="173. Sierra Leone"/>
  </r>
  <r>
    <x v="147"/>
    <s v="GDP per capita"/>
    <n v="0.8"/>
    <n v="174"/>
    <s v="174. Liberia"/>
  </r>
  <r>
    <x v="9"/>
    <s v="GDP per capita"/>
    <n v="0.8"/>
    <n v="175"/>
    <s v="175. Nigeria"/>
  </r>
  <r>
    <x v="107"/>
    <s v="GDP per capita"/>
    <n v="0.7"/>
    <n v="176"/>
    <s v="176. Niger"/>
  </r>
  <r>
    <x v="162"/>
    <s v="GDP per capita"/>
    <n v="0.6"/>
    <n v="177"/>
    <s v="177. Congo, Dem. Rep."/>
  </r>
  <r>
    <x v="55"/>
    <s v="GDP per capita"/>
    <n v="0.6"/>
    <n v="178"/>
    <s v="178. Mozambique"/>
  </r>
  <r>
    <x v="239"/>
    <s v="GDP per capita"/>
    <n v="0.6"/>
    <n v="179"/>
    <s v="179. Somalia"/>
  </r>
  <r>
    <x v="179"/>
    <s v="GDP per capita"/>
    <n v="0.5"/>
    <n v="180"/>
    <s v="180. Central African Republic"/>
  </r>
  <r>
    <x v="18"/>
    <s v="GDP per capita"/>
    <n v="0.5"/>
    <n v="181"/>
    <s v="181. Madagascar"/>
  </r>
  <r>
    <x v="31"/>
    <s v="GDP per capita"/>
    <n v="0.5"/>
    <n v="182"/>
    <s v="182. Malawi"/>
  </r>
  <r>
    <x v="80"/>
    <s v="GDP per capita"/>
    <n v="0.4"/>
    <n v="183"/>
    <s v="183. Yemen, Rep."/>
  </r>
  <r>
    <x v="2"/>
    <s v="GDP per capita"/>
    <n v="0.2"/>
    <n v="184"/>
    <s v="184. Burundi"/>
  </r>
  <r>
    <x v="57"/>
    <s v="GDP per capita, PPP"/>
    <n v="150.80000000000001"/>
    <n v="1"/>
    <s v="1. Luxembourg"/>
  </r>
  <r>
    <x v="205"/>
    <s v="GDP per capita, PPP"/>
    <n v="150.69999999999999"/>
    <n v="2"/>
    <s v="2. Singapore"/>
  </r>
  <r>
    <x v="36"/>
    <s v="GDP per capita, PPP"/>
    <n v="131.19999999999999"/>
    <n v="3"/>
    <s v="3. Ireland"/>
  </r>
  <r>
    <x v="208"/>
    <s v="GDP per capita, PPP"/>
    <n v="128.30000000000001"/>
    <n v="4"/>
    <s v="4. Macao SAR, China"/>
  </r>
  <r>
    <x v="189"/>
    <s v="GDP per capita, PPP"/>
    <n v="126.1"/>
    <n v="5"/>
    <s v="5. Qatar"/>
  </r>
  <r>
    <x v="190"/>
    <s v="GDP per capita, PPP"/>
    <n v="119.7"/>
    <n v="6"/>
    <s v="6. Bermuda"/>
  </r>
  <r>
    <x v="200"/>
    <s v="GDP per capita, PPP"/>
    <n v="101"/>
    <n v="7"/>
    <s v="7. Norway"/>
  </r>
  <r>
    <x v="104"/>
    <s v="GDP per capita, PPP"/>
    <n v="93.8"/>
    <n v="8"/>
    <s v="8. Switzerland"/>
  </r>
  <r>
    <x v="201"/>
    <s v="GDP per capita, PPP"/>
    <n v="90"/>
    <n v="9"/>
    <s v="9. Brunei Darussalam"/>
  </r>
  <r>
    <x v="72"/>
    <s v="GDP per capita, PPP"/>
    <n v="85.8"/>
    <n v="10"/>
    <s v="10. United States"/>
  </r>
  <r>
    <x v="53"/>
    <s v="GDP per capita, PPP"/>
    <n v="84.2"/>
    <n v="11"/>
    <s v="11. Netherlands"/>
  </r>
  <r>
    <x v="197"/>
    <s v="GDP per capita, PPP"/>
    <n v="79.900000000000006"/>
    <n v="12"/>
    <s v="12. Guyana"/>
  </r>
  <r>
    <x v="28"/>
    <s v="GDP per capita, PPP"/>
    <n v="79.5"/>
    <n v="13"/>
    <s v="13. Denmark"/>
  </r>
  <r>
    <x v="160"/>
    <s v="GDP per capita, PPP"/>
    <n v="78.3"/>
    <n v="14"/>
    <s v="14. Iceland"/>
  </r>
  <r>
    <x v="191"/>
    <s v="GDP per capita, PPP"/>
    <n v="78"/>
    <n v="15"/>
    <s v="15. United Arab Emirates"/>
  </r>
  <r>
    <x v="195"/>
    <s v="GDP per capita, PPP"/>
    <n v="75.2"/>
    <n v="16"/>
    <s v="16. Hong Kong SAR, China"/>
  </r>
  <r>
    <x v="95"/>
    <s v="GDP per capita, PPP"/>
    <n v="74.900000000000006"/>
    <n v="17"/>
    <s v="17. Andorra"/>
  </r>
  <r>
    <x v="67"/>
    <s v="GDP per capita, PPP"/>
    <n v="72.3"/>
    <n v="18"/>
    <s v="18. Germany"/>
  </r>
  <r>
    <x v="79"/>
    <s v="GDP per capita, PPP"/>
    <n v="72.099999999999994"/>
    <n v="19"/>
    <s v="19. Belgium"/>
  </r>
  <r>
    <x v="120"/>
    <s v="GDP per capita, PPP"/>
    <n v="71.599999999999994"/>
    <n v="20"/>
    <s v="20. Austria"/>
  </r>
  <r>
    <x v="68"/>
    <s v="GDP per capita, PPP"/>
    <n v="71.2"/>
    <n v="21"/>
    <s v="21. Australia"/>
  </r>
  <r>
    <x v="4"/>
    <s v="GDP per capita, PPP"/>
    <n v="71.2"/>
    <n v="22"/>
    <s v="22. Saudi Arabia"/>
  </r>
  <r>
    <x v="186"/>
    <s v="GDP per capita, PPP"/>
    <n v="71"/>
    <n v="23"/>
    <s v="23. Sweden"/>
  </r>
  <r>
    <x v="133"/>
    <s v="GDP per capita, PPP"/>
    <n v="67.400000000000006"/>
    <n v="24"/>
    <s v="24. Malta"/>
  </r>
  <r>
    <x v="174"/>
    <s v="GDP per capita, PPP"/>
    <n v="67.2"/>
    <n v="25"/>
    <s v="25. Bahrain"/>
  </r>
  <r>
    <x v="188"/>
    <s v="GDP per capita, PPP"/>
    <n v="65.5"/>
    <n v="26"/>
    <s v="26. Canada"/>
  </r>
  <r>
    <x v="185"/>
    <s v="GDP per capita, PPP"/>
    <n v="64.099999999999994"/>
    <n v="27"/>
    <s v="27. Finland"/>
  </r>
  <r>
    <x v="56"/>
    <s v="GDP per capita, PPP"/>
    <n v="61.3"/>
    <n v="28"/>
    <s v="28. France"/>
  </r>
  <r>
    <x v="166"/>
    <s v="GDP per capita, PPP"/>
    <n v="61.2"/>
    <n v="29"/>
    <s v="29. Cyprus"/>
  </r>
  <r>
    <x v="81"/>
    <s v="GDP per capita, PPP"/>
    <n v="60.8"/>
    <n v="30"/>
    <s v="30. Italy"/>
  </r>
  <r>
    <x v="20"/>
    <s v="GDP per capita, PPP"/>
    <n v="60.6"/>
    <n v="31"/>
    <s v="31. United Kingdom"/>
  </r>
  <r>
    <x v="61"/>
    <s v="GDP per capita, PPP"/>
    <n v="56.9"/>
    <n v="32"/>
    <s v="32. Spain"/>
  </r>
  <r>
    <x v="74"/>
    <s v="GDP per capita, PPP"/>
    <n v="56.8"/>
    <n v="33"/>
    <s v="33. Czechia"/>
  </r>
  <r>
    <x v="122"/>
    <s v="GDP per capita, PPP"/>
    <n v="56.5"/>
    <n v="34"/>
    <s v="34. Slovenia"/>
  </r>
  <r>
    <x v="134"/>
    <s v="GDP per capita, PPP"/>
    <n v="55.7"/>
    <n v="35"/>
    <s v="35. Israel"/>
  </r>
  <r>
    <x v="106"/>
    <s v="GDP per capita, PPP"/>
    <n v="55.1"/>
    <n v="36"/>
    <s v="36. New Zealand"/>
  </r>
  <r>
    <x v="73"/>
    <s v="GDP per capita, PPP"/>
    <n v="54.4"/>
    <n v="37"/>
    <s v="37. Lithuania"/>
  </r>
  <r>
    <x v="235"/>
    <s v="GDP per capita, PPP"/>
    <n v="52.1"/>
    <n v="38"/>
    <s v="38. Sint Maarten (Dutch part)"/>
  </r>
  <r>
    <x v="169"/>
    <s v="GDP per capita, PPP"/>
    <n v="51.7"/>
    <n v="39"/>
    <s v="39. Japan"/>
  </r>
  <r>
    <x v="183"/>
    <s v="GDP per capita, PPP"/>
    <n v="51.6"/>
    <n v="40"/>
    <s v="40. Kuwait"/>
  </r>
  <r>
    <x v="83"/>
    <s v="GDP per capita, PPP"/>
    <n v="50.6"/>
    <n v="41"/>
    <s v="41. Portugal"/>
  </r>
  <r>
    <x v="66"/>
    <s v="GDP per capita, PPP"/>
    <n v="50.4"/>
    <n v="42"/>
    <s v="42. Poland"/>
  </r>
  <r>
    <x v="154"/>
    <s v="GDP per capita, PPP"/>
    <n v="50.2"/>
    <n v="43"/>
    <s v="43. Puerto Rico (US)"/>
  </r>
  <r>
    <x v="138"/>
    <s v="GDP per capita, PPP"/>
    <n v="49.3"/>
    <n v="44"/>
    <s v="44. Estonia"/>
  </r>
  <r>
    <x v="49"/>
    <s v="GDP per capita, PPP"/>
    <n v="48.7"/>
    <n v="45"/>
    <s v="45. Romania"/>
  </r>
  <r>
    <x v="130"/>
    <s v="GDP per capita, PPP"/>
    <n v="48.6"/>
    <n v="46"/>
    <s v="46. Croatia"/>
  </r>
  <r>
    <x v="45"/>
    <s v="GDP per capita, PPP"/>
    <n v="47.6"/>
    <n v="47"/>
    <s v="47. Hungary"/>
  </r>
  <r>
    <x v="168"/>
    <s v="GDP per capita, PPP"/>
    <n v="47.4"/>
    <n v="48"/>
    <s v="48. Russian Federation"/>
  </r>
  <r>
    <x v="103"/>
    <s v="GDP per capita, PPP"/>
    <n v="47.2"/>
    <n v="49"/>
    <s v="49. Slovak Republic"/>
  </r>
  <r>
    <x v="92"/>
    <s v="GDP per capita, PPP"/>
    <n v="44.1"/>
    <n v="50"/>
    <s v="50. Greece"/>
  </r>
  <r>
    <x v="119"/>
    <s v="GDP per capita, PPP"/>
    <n v="43.9"/>
    <n v="51"/>
    <s v="51. Latvia"/>
  </r>
  <r>
    <x v="59"/>
    <s v="GDP per capita, PPP"/>
    <n v="43.9"/>
    <n v="52"/>
    <s v="52. Turkiye"/>
  </r>
  <r>
    <x v="192"/>
    <s v="GDP per capita, PPP"/>
    <n v="41.7"/>
    <n v="53"/>
    <s v="53. Oman"/>
  </r>
  <r>
    <x v="125"/>
    <s v="GDP per capita, PPP"/>
    <n v="41.4"/>
    <n v="54"/>
    <s v="54. Panama"/>
  </r>
  <r>
    <x v="202"/>
    <s v="GDP per capita, PPP"/>
    <n v="41.2"/>
    <n v="55"/>
    <s v="55. Bahamas, The"/>
  </r>
  <r>
    <x v="71"/>
    <s v="GDP per capita, PPP"/>
    <n v="41.1"/>
    <n v="56"/>
    <s v="56. Bulgaria"/>
  </r>
  <r>
    <x v="5"/>
    <s v="GDP per capita, PPP"/>
    <n v="40.799999999999997"/>
    <n v="57"/>
    <s v="57. Kazakhstan"/>
  </r>
  <r>
    <x v="131"/>
    <s v="GDP per capita, PPP"/>
    <n v="38.700000000000003"/>
    <n v="58"/>
    <s v="58. Malaysia"/>
  </r>
  <r>
    <x v="204"/>
    <s v="GDP per capita, PPP"/>
    <n v="38"/>
    <n v="59"/>
    <s v="59. Turks and Caicos Islands"/>
  </r>
  <r>
    <x v="3"/>
    <s v="GDP per capita, PPP"/>
    <n v="36.4"/>
    <n v="60"/>
    <s v="60. Uruguay"/>
  </r>
  <r>
    <x v="173"/>
    <s v="GDP per capita, PPP"/>
    <n v="36"/>
    <n v="61"/>
    <s v="61. Trinidad and Tobago"/>
  </r>
  <r>
    <x v="139"/>
    <s v="GDP per capita, PPP"/>
    <n v="35.5"/>
    <n v="62"/>
    <s v="62. St. Kitts and Nevis"/>
  </r>
  <r>
    <x v="165"/>
    <s v="GDP per capita, PPP"/>
    <n v="34.6"/>
    <n v="63"/>
    <s v="63. Chile"/>
  </r>
  <r>
    <x v="146"/>
    <s v="GDP per capita, PPP"/>
    <n v="33.6"/>
    <n v="64"/>
    <s v="64. Antigua and Barbuda"/>
  </r>
  <r>
    <x v="152"/>
    <s v="GDP per capita, PPP"/>
    <n v="33.4"/>
    <n v="65"/>
    <s v="65. Montenegro"/>
  </r>
  <r>
    <x v="198"/>
    <s v="GDP per capita, PPP"/>
    <n v="33.200000000000003"/>
    <n v="66"/>
    <s v="66. Seychelles"/>
  </r>
  <r>
    <x v="96"/>
    <s v="GDP per capita, PPP"/>
    <n v="33"/>
    <n v="67"/>
    <s v="67. Belarus"/>
  </r>
  <r>
    <x v="93"/>
    <s v="GDP per capita, PPP"/>
    <n v="31.9"/>
    <n v="68"/>
    <s v="68. Serbia"/>
  </r>
  <r>
    <x v="85"/>
    <s v="GDP per capita, PPP"/>
    <n v="31.1"/>
    <n v="69"/>
    <s v="69. Mauritius"/>
  </r>
  <r>
    <x v="87"/>
    <s v="GDP per capita, PPP"/>
    <n v="30.2"/>
    <n v="70"/>
    <s v="70. Argentina"/>
  </r>
  <r>
    <x v="115"/>
    <s v="GDP per capita, PPP"/>
    <n v="30.1"/>
    <n v="71"/>
    <s v="71. Costa Rica"/>
  </r>
  <r>
    <x v="113"/>
    <s v="GDP per capita, PPP"/>
    <n v="28.4"/>
    <n v="72"/>
    <s v="72. Georgia"/>
  </r>
  <r>
    <x v="159"/>
    <s v="GDP per capita, PPP"/>
    <n v="27.6"/>
    <n v="73"/>
    <s v="73. St. Lucia"/>
  </r>
  <r>
    <x v="47"/>
    <s v="GDP per capita, PPP"/>
    <n v="27.5"/>
    <n v="74"/>
    <s v="74. Dominican Republic"/>
  </r>
  <r>
    <x v="46"/>
    <s v="GDP per capita, PPP"/>
    <n v="27.1"/>
    <n v="75"/>
    <s v="75. China"/>
  </r>
  <r>
    <x v="60"/>
    <s v="GDP per capita, PPP"/>
    <n v="26.6"/>
    <n v="76"/>
    <s v="76. North Macedonia"/>
  </r>
  <r>
    <x v="150"/>
    <s v="GDP per capita, PPP"/>
    <n v="26.5"/>
    <n v="77"/>
    <s v="77. Maldives"/>
  </r>
  <r>
    <x v="58"/>
    <s v="GDP per capita, PPP"/>
    <n v="25.7"/>
    <n v="78"/>
    <s v="78. Mexico"/>
  </r>
  <r>
    <x v="43"/>
    <s v="GDP per capita, PPP"/>
    <n v="25.1"/>
    <n v="79"/>
    <s v="79. Azerbaijan"/>
  </r>
  <r>
    <x v="82"/>
    <s v="GDP per capita, PPP"/>
    <n v="24.7"/>
    <n v="80"/>
    <s v="80. Thailand"/>
  </r>
  <r>
    <x v="102"/>
    <s v="GDP per capita, PPP"/>
    <n v="23.5"/>
    <n v="81"/>
    <s v="81. Albania"/>
  </r>
  <r>
    <x v="40"/>
    <s v="GDP per capita, PPP"/>
    <n v="22.8"/>
    <n v="82"/>
    <s v="82. Armenia"/>
  </r>
  <r>
    <x v="137"/>
    <s v="GDP per capita, PPP"/>
    <n v="22.7"/>
    <n v="83"/>
    <s v="83. Barbados"/>
  </r>
  <r>
    <x v="128"/>
    <s v="GDP per capita, PPP"/>
    <n v="22.3"/>
    <n v="84"/>
    <s v="84. Brazil"/>
  </r>
  <r>
    <x v="207"/>
    <s v="GDP per capita, PPP"/>
    <n v="22.1"/>
    <n v="85"/>
    <s v="85. Suriname"/>
  </r>
  <r>
    <x v="142"/>
    <s v="GDP per capita, PPP"/>
    <n v="22"/>
    <n v="86"/>
    <s v="86. Bosnia and Herzegovina"/>
  </r>
  <r>
    <x v="108"/>
    <s v="GDP per capita, PPP"/>
    <n v="21.5"/>
    <n v="87"/>
    <s v="87. Colombia"/>
  </r>
  <r>
    <x v="182"/>
    <s v="GDP per capita, PPP"/>
    <n v="21.5"/>
    <n v="88"/>
    <s v="88. Gabon"/>
  </r>
  <r>
    <x v="114"/>
    <s v="GDP per capita, PPP"/>
    <n v="21.3"/>
    <n v="89"/>
    <s v="89. Dominica"/>
  </r>
  <r>
    <x v="155"/>
    <s v="GDP per capita, PPP"/>
    <n v="21.3"/>
    <n v="90"/>
    <s v="90. St. Vincent and the Grenadines"/>
  </r>
  <r>
    <x v="75"/>
    <s v="GDP per capita, PPP"/>
    <n v="20.5"/>
    <n v="91"/>
    <s v="91. Botswana"/>
  </r>
  <r>
    <x v="1"/>
    <s v="GDP per capita, PPP"/>
    <n v="20.399999999999999"/>
    <n v="92"/>
    <s v="92. Turkmenistan"/>
  </r>
  <r>
    <x v="136"/>
    <s v="GDP per capita, PPP"/>
    <n v="20.2"/>
    <n v="93"/>
    <s v="93. Grenada"/>
  </r>
  <r>
    <x v="193"/>
    <s v="GDP per capita, PPP"/>
    <n v="19.100000000000001"/>
    <n v="94"/>
    <s v="94. Egypt, Arab Rep."/>
  </r>
  <r>
    <x v="25"/>
    <s v="GDP per capita, PPP"/>
    <n v="19.100000000000001"/>
    <n v="95"/>
    <s v="95. Mongolia"/>
  </r>
  <r>
    <x v="10"/>
    <s v="GDP per capita, PPP"/>
    <n v="18.7"/>
    <n v="96"/>
    <s v="96. Moldova"/>
  </r>
  <r>
    <x v="209"/>
    <s v="GDP per capita, PPP"/>
    <n v="18.600000000000001"/>
    <n v="97"/>
    <s v="97. Kosovo"/>
  </r>
  <r>
    <x v="17"/>
    <s v="GDP per capita, PPP"/>
    <n v="18.600000000000001"/>
    <n v="98"/>
    <s v="98. Ukraine"/>
  </r>
  <r>
    <x v="51"/>
    <s v="GDP per capita, PPP"/>
    <n v="18.5"/>
    <n v="99"/>
    <s v="99. Paraguay"/>
  </r>
  <r>
    <x v="127"/>
    <s v="GDP per capita, PPP"/>
    <n v="18.399999999999999"/>
    <n v="100"/>
    <s v="100. Iran, Islamic Rep."/>
  </r>
  <r>
    <x v="153"/>
    <s v="GDP per capita, PPP"/>
    <n v="17.8"/>
    <n v="101"/>
    <s v="101. Peru"/>
  </r>
  <r>
    <x v="157"/>
    <s v="GDP per capita, PPP"/>
    <n v="17.600000000000001"/>
    <n v="102"/>
    <s v="102. Algeria"/>
  </r>
  <r>
    <x v="196"/>
    <s v="GDP per capita, PPP"/>
    <n v="17.600000000000001"/>
    <n v="103"/>
    <s v="103. Equatorial Guinea"/>
  </r>
  <r>
    <x v="126"/>
    <s v="GDP per capita, PPP"/>
    <n v="16.399999999999999"/>
    <n v="104"/>
    <s v="104. Indonesia"/>
  </r>
  <r>
    <x v="97"/>
    <s v="GDP per capita, PPP"/>
    <n v="16.399999999999999"/>
    <n v="105"/>
    <s v="105. Viet Nam"/>
  </r>
  <r>
    <x v="158"/>
    <s v="GDP per capita, PPP"/>
    <n v="16"/>
    <n v="106"/>
    <s v="106. Fiji"/>
  </r>
  <r>
    <x v="144"/>
    <s v="GDP per capita, PPP"/>
    <n v="15.8"/>
    <n v="107"/>
    <s v="107. Ecuador"/>
  </r>
  <r>
    <x v="64"/>
    <s v="GDP per capita, PPP"/>
    <n v="15.6"/>
    <n v="108"/>
    <s v="108. Sri Lanka"/>
  </r>
  <r>
    <x v="6"/>
    <s v="GDP per capita, PPP"/>
    <n v="15.5"/>
    <n v="109"/>
    <s v="109. South Africa"/>
  </r>
  <r>
    <x v="184"/>
    <s v="GDP per capita, PPP"/>
    <n v="15.1"/>
    <n v="110"/>
    <s v="110. Belize"/>
  </r>
  <r>
    <x v="141"/>
    <s v="GDP per capita, PPP"/>
    <n v="14.5"/>
    <n v="111"/>
    <s v="111. Iraq"/>
  </r>
  <r>
    <x v="34"/>
    <s v="GDP per capita, PPP"/>
    <n v="14.5"/>
    <n v="112"/>
    <s v="112. Tunisia"/>
  </r>
  <r>
    <x v="84"/>
    <s v="GDP per capita, PPP"/>
    <n v="14.4"/>
    <n v="113"/>
    <s v="113. Guatemala"/>
  </r>
  <r>
    <x v="148"/>
    <s v="GDP per capita, PPP"/>
    <n v="14.3"/>
    <n v="114"/>
    <s v="114. Nauru"/>
  </r>
  <r>
    <x v="181"/>
    <s v="GDP per capita, PPP"/>
    <n v="14"/>
    <n v="115"/>
    <s v="115. Libya"/>
  </r>
  <r>
    <x v="44"/>
    <s v="GDP per capita, PPP"/>
    <n v="13.3"/>
    <n v="116"/>
    <s v="116. El Salvador"/>
  </r>
  <r>
    <x v="42"/>
    <s v="GDP per capita, PPP"/>
    <n v="11.9"/>
    <n v="117"/>
    <s v="117. Uzbekistan"/>
  </r>
  <r>
    <x v="23"/>
    <s v="GDP per capita, PPP"/>
    <n v="11.8"/>
    <n v="118"/>
    <s v="118. Eswatini"/>
  </r>
  <r>
    <x v="86"/>
    <s v="GDP per capita, PPP"/>
    <n v="11.8"/>
    <n v="119"/>
    <s v="119. Philippines"/>
  </r>
  <r>
    <x v="99"/>
    <s v="GDP per capita, PPP"/>
    <n v="11.7"/>
    <n v="120"/>
    <s v="120. Jamaica"/>
  </r>
  <r>
    <x v="69"/>
    <s v="GDP per capita, PPP"/>
    <n v="11.7"/>
    <n v="121"/>
    <s v="121. Namibia"/>
  </r>
  <r>
    <x v="151"/>
    <s v="GDP per capita, PPP"/>
    <n v="11.3"/>
    <n v="122"/>
    <s v="122. Cabo Verde"/>
  </r>
  <r>
    <x v="109"/>
    <s v="GDP per capita, PPP"/>
    <n v="11.2"/>
    <n v="123"/>
    <s v="123. Bolivia"/>
  </r>
  <r>
    <x v="38"/>
    <s v="GDP per capita, PPP"/>
    <n v="11.2"/>
    <n v="124"/>
    <s v="124. India"/>
  </r>
  <r>
    <x v="170"/>
    <s v="GDP per capita, PPP"/>
    <n v="10.8"/>
    <n v="125"/>
    <s v="125. Jordan"/>
  </r>
  <r>
    <x v="26"/>
    <s v="GDP per capita, PPP"/>
    <n v="10.3"/>
    <n v="126"/>
    <s v="126. Morocco"/>
  </r>
  <r>
    <x v="176"/>
    <s v="GDP per capita, PPP"/>
    <n v="9.8000000000000007"/>
    <n v="127"/>
    <s v="127. Lao PDR"/>
  </r>
  <r>
    <x v="14"/>
    <s v="GDP per capita, PPP"/>
    <n v="9.6"/>
    <n v="128"/>
    <s v="128. Bangladesh"/>
  </r>
  <r>
    <x v="88"/>
    <s v="GDP per capita, PPP"/>
    <n v="8.6999999999999993"/>
    <n v="129"/>
    <s v="129. Nicaragua"/>
  </r>
  <r>
    <x v="105"/>
    <s v="GDP per capita, PPP"/>
    <n v="8.3000000000000007"/>
    <n v="130"/>
    <s v="130. Angola"/>
  </r>
  <r>
    <x v="98"/>
    <s v="GDP per capita, PPP"/>
    <n v="8.1999999999999993"/>
    <n v="131"/>
    <s v="131. Marshall Islands"/>
  </r>
  <r>
    <x v="111"/>
    <s v="GDP per capita, PPP"/>
    <n v="8"/>
    <n v="132"/>
    <s v="132. Cambodia"/>
  </r>
  <r>
    <x v="48"/>
    <s v="GDP per capita, PPP"/>
    <n v="8"/>
    <n v="133"/>
    <s v="133. Ghana"/>
  </r>
  <r>
    <x v="52"/>
    <s v="GDP per capita, PPP"/>
    <n v="8"/>
    <n v="134"/>
    <s v="134. Kyrgyz Republic"/>
  </r>
  <r>
    <x v="12"/>
    <s v="GDP per capita, PPP"/>
    <n v="7.8"/>
    <n v="135"/>
    <s v="135. Djibouti"/>
  </r>
  <r>
    <x v="156"/>
    <s v="GDP per capita, PPP"/>
    <n v="7.8"/>
    <n v="136"/>
    <s v="136. Samoa"/>
  </r>
  <r>
    <x v="0"/>
    <s v="GDP per capita, PPP"/>
    <n v="7.7"/>
    <n v="137"/>
    <s v="137. Cote d'Ivoire"/>
  </r>
  <r>
    <x v="118"/>
    <s v="GDP per capita, PPP"/>
    <n v="7.5"/>
    <n v="138"/>
    <s v="138. Honduras"/>
  </r>
  <r>
    <x v="100"/>
    <s v="GDP per capita, PPP"/>
    <n v="7.3"/>
    <n v="139"/>
    <s v="139. Mauritania"/>
  </r>
  <r>
    <x v="121"/>
    <s v="GDP per capita, PPP"/>
    <n v="7"/>
    <n v="140"/>
    <s v="140. Congo, Rep."/>
  </r>
  <r>
    <x v="62"/>
    <s v="GDP per capita, PPP"/>
    <n v="6.6"/>
    <n v="141"/>
    <s v="141. Kenya"/>
  </r>
  <r>
    <x v="9"/>
    <s v="GDP per capita, PPP"/>
    <n v="6.4"/>
    <n v="142"/>
    <s v="142. Nigeria"/>
  </r>
  <r>
    <x v="70"/>
    <s v="GDP per capita, PPP"/>
    <n v="6.3"/>
    <n v="143"/>
    <s v="143. Pakistan"/>
  </r>
  <r>
    <x v="77"/>
    <s v="GDP per capita, PPP"/>
    <n v="6.2"/>
    <n v="144"/>
    <s v="144. Sao Tome and Principe"/>
  </r>
  <r>
    <x v="149"/>
    <s v="GDP per capita, PPP"/>
    <n v="6"/>
    <n v="145"/>
    <s v="145. Myanmar"/>
  </r>
  <r>
    <x v="132"/>
    <s v="GDP per capita, PPP"/>
    <n v="5.7"/>
    <n v="146"/>
    <s v="146. Nepal"/>
  </r>
  <r>
    <x v="145"/>
    <s v="GDP per capita, PPP"/>
    <n v="5.6"/>
    <n v="147"/>
    <s v="147. Cameroon"/>
  </r>
  <r>
    <x v="129"/>
    <s v="GDP per capita, PPP"/>
    <n v="5.4"/>
    <n v="148"/>
    <s v="148. Tajikistan"/>
  </r>
  <r>
    <x v="63"/>
    <s v="GDP per capita, PPP"/>
    <n v="5.0999999999999996"/>
    <n v="149"/>
    <s v="149. Senegal"/>
  </r>
  <r>
    <x v="199"/>
    <s v="GDP per capita, PPP"/>
    <n v="4.9000000000000004"/>
    <n v="150"/>
    <s v="150. Papua New Guinea"/>
  </r>
  <r>
    <x v="140"/>
    <s v="GDP per capita, PPP"/>
    <n v="4.8"/>
    <n v="151"/>
    <s v="151. Timor-Leste"/>
  </r>
  <r>
    <x v="13"/>
    <s v="GDP per capita, PPP"/>
    <n v="4.5999999999999996"/>
    <n v="152"/>
    <s v="152. Guinea"/>
  </r>
  <r>
    <x v="90"/>
    <s v="GDP per capita, PPP"/>
    <n v="4.4000000000000004"/>
    <n v="153"/>
    <s v="153. Benin"/>
  </r>
  <r>
    <x v="30"/>
    <s v="GDP per capita, PPP"/>
    <n v="4.4000000000000004"/>
    <n v="154"/>
    <s v="154. West Bank and Gaza"/>
  </r>
  <r>
    <x v="187"/>
    <s v="GDP per capita, PPP"/>
    <n v="4.3"/>
    <n v="155"/>
    <s v="155. Micronesia, Fed. Sts."/>
  </r>
  <r>
    <x v="78"/>
    <s v="GDP per capita, PPP"/>
    <n v="4.2"/>
    <n v="156"/>
    <s v="156. Tanzania"/>
  </r>
  <r>
    <x v="117"/>
    <s v="GDP per capita, PPP"/>
    <n v="4.2"/>
    <n v="157"/>
    <s v="157. Zambia"/>
  </r>
  <r>
    <x v="16"/>
    <s v="GDP per capita, PPP"/>
    <n v="4.0999999999999996"/>
    <n v="158"/>
    <s v="158. Comoros"/>
  </r>
  <r>
    <x v="91"/>
    <s v="GDP per capita, PPP"/>
    <n v="3.9"/>
    <n v="159"/>
    <s v="159. Zimbabwe"/>
  </r>
  <r>
    <x v="89"/>
    <s v="GDP per capita, PPP"/>
    <n v="3.7"/>
    <n v="160"/>
    <s v="160. Kiribati"/>
  </r>
  <r>
    <x v="8"/>
    <s v="GDP per capita, PPP"/>
    <n v="3.7"/>
    <n v="161"/>
    <s v="161. Rwanda"/>
  </r>
  <r>
    <x v="163"/>
    <s v="GDP per capita, PPP"/>
    <n v="3.6"/>
    <n v="162"/>
    <s v="162. Vanuatu"/>
  </r>
  <r>
    <x v="50"/>
    <s v="GDP per capita, PPP"/>
    <n v="3.5"/>
    <n v="163"/>
    <s v="163. Sierra Leone"/>
  </r>
  <r>
    <x v="33"/>
    <s v="GDP per capita, PPP"/>
    <n v="3.4"/>
    <n v="164"/>
    <s v="164. Gambia, The"/>
  </r>
  <r>
    <x v="112"/>
    <s v="GDP per capita, PPP"/>
    <n v="3.3"/>
    <n v="165"/>
    <s v="165. Ethiopia"/>
  </r>
  <r>
    <x v="110"/>
    <s v="GDP per capita, PPP"/>
    <n v="3.3"/>
    <n v="166"/>
    <s v="166. Mali"/>
  </r>
  <r>
    <x v="15"/>
    <s v="GDP per capita, PPP"/>
    <n v="3.3"/>
    <n v="167"/>
    <s v="167. Uganda"/>
  </r>
  <r>
    <x v="29"/>
    <s v="GDP per capita, PPP"/>
    <n v="3.2"/>
    <n v="168"/>
    <s v="168. Haiti"/>
  </r>
  <r>
    <x v="21"/>
    <s v="GDP per capita, PPP"/>
    <n v="3.2"/>
    <n v="169"/>
    <s v="169. Togo"/>
  </r>
  <r>
    <x v="123"/>
    <s v="GDP per capita, PPP"/>
    <n v="3.1"/>
    <n v="170"/>
    <s v="170. Guinea-Bissau"/>
  </r>
  <r>
    <x v="94"/>
    <s v="GDP per capita, PPP"/>
    <n v="3"/>
    <n v="171"/>
    <s v="171. Chad"/>
  </r>
  <r>
    <x v="7"/>
    <s v="GDP per capita, PPP"/>
    <n v="3"/>
    <n v="172"/>
    <s v="172. Lesotho"/>
  </r>
  <r>
    <x v="54"/>
    <s v="GDP per capita, PPP"/>
    <n v="2.9"/>
    <n v="173"/>
    <s v="173. Burkina Faso"/>
  </r>
  <r>
    <x v="194"/>
    <s v="GDP per capita, PPP"/>
    <n v="2.9"/>
    <n v="174"/>
    <s v="174. Solomon Islands"/>
  </r>
  <r>
    <x v="37"/>
    <s v="GDP per capita, PPP"/>
    <n v="2.1"/>
    <n v="175"/>
    <s v="175. Sudan"/>
  </r>
  <r>
    <x v="107"/>
    <s v="GDP per capita, PPP"/>
    <n v="2"/>
    <n v="176"/>
    <s v="176. Niger"/>
  </r>
  <r>
    <x v="147"/>
    <s v="GDP per capita, PPP"/>
    <n v="1.9"/>
    <n v="177"/>
    <s v="177. Liberia"/>
  </r>
  <r>
    <x v="18"/>
    <s v="GDP per capita, PPP"/>
    <n v="1.9"/>
    <n v="178"/>
    <s v="178. Madagascar"/>
  </r>
  <r>
    <x v="31"/>
    <s v="GDP per capita, PPP"/>
    <n v="1.9"/>
    <n v="179"/>
    <s v="179. Malawi"/>
  </r>
  <r>
    <x v="162"/>
    <s v="GDP per capita, PPP"/>
    <n v="1.7"/>
    <n v="180"/>
    <s v="180. Congo, Dem. Rep."/>
  </r>
  <r>
    <x v="55"/>
    <s v="GDP per capita, PPP"/>
    <n v="1.7"/>
    <n v="181"/>
    <s v="181. Mozambique"/>
  </r>
  <r>
    <x v="239"/>
    <s v="GDP per capita, PPP"/>
    <n v="1.6"/>
    <n v="182"/>
    <s v="182. Somalia"/>
  </r>
  <r>
    <x v="179"/>
    <s v="GDP per capita, PPP"/>
    <n v="1.3"/>
    <n v="183"/>
    <s v="183. Central African Republic"/>
  </r>
  <r>
    <x v="2"/>
    <s v="GDP per capita, PPP"/>
    <n v="0.9"/>
    <n v="184"/>
    <s v="184. Burundi"/>
  </r>
  <r>
    <x v="46"/>
    <s v="GDP, PPP"/>
    <n v="38190.1"/>
    <n v="1"/>
    <s v="1. China"/>
  </r>
  <r>
    <x v="72"/>
    <s v="GDP, PPP"/>
    <n v="29184.9"/>
    <n v="2"/>
    <s v="2. United States"/>
  </r>
  <r>
    <x v="38"/>
    <s v="GDP, PPP"/>
    <n v="16190.8"/>
    <n v="3"/>
    <s v="3. India"/>
  </r>
  <r>
    <x v="168"/>
    <s v="GDP, PPP"/>
    <n v="6921.2"/>
    <n v="4"/>
    <s v="4. Russian Federation"/>
  </r>
  <r>
    <x v="169"/>
    <s v="GDP, PPP"/>
    <n v="6407.7"/>
    <n v="5"/>
    <s v="5. Japan"/>
  </r>
  <r>
    <x v="67"/>
    <s v="GDP, PPP"/>
    <n v="6037.9"/>
    <n v="6"/>
    <s v="6. Germany"/>
  </r>
  <r>
    <x v="128"/>
    <s v="GDP, PPP"/>
    <n v="4734.7"/>
    <n v="7"/>
    <s v="7. Brazil"/>
  </r>
  <r>
    <x v="126"/>
    <s v="GDP, PPP"/>
    <n v="4662.8999999999996"/>
    <n v="8"/>
    <s v="8. Indonesia"/>
  </r>
  <r>
    <x v="56"/>
    <s v="GDP, PPP"/>
    <n v="4201.6000000000004"/>
    <n v="9"/>
    <s v="9. France"/>
  </r>
  <r>
    <x v="20"/>
    <s v="GDP, PPP"/>
    <n v="4196.5"/>
    <n v="10"/>
    <s v="10. United Kingdom"/>
  </r>
  <r>
    <x v="59"/>
    <s v="GDP, PPP"/>
    <n v="3757"/>
    <n v="11"/>
    <s v="11. Turkiye"/>
  </r>
  <r>
    <x v="81"/>
    <s v="GDP, PPP"/>
    <n v="3589.1"/>
    <n v="12"/>
    <s v="12. Italy"/>
  </r>
  <r>
    <x v="58"/>
    <s v="GDP, PPP"/>
    <n v="3361.6"/>
    <n v="13"/>
    <s v="13. Mexico"/>
  </r>
  <r>
    <x v="61"/>
    <s v="GDP, PPP"/>
    <n v="2778.4"/>
    <n v="14"/>
    <s v="14. Spain"/>
  </r>
  <r>
    <x v="188"/>
    <s v="GDP, PPP"/>
    <n v="2702.9"/>
    <n v="15"/>
    <s v="15. Canada"/>
  </r>
  <r>
    <x v="4"/>
    <s v="GDP, PPP"/>
    <n v="2514.9"/>
    <n v="16"/>
    <s v="16. Saudi Arabia"/>
  </r>
  <r>
    <x v="193"/>
    <s v="GDP, PPP"/>
    <n v="2225.1999999999998"/>
    <n v="17"/>
    <s v="17. Egypt, Arab Rep."/>
  </r>
  <r>
    <x v="68"/>
    <s v="GDP, PPP"/>
    <n v="1936.8"/>
    <n v="18"/>
    <s v="18. Australia"/>
  </r>
  <r>
    <x v="66"/>
    <s v="GDP, PPP"/>
    <n v="1841.6"/>
    <n v="19"/>
    <s v="19. Poland"/>
  </r>
  <r>
    <x v="82"/>
    <s v="GDP, PPP"/>
    <n v="1770.8"/>
    <n v="20"/>
    <s v="20. Thailand"/>
  </r>
  <r>
    <x v="127"/>
    <s v="GDP, PPP"/>
    <n v="1688.7"/>
    <n v="21"/>
    <s v="21. Iran, Islamic Rep."/>
  </r>
  <r>
    <x v="14"/>
    <s v="GDP, PPP"/>
    <n v="1674.3"/>
    <n v="22"/>
    <s v="22. Bangladesh"/>
  </r>
  <r>
    <x v="97"/>
    <s v="GDP, PPP"/>
    <n v="1654.7"/>
    <n v="23"/>
    <s v="23. Viet Nam"/>
  </r>
  <r>
    <x v="70"/>
    <s v="GDP, PPP"/>
    <n v="1579.7"/>
    <n v="24"/>
    <s v="24. Pakistan"/>
  </r>
  <r>
    <x v="53"/>
    <s v="GDP, PPP"/>
    <n v="1515.4"/>
    <n v="25"/>
    <s v="25. Netherlands"/>
  </r>
  <r>
    <x v="9"/>
    <s v="GDP, PPP"/>
    <n v="1498.4"/>
    <n v="26"/>
    <s v="26. Nigeria"/>
  </r>
  <r>
    <x v="87"/>
    <s v="GDP, PPP"/>
    <n v="1378.9"/>
    <n v="27"/>
    <s v="27. Argentina"/>
  </r>
  <r>
    <x v="131"/>
    <s v="GDP, PPP"/>
    <n v="1377.1"/>
    <n v="28"/>
    <s v="28. Malaysia"/>
  </r>
  <r>
    <x v="86"/>
    <s v="GDP, PPP"/>
    <n v="1366.3"/>
    <n v="29"/>
    <s v="29. Philippines"/>
  </r>
  <r>
    <x v="108"/>
    <s v="GDP, PPP"/>
    <n v="1136.8"/>
    <n v="30"/>
    <s v="30. Colombia"/>
  </r>
  <r>
    <x v="6"/>
    <s v="GDP, PPP"/>
    <n v="989.4"/>
    <n v="31"/>
    <s v="31. South Africa"/>
  </r>
  <r>
    <x v="49"/>
    <s v="GDP, PPP"/>
    <n v="928.9"/>
    <n v="32"/>
    <s v="32. Romania"/>
  </r>
  <r>
    <x v="205"/>
    <s v="GDP, PPP"/>
    <n v="909.7"/>
    <n v="33"/>
    <s v="33. Singapore"/>
  </r>
  <r>
    <x v="79"/>
    <s v="GDP, PPP"/>
    <n v="856.6"/>
    <n v="34"/>
    <s v="34. Belgium"/>
  </r>
  <r>
    <x v="191"/>
    <s v="GDP, PPP"/>
    <n v="848"/>
    <n v="35"/>
    <s v="35. United Arab Emirates"/>
  </r>
  <r>
    <x v="104"/>
    <s v="GDP, PPP"/>
    <n v="847.6"/>
    <n v="36"/>
    <s v="36. Switzerland"/>
  </r>
  <r>
    <x v="5"/>
    <s v="GDP, PPP"/>
    <n v="840.4"/>
    <n v="37"/>
    <s v="37. Kazakhstan"/>
  </r>
  <r>
    <x v="157"/>
    <s v="GDP, PPP"/>
    <n v="821.7"/>
    <n v="38"/>
    <s v="38. Algeria"/>
  </r>
  <r>
    <x v="186"/>
    <s v="GDP, PPP"/>
    <n v="750.8"/>
    <n v="39"/>
    <s v="39. Sweden"/>
  </r>
  <r>
    <x v="36"/>
    <s v="GDP, PPP"/>
    <n v="705.8"/>
    <n v="40"/>
    <s v="40. Ireland"/>
  </r>
  <r>
    <x v="165"/>
    <s v="GDP, PPP"/>
    <n v="684.6"/>
    <n v="41"/>
    <s v="41. Chile"/>
  </r>
  <r>
    <x v="141"/>
    <s v="GDP, PPP"/>
    <n v="666"/>
    <n v="42"/>
    <s v="42. Iraq"/>
  </r>
  <r>
    <x v="120"/>
    <s v="GDP, PPP"/>
    <n v="657.3"/>
    <n v="43"/>
    <s v="43. Austria"/>
  </r>
  <r>
    <x v="17"/>
    <s v="GDP, PPP"/>
    <n v="656.5"/>
    <n v="44"/>
    <s v="44. Ukraine"/>
  </r>
  <r>
    <x v="74"/>
    <s v="GDP, PPP"/>
    <n v="618.20000000000005"/>
    <n v="45"/>
    <s v="45. Czechia"/>
  </r>
  <r>
    <x v="153"/>
    <s v="GDP, PPP"/>
    <n v="609.20000000000005"/>
    <n v="46"/>
    <s v="46. Peru"/>
  </r>
  <r>
    <x v="195"/>
    <s v="GDP, PPP"/>
    <n v="565.9"/>
    <n v="47"/>
    <s v="47. Hong Kong SAR, China"/>
  </r>
  <r>
    <x v="200"/>
    <s v="GDP, PPP"/>
    <n v="563"/>
    <n v="48"/>
    <s v="48. Norway"/>
  </r>
  <r>
    <x v="134"/>
    <s v="GDP, PPP"/>
    <n v="555.5"/>
    <n v="49"/>
    <s v="49. Israel"/>
  </r>
  <r>
    <x v="83"/>
    <s v="GDP, PPP"/>
    <n v="541.70000000000005"/>
    <n v="50"/>
    <s v="50. Portugal"/>
  </r>
  <r>
    <x v="28"/>
    <s v="GDP, PPP"/>
    <n v="475.3"/>
    <n v="51"/>
    <s v="51. Denmark"/>
  </r>
  <r>
    <x v="92"/>
    <s v="GDP, PPP"/>
    <n v="457.9"/>
    <n v="52"/>
    <s v="52. Greece"/>
  </r>
  <r>
    <x v="45"/>
    <s v="GDP, PPP"/>
    <n v="455.5"/>
    <n v="53"/>
    <s v="53. Hungary"/>
  </r>
  <r>
    <x v="112"/>
    <s v="GDP, PPP"/>
    <n v="433"/>
    <n v="54"/>
    <s v="54. Ethiopia"/>
  </r>
  <r>
    <x v="42"/>
    <s v="GDP, PPP"/>
    <n v="431.9"/>
    <n v="55"/>
    <s v="55. Uzbekistan"/>
  </r>
  <r>
    <x v="26"/>
    <s v="GDP, PPP"/>
    <n v="398.5"/>
    <n v="56"/>
    <s v="56. Morocco"/>
  </r>
  <r>
    <x v="62"/>
    <s v="GDP, PPP"/>
    <n v="373.5"/>
    <n v="57"/>
    <s v="57. Kenya"/>
  </r>
  <r>
    <x v="185"/>
    <s v="GDP, PPP"/>
    <n v="361.3"/>
    <n v="58"/>
    <s v="58. Finland"/>
  </r>
  <r>
    <x v="189"/>
    <s v="GDP, PPP"/>
    <n v="360.4"/>
    <n v="59"/>
    <s v="59. Qatar"/>
  </r>
  <r>
    <x v="64"/>
    <s v="GDP, PPP"/>
    <n v="342.6"/>
    <n v="60"/>
    <s v="60. Sri Lanka"/>
  </r>
  <r>
    <x v="149"/>
    <s v="GDP, PPP"/>
    <n v="326.89999999999998"/>
    <n v="61"/>
    <s v="61. Myanmar"/>
  </r>
  <r>
    <x v="105"/>
    <s v="GDP, PPP"/>
    <n v="316.3"/>
    <n v="62"/>
    <s v="62. Angola"/>
  </r>
  <r>
    <x v="47"/>
    <s v="GDP, PPP"/>
    <n v="314.7"/>
    <n v="63"/>
    <s v="63. Dominican Republic"/>
  </r>
  <r>
    <x v="96"/>
    <s v="GDP, PPP"/>
    <n v="301.5"/>
    <n v="64"/>
    <s v="64. Belarus"/>
  </r>
  <r>
    <x v="106"/>
    <s v="GDP, PPP"/>
    <n v="294.10000000000002"/>
    <n v="65"/>
    <s v="65. New Zealand"/>
  </r>
  <r>
    <x v="144"/>
    <s v="GDP, PPP"/>
    <n v="287.3"/>
    <n v="66"/>
    <s v="66. Ecuador"/>
  </r>
  <r>
    <x v="78"/>
    <s v="GDP, PPP"/>
    <n v="280.39999999999998"/>
    <n v="67"/>
    <s v="67. Tanzania"/>
  </r>
  <r>
    <x v="48"/>
    <s v="GDP, PPP"/>
    <n v="276.39999999999998"/>
    <n v="68"/>
    <s v="68. Ghana"/>
  </r>
  <r>
    <x v="71"/>
    <s v="GDP, PPP"/>
    <n v="264.8"/>
    <n v="69"/>
    <s v="69. Bulgaria"/>
  </r>
  <r>
    <x v="84"/>
    <s v="GDP, PPP"/>
    <n v="264.5"/>
    <n v="70"/>
    <s v="70. Guatemala"/>
  </r>
  <r>
    <x v="183"/>
    <s v="GDP, PPP"/>
    <n v="256.8"/>
    <n v="71"/>
    <s v="71. Kuwait"/>
  </r>
  <r>
    <x v="43"/>
    <s v="GDP, PPP"/>
    <n v="256"/>
    <n v="72"/>
    <s v="72. Azerbaijan"/>
  </r>
  <r>
    <x v="103"/>
    <s v="GDP, PPP"/>
    <n v="255.8"/>
    <n v="73"/>
    <s v="73. Slovak Republic"/>
  </r>
  <r>
    <x v="0"/>
    <s v="GDP, PPP"/>
    <n v="244.4"/>
    <n v="74"/>
    <s v="74. Cote d'Ivoire"/>
  </r>
  <r>
    <x v="192"/>
    <s v="GDP, PPP"/>
    <n v="220.1"/>
    <n v="75"/>
    <s v="75. Oman"/>
  </r>
  <r>
    <x v="93"/>
    <s v="GDP, PPP"/>
    <n v="209.9"/>
    <n v="76"/>
    <s v="76. Serbia"/>
  </r>
  <r>
    <x v="130"/>
    <s v="GDP, PPP"/>
    <n v="187.8"/>
    <n v="77"/>
    <s v="77. Croatia"/>
  </r>
  <r>
    <x v="125"/>
    <s v="GDP, PPP"/>
    <n v="187"/>
    <n v="78"/>
    <s v="78. Panama"/>
  </r>
  <r>
    <x v="162"/>
    <s v="GDP, PPP"/>
    <n v="186.8"/>
    <n v="79"/>
    <s v="79. Congo, Dem. Rep."/>
  </r>
  <r>
    <x v="34"/>
    <s v="GDP, PPP"/>
    <n v="177.4"/>
    <n v="80"/>
    <s v="80. Tunisia"/>
  </r>
  <r>
    <x v="132"/>
    <s v="GDP, PPP"/>
    <n v="170.1"/>
    <n v="81"/>
    <s v="81. Nepal"/>
  </r>
  <r>
    <x v="15"/>
    <s v="GDP, PPP"/>
    <n v="163.80000000000001"/>
    <n v="82"/>
    <s v="82. Uganda"/>
  </r>
  <r>
    <x v="145"/>
    <s v="GDP, PPP"/>
    <n v="162.80000000000001"/>
    <n v="83"/>
    <s v="83. Cameroon"/>
  </r>
  <r>
    <x v="154"/>
    <s v="GDP, PPP"/>
    <n v="160.69999999999999"/>
    <n v="84"/>
    <s v="84. Puerto Rico (US)"/>
  </r>
  <r>
    <x v="73"/>
    <s v="GDP, PPP"/>
    <n v="157.19999999999999"/>
    <n v="85"/>
    <s v="85. Lithuania"/>
  </r>
  <r>
    <x v="115"/>
    <s v="GDP, PPP"/>
    <n v="154.19999999999999"/>
    <n v="86"/>
    <s v="86. Costa Rica"/>
  </r>
  <r>
    <x v="1"/>
    <s v="GDP, PPP"/>
    <n v="152.9"/>
    <n v="87"/>
    <s v="87. Turkmenistan"/>
  </r>
  <r>
    <x v="111"/>
    <s v="GDP, PPP"/>
    <n v="140.6"/>
    <n v="88"/>
    <s v="88. Cambodia"/>
  </r>
  <r>
    <x v="109"/>
    <s v="GDP, PPP"/>
    <n v="138.9"/>
    <n v="89"/>
    <s v="89. Bolivia"/>
  </r>
  <r>
    <x v="51"/>
    <s v="GDP, PPP"/>
    <n v="128.4"/>
    <n v="90"/>
    <s v="90. Paraguay"/>
  </r>
  <r>
    <x v="170"/>
    <s v="GDP, PPP"/>
    <n v="125"/>
    <n v="91"/>
    <s v="91. Jordan"/>
  </r>
  <r>
    <x v="3"/>
    <s v="GDP, PPP"/>
    <n v="123.3"/>
    <n v="92"/>
    <s v="92. Uruguay"/>
  </r>
  <r>
    <x v="122"/>
    <s v="GDP, PPP"/>
    <n v="120.2"/>
    <n v="93"/>
    <s v="93. Slovenia"/>
  </r>
  <r>
    <x v="37"/>
    <s v="GDP, PPP"/>
    <n v="107.3"/>
    <n v="94"/>
    <s v="94. Sudan"/>
  </r>
  <r>
    <x v="174"/>
    <s v="GDP, PPP"/>
    <n v="106.8"/>
    <n v="95"/>
    <s v="95. Bahrain"/>
  </r>
  <r>
    <x v="113"/>
    <s v="GDP, PPP"/>
    <n v="104.4"/>
    <n v="96"/>
    <s v="96. Georgia"/>
  </r>
  <r>
    <x v="181"/>
    <s v="GDP, PPP"/>
    <n v="103"/>
    <n v="97"/>
    <s v="97. Libya"/>
  </r>
  <r>
    <x v="57"/>
    <s v="GDP, PPP"/>
    <n v="102.2"/>
    <n v="98"/>
    <s v="98. Luxembourg"/>
  </r>
  <r>
    <x v="63"/>
    <s v="GDP, PPP"/>
    <n v="94.6"/>
    <n v="99"/>
    <s v="99. Senegal"/>
  </r>
  <r>
    <x v="117"/>
    <s v="GDP, PPP"/>
    <n v="90"/>
    <n v="100"/>
    <s v="100. Zambia"/>
  </r>
  <r>
    <x v="208"/>
    <s v="GDP, PPP"/>
    <n v="88.1"/>
    <n v="101"/>
    <s v="101. Macao SAR, China"/>
  </r>
  <r>
    <x v="44"/>
    <s v="GDP, PPP"/>
    <n v="84.1"/>
    <n v="102"/>
    <s v="102. El Salvador"/>
  </r>
  <r>
    <x v="119"/>
    <s v="GDP, PPP"/>
    <n v="81.7"/>
    <n v="103"/>
    <s v="103. Latvia"/>
  </r>
  <r>
    <x v="118"/>
    <s v="GDP, PPP"/>
    <n v="81"/>
    <n v="104"/>
    <s v="104. Honduras"/>
  </r>
  <r>
    <x v="110"/>
    <s v="GDP, PPP"/>
    <n v="81"/>
    <n v="105"/>
    <s v="105. Mali"/>
  </r>
  <r>
    <x v="176"/>
    <s v="GDP, PPP"/>
    <n v="76"/>
    <n v="106"/>
    <s v="106. Lao PDR"/>
  </r>
  <r>
    <x v="142"/>
    <s v="GDP, PPP"/>
    <n v="69.5"/>
    <n v="107"/>
    <s v="107. Bosnia and Herzegovina"/>
  </r>
  <r>
    <x v="40"/>
    <s v="GDP, PPP"/>
    <n v="69.2"/>
    <n v="108"/>
    <s v="108. Armenia"/>
  </r>
  <r>
    <x v="54"/>
    <s v="GDP, PPP"/>
    <n v="68.2"/>
    <n v="109"/>
    <s v="109. Burkina Faso"/>
  </r>
  <r>
    <x v="138"/>
    <s v="GDP, PPP"/>
    <n v="67.7"/>
    <n v="110"/>
    <s v="110. Estonia"/>
  </r>
  <r>
    <x v="13"/>
    <s v="GDP, PPP"/>
    <n v="67.599999999999994"/>
    <n v="111"/>
    <s v="111. Guinea"/>
  </r>
  <r>
    <x v="25"/>
    <s v="GDP, PPP"/>
    <n v="67.3"/>
    <n v="112"/>
    <s v="112. Mongolia"/>
  </r>
  <r>
    <x v="197"/>
    <s v="GDP, PPP"/>
    <n v="66.400000000000006"/>
    <n v="113"/>
    <s v="113. Guyana"/>
  </r>
  <r>
    <x v="91"/>
    <s v="GDP, PPP"/>
    <n v="65.2"/>
    <n v="114"/>
    <s v="114. Zimbabwe"/>
  </r>
  <r>
    <x v="90"/>
    <s v="GDP, PPP"/>
    <n v="64.099999999999994"/>
    <n v="115"/>
    <s v="115. Benin"/>
  </r>
  <r>
    <x v="102"/>
    <s v="GDP, PPP"/>
    <n v="63.8"/>
    <n v="116"/>
    <s v="116. Albania"/>
  </r>
  <r>
    <x v="18"/>
    <s v="GDP, PPP"/>
    <n v="60.2"/>
    <n v="117"/>
    <s v="117. Madagascar"/>
  </r>
  <r>
    <x v="88"/>
    <s v="GDP, PPP"/>
    <n v="60.2"/>
    <n v="118"/>
    <s v="118. Nicaragua"/>
  </r>
  <r>
    <x v="94"/>
    <s v="GDP, PPP"/>
    <n v="60.1"/>
    <n v="119"/>
    <s v="119. Chad"/>
  </r>
  <r>
    <x v="55"/>
    <s v="GDP, PPP"/>
    <n v="58.9"/>
    <n v="120"/>
    <s v="120. Mozambique"/>
  </r>
  <r>
    <x v="52"/>
    <s v="GDP, PPP"/>
    <n v="57.9"/>
    <n v="121"/>
    <s v="121. Kyrgyz Republic"/>
  </r>
  <r>
    <x v="166"/>
    <s v="GDP, PPP"/>
    <n v="57.6"/>
    <n v="122"/>
    <s v="122. Cyprus"/>
  </r>
  <r>
    <x v="129"/>
    <s v="GDP, PPP"/>
    <n v="57.3"/>
    <n v="123"/>
    <s v="123. Tajikistan"/>
  </r>
  <r>
    <x v="182"/>
    <s v="GDP, PPP"/>
    <n v="54.6"/>
    <n v="124"/>
    <s v="124. Gabon"/>
  </r>
  <r>
    <x v="107"/>
    <s v="GDP, PPP"/>
    <n v="54.5"/>
    <n v="125"/>
    <s v="125. Niger"/>
  </r>
  <r>
    <x v="8"/>
    <s v="GDP, PPP"/>
    <n v="52.9"/>
    <n v="126"/>
    <s v="126. Rwanda"/>
  </r>
  <r>
    <x v="75"/>
    <s v="GDP, PPP"/>
    <n v="51.8"/>
    <n v="127"/>
    <s v="127. Botswana"/>
  </r>
  <r>
    <x v="199"/>
    <s v="GDP, PPP"/>
    <n v="51.7"/>
    <n v="128"/>
    <s v="128. Papua New Guinea"/>
  </r>
  <r>
    <x v="173"/>
    <s v="GDP, PPP"/>
    <n v="49.3"/>
    <n v="129"/>
    <s v="129. Trinidad and Tobago"/>
  </r>
  <r>
    <x v="60"/>
    <s v="GDP, PPP"/>
    <n v="47.6"/>
    <n v="130"/>
    <s v="130. North Macedonia"/>
  </r>
  <r>
    <x v="10"/>
    <s v="GDP, PPP"/>
    <n v="44.7"/>
    <n v="131"/>
    <s v="131. Moldova"/>
  </r>
  <r>
    <x v="121"/>
    <s v="GDP, PPP"/>
    <n v="44.5"/>
    <n v="132"/>
    <s v="132. Congo, Rep."/>
  </r>
  <r>
    <x v="201"/>
    <s v="GDP, PPP"/>
    <n v="41.6"/>
    <n v="133"/>
    <s v="133. Brunei Darussalam"/>
  </r>
  <r>
    <x v="31"/>
    <s v="GDP, PPP"/>
    <n v="40.299999999999997"/>
    <n v="134"/>
    <s v="134. Malawi"/>
  </r>
  <r>
    <x v="85"/>
    <s v="GDP, PPP"/>
    <n v="39.1"/>
    <n v="135"/>
    <s v="135. Mauritius"/>
  </r>
  <r>
    <x v="133"/>
    <s v="GDP, PPP"/>
    <n v="38.700000000000003"/>
    <n v="136"/>
    <s v="136. Malta"/>
  </r>
  <r>
    <x v="100"/>
    <s v="GDP, PPP"/>
    <n v="37.6"/>
    <n v="137"/>
    <s v="137. Mauritania"/>
  </r>
  <r>
    <x v="29"/>
    <s v="GDP, PPP"/>
    <n v="37.5"/>
    <n v="138"/>
    <s v="138. Haiti"/>
  </r>
  <r>
    <x v="69"/>
    <s v="GDP, PPP"/>
    <n v="35.4"/>
    <n v="139"/>
    <s v="139. Namibia"/>
  </r>
  <r>
    <x v="196"/>
    <s v="GDP, PPP"/>
    <n v="33.200000000000003"/>
    <n v="140"/>
    <s v="140. Equatorial Guinea"/>
  </r>
  <r>
    <x v="99"/>
    <s v="GDP, PPP"/>
    <n v="33.1"/>
    <n v="141"/>
    <s v="141. Jamaica"/>
  </r>
  <r>
    <x v="160"/>
    <s v="GDP, PPP"/>
    <n v="31.7"/>
    <n v="142"/>
    <s v="142. Iceland"/>
  </r>
  <r>
    <x v="21"/>
    <s v="GDP, PPP"/>
    <n v="30.8"/>
    <n v="143"/>
    <s v="143. Togo"/>
  </r>
  <r>
    <x v="50"/>
    <s v="GDP, PPP"/>
    <n v="30.4"/>
    <n v="144"/>
    <s v="144. Sierra Leone"/>
  </r>
  <r>
    <x v="239"/>
    <s v="GDP, PPP"/>
    <n v="30.4"/>
    <n v="145"/>
    <s v="145. Somalia"/>
  </r>
  <r>
    <x v="209"/>
    <s v="GDP, PPP"/>
    <n v="28.4"/>
    <n v="146"/>
    <s v="146. Kosovo"/>
  </r>
  <r>
    <x v="30"/>
    <s v="GDP, PPP"/>
    <n v="23.1"/>
    <n v="147"/>
    <s v="147. West Bank and Gaza"/>
  </r>
  <r>
    <x v="152"/>
    <s v="GDP, PPP"/>
    <n v="20.8"/>
    <n v="148"/>
    <s v="148. Montenegro"/>
  </r>
  <r>
    <x v="202"/>
    <s v="GDP, PPP"/>
    <n v="16.5"/>
    <n v="149"/>
    <s v="149. Bahamas, The"/>
  </r>
  <r>
    <x v="158"/>
    <s v="GDP, PPP"/>
    <n v="14.9"/>
    <n v="150"/>
    <s v="150. Fiji"/>
  </r>
  <r>
    <x v="23"/>
    <s v="GDP, PPP"/>
    <n v="14.6"/>
    <n v="151"/>
    <s v="151. Eswatini"/>
  </r>
  <r>
    <x v="150"/>
    <s v="GDP, PPP"/>
    <n v="14"/>
    <n v="152"/>
    <s v="152. Maldives"/>
  </r>
  <r>
    <x v="207"/>
    <s v="GDP, PPP"/>
    <n v="14"/>
    <n v="153"/>
    <s v="153. Suriname"/>
  </r>
  <r>
    <x v="2"/>
    <s v="GDP, PPP"/>
    <n v="13.3"/>
    <n v="154"/>
    <s v="154. Burundi"/>
  </r>
  <r>
    <x v="147"/>
    <s v="GDP, PPP"/>
    <n v="10.6"/>
    <n v="155"/>
    <s v="155. Liberia"/>
  </r>
  <r>
    <x v="33"/>
    <s v="GDP, PPP"/>
    <n v="9.5"/>
    <n v="156"/>
    <s v="156. Gambia, The"/>
  </r>
  <r>
    <x v="12"/>
    <s v="GDP, PPP"/>
    <n v="9.1"/>
    <n v="157"/>
    <s v="157. Djibouti"/>
  </r>
  <r>
    <x v="190"/>
    <s v="GDP, PPP"/>
    <n v="7.7"/>
    <n v="158"/>
    <s v="158. Bermuda"/>
  </r>
  <r>
    <x v="7"/>
    <s v="GDP, PPP"/>
    <n v="7"/>
    <n v="159"/>
    <s v="159. Lesotho"/>
  </r>
  <r>
    <x v="179"/>
    <s v="GDP, PPP"/>
    <n v="6.7"/>
    <n v="160"/>
    <s v="160. Central African Republic"/>
  </r>
  <r>
    <x v="123"/>
    <s v="GDP, PPP"/>
    <n v="6.7"/>
    <n v="161"/>
    <s v="161. Guinea-Bissau"/>
  </r>
  <r>
    <x v="140"/>
    <s v="GDP, PPP"/>
    <n v="6.7"/>
    <n v="162"/>
    <s v="162. Timor-Leste"/>
  </r>
  <r>
    <x v="137"/>
    <s v="GDP, PPP"/>
    <n v="6.4"/>
    <n v="163"/>
    <s v="163. Barbados"/>
  </r>
  <r>
    <x v="184"/>
    <s v="GDP, PPP"/>
    <n v="6.3"/>
    <n v="164"/>
    <s v="164. Belize"/>
  </r>
  <r>
    <x v="95"/>
    <s v="GDP, PPP"/>
    <n v="6.1"/>
    <n v="165"/>
    <s v="165. Andorra"/>
  </r>
  <r>
    <x v="151"/>
    <s v="GDP, PPP"/>
    <n v="5.9"/>
    <n v="166"/>
    <s v="166. Cabo Verde"/>
  </r>
  <r>
    <x v="159"/>
    <s v="GDP, PPP"/>
    <n v="5"/>
    <n v="167"/>
    <s v="167. St. Lucia"/>
  </r>
  <r>
    <x v="198"/>
    <s v="GDP, PPP"/>
    <n v="4"/>
    <n v="168"/>
    <s v="168. Seychelles"/>
  </r>
  <r>
    <x v="16"/>
    <s v="GDP, PPP"/>
    <n v="3.5"/>
    <n v="169"/>
    <s v="169. Comoros"/>
  </r>
  <r>
    <x v="146"/>
    <s v="GDP, PPP"/>
    <n v="3.2"/>
    <n v="170"/>
    <s v="170. Antigua and Barbuda"/>
  </r>
  <r>
    <x v="136"/>
    <s v="GDP, PPP"/>
    <n v="2.4"/>
    <n v="171"/>
    <s v="171. Grenada"/>
  </r>
  <r>
    <x v="194"/>
    <s v="GDP, PPP"/>
    <n v="2.4"/>
    <n v="172"/>
    <s v="172. Solomon Islands"/>
  </r>
  <r>
    <x v="235"/>
    <s v="GDP, PPP"/>
    <n v="2.2999999999999998"/>
    <n v="173"/>
    <s v="173. Sint Maarten (Dutch part)"/>
  </r>
  <r>
    <x v="155"/>
    <s v="GDP, PPP"/>
    <n v="2.1"/>
    <n v="174"/>
    <s v="174. St. Vincent and the Grenadines"/>
  </r>
  <r>
    <x v="204"/>
    <s v="GDP, PPP"/>
    <n v="1.8"/>
    <n v="175"/>
    <s v="175. Turks and Caicos Islands"/>
  </r>
  <r>
    <x v="156"/>
    <s v="GDP, PPP"/>
    <n v="1.7"/>
    <n v="176"/>
    <s v="176. Samoa"/>
  </r>
  <r>
    <x v="139"/>
    <s v="GDP, PPP"/>
    <n v="1.7"/>
    <n v="177"/>
    <s v="177. St. Kitts and Nevis"/>
  </r>
  <r>
    <x v="77"/>
    <s v="GDP, PPP"/>
    <n v="1.5"/>
    <n v="178"/>
    <s v="178. Sao Tome and Principe"/>
  </r>
  <r>
    <x v="114"/>
    <s v="GDP, PPP"/>
    <n v="1.4"/>
    <n v="179"/>
    <s v="179. Dominica"/>
  </r>
  <r>
    <x v="163"/>
    <s v="GDP, PPP"/>
    <n v="1.2"/>
    <n v="180"/>
    <s v="180. Vanuatu"/>
  </r>
  <r>
    <x v="89"/>
    <s v="GDP, PPP"/>
    <n v="0.5"/>
    <n v="181"/>
    <s v="181. Kiribati"/>
  </r>
  <r>
    <x v="187"/>
    <s v="GDP, PPP"/>
    <n v="0.5"/>
    <n v="182"/>
    <s v="182. Micronesia, Fed. Sts."/>
  </r>
  <r>
    <x v="98"/>
    <s v="GDP, PPP"/>
    <n v="0.3"/>
    <n v="183"/>
    <s v="183. Marshall Islands"/>
  </r>
  <r>
    <x v="148"/>
    <s v="GDP, PPP"/>
    <n v="0.2"/>
    <n v="184"/>
    <s v="184. Nauru"/>
  </r>
  <r>
    <x v="46"/>
    <s v="High-technology exports"/>
    <n v="825"/>
    <n v="1"/>
    <s v="1. China"/>
  </r>
  <r>
    <x v="195"/>
    <s v="High-technology exports"/>
    <n v="369.2"/>
    <n v="2"/>
    <s v="2. Hong Kong SAR, China"/>
  </r>
  <r>
    <x v="67"/>
    <s v="High-technology exports"/>
    <n v="255.7"/>
    <n v="3"/>
    <s v="3. Germany"/>
  </r>
  <r>
    <x v="72"/>
    <s v="High-technology exports"/>
    <n v="208.5"/>
    <n v="4"/>
    <s v="4. United States"/>
  </r>
  <r>
    <x v="205"/>
    <s v="High-technology exports"/>
    <n v="197.4"/>
    <n v="5"/>
    <s v="5. Singapore"/>
  </r>
  <r>
    <x v="161"/>
    <s v="High-technology exports"/>
    <n v="163"/>
    <n v="6"/>
    <s v="6. Korea, Rep."/>
  </r>
  <r>
    <x v="131"/>
    <s v="High-technology exports"/>
    <n v="127"/>
    <n v="7"/>
    <s v="7. Malaysia"/>
  </r>
  <r>
    <x v="56"/>
    <s v="High-technology exports"/>
    <n v="115.3"/>
    <n v="8"/>
    <s v="8. France"/>
  </r>
  <r>
    <x v="53"/>
    <s v="High-technology exports"/>
    <n v="111"/>
    <n v="9"/>
    <s v="9. Netherlands"/>
  </r>
  <r>
    <x v="169"/>
    <s v="High-technology exports"/>
    <n v="102.6"/>
    <n v="10"/>
    <s v="10. Japan"/>
  </r>
  <r>
    <x v="36"/>
    <s v="High-technology exports"/>
    <n v="91.4"/>
    <n v="11"/>
    <s v="11. Ireland"/>
  </r>
  <r>
    <x v="104"/>
    <s v="High-technology exports"/>
    <n v="84.4"/>
    <n v="12"/>
    <s v="12. Switzerland"/>
  </r>
  <r>
    <x v="20"/>
    <s v="High-technology exports"/>
    <n v="82.4"/>
    <n v="13"/>
    <s v="13. United Kingdom"/>
  </r>
  <r>
    <x v="58"/>
    <s v="High-technology exports"/>
    <n v="81.5"/>
    <n v="14"/>
    <s v="14. Mexico"/>
  </r>
  <r>
    <x v="82"/>
    <s v="High-technology exports"/>
    <n v="54.1"/>
    <n v="15"/>
    <s v="15. Thailand"/>
  </r>
  <r>
    <x v="81"/>
    <s v="High-technology exports"/>
    <n v="52.2"/>
    <n v="16"/>
    <s v="16. Italy"/>
  </r>
  <r>
    <x v="79"/>
    <s v="High-technology exports"/>
    <n v="50.6"/>
    <n v="17"/>
    <s v="17. Belgium"/>
  </r>
  <r>
    <x v="74"/>
    <s v="High-technology exports"/>
    <n v="46.3"/>
    <n v="18"/>
    <s v="18. Czechia"/>
  </r>
  <r>
    <x v="38"/>
    <s v="High-technology exports"/>
    <n v="40.9"/>
    <n v="19"/>
    <s v="19. India"/>
  </r>
  <r>
    <x v="86"/>
    <s v="High-technology exports"/>
    <n v="37.1"/>
    <n v="20"/>
    <s v="20. Philippines"/>
  </r>
  <r>
    <x v="188"/>
    <s v="High-technology exports"/>
    <n v="35.200000000000003"/>
    <n v="21"/>
    <s v="21. Canada"/>
  </r>
  <r>
    <x v="66"/>
    <s v="High-technology exports"/>
    <n v="29.6"/>
    <n v="22"/>
    <s v="22. Poland"/>
  </r>
  <r>
    <x v="120"/>
    <s v="High-technology exports"/>
    <n v="27.3"/>
    <n v="23"/>
    <s v="23. Austria"/>
  </r>
  <r>
    <x v="61"/>
    <s v="High-technology exports"/>
    <n v="25.8"/>
    <n v="24"/>
    <s v="24. Spain"/>
  </r>
  <r>
    <x v="186"/>
    <s v="High-technology exports"/>
    <n v="25.2"/>
    <n v="25"/>
    <s v="25. Sweden"/>
  </r>
  <r>
    <x v="45"/>
    <s v="High-technology exports"/>
    <n v="24.4"/>
    <n v="26"/>
    <s v="26. Hungary"/>
  </r>
  <r>
    <x v="134"/>
    <s v="High-technology exports"/>
    <n v="18.2"/>
    <n v="27"/>
    <s v="27. Israel"/>
  </r>
  <r>
    <x v="28"/>
    <s v="High-technology exports"/>
    <n v="16.100000000000001"/>
    <n v="28"/>
    <s v="28. Denmark"/>
  </r>
  <r>
    <x v="126"/>
    <s v="High-technology exports"/>
    <n v="10.5"/>
    <n v="29"/>
    <s v="29. Indonesia"/>
  </r>
  <r>
    <x v="103"/>
    <s v="High-technology exports"/>
    <n v="10.1"/>
    <n v="30"/>
    <s v="30. Slovak Republic"/>
  </r>
  <r>
    <x v="49"/>
    <s v="High-technology exports"/>
    <n v="9.6999999999999993"/>
    <n v="31"/>
    <s v="31. Romania"/>
  </r>
  <r>
    <x v="59"/>
    <s v="High-technology exports"/>
    <n v="8.5"/>
    <n v="32"/>
    <s v="32. Turkiye"/>
  </r>
  <r>
    <x v="128"/>
    <s v="High-technology exports"/>
    <n v="8.1"/>
    <n v="33"/>
    <s v="33. Brazil"/>
  </r>
  <r>
    <x v="68"/>
    <s v="High-technology exports"/>
    <n v="7.8"/>
    <n v="34"/>
    <s v="34. Australia"/>
  </r>
  <r>
    <x v="200"/>
    <s v="High-technology exports"/>
    <n v="6"/>
    <n v="35"/>
    <s v="35. Norway"/>
  </r>
  <r>
    <x v="185"/>
    <s v="High-technology exports"/>
    <n v="5.3"/>
    <n v="36"/>
    <s v="36. Finland"/>
  </r>
  <r>
    <x v="5"/>
    <s v="High-technology exports"/>
    <n v="5.0999999999999996"/>
    <n v="37"/>
    <s v="37. Kazakhstan"/>
  </r>
  <r>
    <x v="83"/>
    <s v="High-technology exports"/>
    <n v="4.2"/>
    <n v="38"/>
    <s v="38. Portugal"/>
  </r>
  <r>
    <x v="122"/>
    <s v="High-technology exports"/>
    <n v="4.2"/>
    <n v="39"/>
    <s v="39. Slovenia"/>
  </r>
  <r>
    <x v="73"/>
    <s v="High-technology exports"/>
    <n v="3.7"/>
    <n v="40"/>
    <s v="40. Lithuania"/>
  </r>
  <r>
    <x v="191"/>
    <s v="High-technology exports"/>
    <n v="3.4"/>
    <n v="41"/>
    <s v="41. United Arab Emirates"/>
  </r>
  <r>
    <x v="71"/>
    <s v="High-technology exports"/>
    <n v="3.2"/>
    <n v="42"/>
    <s v="42. Bulgaria"/>
  </r>
  <r>
    <x v="92"/>
    <s v="High-technology exports"/>
    <n v="3"/>
    <n v="43"/>
    <s v="43. Greece"/>
  </r>
  <r>
    <x v="115"/>
    <s v="High-technology exports"/>
    <n v="2.8"/>
    <n v="44"/>
    <s v="44. Costa Rica"/>
  </r>
  <r>
    <x v="111"/>
    <s v="High-technology exports"/>
    <n v="2.2999999999999998"/>
    <n v="45"/>
    <s v="45. Cambodia"/>
  </r>
  <r>
    <x v="6"/>
    <s v="High-technology exports"/>
    <n v="2.2000000000000002"/>
    <n v="46"/>
    <s v="46. South Africa"/>
  </r>
  <r>
    <x v="138"/>
    <s v="High-technology exports"/>
    <n v="2.1"/>
    <n v="47"/>
    <s v="47. Estonia"/>
  </r>
  <r>
    <x v="119"/>
    <s v="High-technology exports"/>
    <n v="2.1"/>
    <n v="48"/>
    <s v="48. Latvia"/>
  </r>
  <r>
    <x v="165"/>
    <s v="High-technology exports"/>
    <n v="1.8"/>
    <n v="49"/>
    <s v="49. Chile"/>
  </r>
  <r>
    <x v="130"/>
    <s v="High-technology exports"/>
    <n v="1.7"/>
    <n v="50"/>
    <s v="50. Croatia"/>
  </r>
  <r>
    <x v="26"/>
    <s v="High-technology exports"/>
    <n v="1.7"/>
    <n v="51"/>
    <s v="51. Morocco"/>
  </r>
  <r>
    <x v="93"/>
    <s v="High-technology exports"/>
    <n v="1.4"/>
    <n v="52"/>
    <s v="52. Serbia"/>
  </r>
  <r>
    <x v="133"/>
    <s v="High-technology exports"/>
    <n v="1.2"/>
    <n v="53"/>
    <s v="53. Malta"/>
  </r>
  <r>
    <x v="34"/>
    <s v="High-technology exports"/>
    <n v="1.2"/>
    <n v="54"/>
    <s v="54. Tunisia"/>
  </r>
  <r>
    <x v="108"/>
    <s v="High-technology exports"/>
    <n v="0.9"/>
    <n v="55"/>
    <s v="55. Colombia"/>
  </r>
  <r>
    <x v="40"/>
    <s v="High-technology exports"/>
    <n v="0.8"/>
    <n v="56"/>
    <s v="56. Armenia"/>
  </r>
  <r>
    <x v="57"/>
    <s v="High-technology exports"/>
    <n v="0.8"/>
    <n v="57"/>
    <s v="57. Luxembourg"/>
  </r>
  <r>
    <x v="106"/>
    <s v="High-technology exports"/>
    <n v="0.8"/>
    <n v="58"/>
    <s v="58. New Zealand"/>
  </r>
  <r>
    <x v="87"/>
    <s v="High-technology exports"/>
    <n v="0.7"/>
    <n v="59"/>
    <s v="59. Argentina"/>
  </r>
  <r>
    <x v="193"/>
    <s v="High-technology exports"/>
    <n v="0.7"/>
    <n v="60"/>
    <s v="60. Egypt, Arab Rep."/>
  </r>
  <r>
    <x v="17"/>
    <s v="High-technology exports"/>
    <n v="0.7"/>
    <n v="61"/>
    <s v="61. Ukraine"/>
  </r>
  <r>
    <x v="47"/>
    <s v="High-technology exports"/>
    <n v="0.5"/>
    <n v="62"/>
    <s v="62. Dominican Republic"/>
  </r>
  <r>
    <x v="160"/>
    <s v="High-technology exports"/>
    <n v="0.5"/>
    <n v="63"/>
    <s v="63. Iceland"/>
  </r>
  <r>
    <x v="84"/>
    <s v="High-technology exports"/>
    <n v="0.4"/>
    <n v="64"/>
    <s v="64. Guatemala"/>
  </r>
  <r>
    <x v="60"/>
    <s v="High-technology exports"/>
    <n v="0.4"/>
    <n v="65"/>
    <s v="65. North Macedonia"/>
  </r>
  <r>
    <x v="192"/>
    <s v="High-technology exports"/>
    <n v="0.4"/>
    <n v="66"/>
    <s v="66. Oman"/>
  </r>
  <r>
    <x v="70"/>
    <s v="High-technology exports"/>
    <n v="0.4"/>
    <n v="67"/>
    <s v="67. Pakistan"/>
  </r>
  <r>
    <x v="142"/>
    <s v="High-technology exports"/>
    <n v="0.3"/>
    <n v="68"/>
    <s v="68. Bosnia and Herzegovina"/>
  </r>
  <r>
    <x v="44"/>
    <s v="High-technology exports"/>
    <n v="0.3"/>
    <n v="69"/>
    <s v="69. El Salvador"/>
  </r>
  <r>
    <x v="153"/>
    <s v="High-technology exports"/>
    <n v="0.3"/>
    <n v="70"/>
    <s v="70. Peru"/>
  </r>
  <r>
    <x v="4"/>
    <s v="High-technology exports"/>
    <n v="0.3"/>
    <n v="71"/>
    <s v="71. Saudi Arabia"/>
  </r>
  <r>
    <x v="170"/>
    <s v="High-technology exports"/>
    <n v="0.2"/>
    <n v="72"/>
    <s v="72. Jordan"/>
  </r>
  <r>
    <x v="52"/>
    <s v="High-technology exports"/>
    <n v="0.2"/>
    <n v="73"/>
    <s v="73. Kyrgyz Republic"/>
  </r>
  <r>
    <x v="149"/>
    <s v="High-technology exports"/>
    <n v="0.2"/>
    <n v="74"/>
    <s v="74. Myanmar"/>
  </r>
  <r>
    <x v="51"/>
    <s v="High-technology exports"/>
    <n v="0.2"/>
    <n v="75"/>
    <s v="75. Paraguay"/>
  </r>
  <r>
    <x v="189"/>
    <s v="High-technology exports"/>
    <n v="0.2"/>
    <n v="76"/>
    <s v="76. Qatar"/>
  </r>
  <r>
    <x v="3"/>
    <s v="High-technology exports"/>
    <n v="0.2"/>
    <n v="77"/>
    <s v="77. Uruguay"/>
  </r>
  <r>
    <x v="42"/>
    <s v="High-technology exports"/>
    <n v="0.2"/>
    <n v="78"/>
    <s v="78. Uzbekistan"/>
  </r>
  <r>
    <x v="95"/>
    <s v="High-technology exports"/>
    <n v="0.1"/>
    <n v="79"/>
    <s v="79. Andorra"/>
  </r>
  <r>
    <x v="105"/>
    <s v="High-technology exports"/>
    <n v="0.1"/>
    <n v="80"/>
    <s v="80. Angola"/>
  </r>
  <r>
    <x v="43"/>
    <s v="High-technology exports"/>
    <n v="0.1"/>
    <n v="81"/>
    <s v="81. Azerbaijan"/>
  </r>
  <r>
    <x v="0"/>
    <s v="High-technology exports"/>
    <n v="0.1"/>
    <n v="82"/>
    <s v="82. Cote d'Ivoire"/>
  </r>
  <r>
    <x v="166"/>
    <s v="High-technology exports"/>
    <n v="0.1"/>
    <n v="83"/>
    <s v="83. Cyprus"/>
  </r>
  <r>
    <x v="12"/>
    <s v="High-technology exports"/>
    <n v="0.1"/>
    <n v="84"/>
    <s v="84. Djibouti"/>
  </r>
  <r>
    <x v="144"/>
    <s v="High-technology exports"/>
    <n v="0.1"/>
    <n v="85"/>
    <s v="85. Ecuador"/>
  </r>
  <r>
    <x v="118"/>
    <s v="High-technology exports"/>
    <n v="0.1"/>
    <n v="86"/>
    <s v="86. Honduras"/>
  </r>
  <r>
    <x v="62"/>
    <s v="High-technology exports"/>
    <n v="0.1"/>
    <n v="87"/>
    <s v="87. Kenya"/>
  </r>
  <r>
    <x v="183"/>
    <s v="High-technology exports"/>
    <n v="0.1"/>
    <n v="88"/>
    <s v="88. Kuwait"/>
  </r>
  <r>
    <x v="27"/>
    <s v="High-technology exports"/>
    <n v="0.1"/>
    <n v="89"/>
    <s v="89. Lebanon"/>
  </r>
  <r>
    <x v="9"/>
    <s v="High-technology exports"/>
    <n v="0.1"/>
    <n v="90"/>
    <s v="90. Nigeria"/>
  </r>
  <r>
    <x v="64"/>
    <s v="High-technology exports"/>
    <n v="0.1"/>
    <n v="91"/>
    <s v="91. Sri Lanka"/>
  </r>
  <r>
    <x v="173"/>
    <s v="High-technology exports"/>
    <n v="0.1"/>
    <n v="92"/>
    <s v="92. Trinidad and Tobago"/>
  </r>
  <r>
    <x v="102"/>
    <s v="High-technology exports"/>
    <n v="0"/>
    <n v="93"/>
    <s v="93. Albania"/>
  </r>
  <r>
    <x v="172"/>
    <s v="High-technology exports"/>
    <n v="0"/>
    <n v="94"/>
    <s v="94. Aruba"/>
  </r>
  <r>
    <x v="202"/>
    <s v="High-technology exports"/>
    <n v="0"/>
    <n v="95"/>
    <s v="95. Bahamas, The"/>
  </r>
  <r>
    <x v="174"/>
    <s v="High-technology exports"/>
    <n v="0"/>
    <n v="96"/>
    <s v="96. Bahrain"/>
  </r>
  <r>
    <x v="137"/>
    <s v="High-technology exports"/>
    <n v="0"/>
    <n v="97"/>
    <s v="97. Barbados"/>
  </r>
  <r>
    <x v="90"/>
    <s v="High-technology exports"/>
    <n v="0"/>
    <n v="98"/>
    <s v="98. Benin"/>
  </r>
  <r>
    <x v="190"/>
    <s v="High-technology exports"/>
    <n v="0"/>
    <n v="99"/>
    <s v="99. Bermuda"/>
  </r>
  <r>
    <x v="109"/>
    <s v="High-technology exports"/>
    <n v="0"/>
    <n v="100"/>
    <s v="100. Bolivia"/>
  </r>
  <r>
    <x v="75"/>
    <s v="High-technology exports"/>
    <n v="0"/>
    <n v="101"/>
    <s v="101. Botswana"/>
  </r>
  <r>
    <x v="201"/>
    <s v="High-technology exports"/>
    <n v="0"/>
    <n v="102"/>
    <s v="102. Brunei Darussalam"/>
  </r>
  <r>
    <x v="54"/>
    <s v="High-technology exports"/>
    <n v="0"/>
    <n v="103"/>
    <s v="103. Burkina Faso"/>
  </r>
  <r>
    <x v="151"/>
    <s v="High-technology exports"/>
    <n v="0"/>
    <n v="104"/>
    <s v="104. Cabo Verde"/>
  </r>
  <r>
    <x v="171"/>
    <s v="High-technology exports"/>
    <n v="0"/>
    <n v="105"/>
    <s v="105. Cayman Islands"/>
  </r>
  <r>
    <x v="179"/>
    <s v="High-technology exports"/>
    <n v="0"/>
    <n v="106"/>
    <s v="106. Central African Republic"/>
  </r>
  <r>
    <x v="162"/>
    <s v="High-technology exports"/>
    <n v="0"/>
    <n v="107"/>
    <s v="107. Congo, Dem. Rep."/>
  </r>
  <r>
    <x v="114"/>
    <s v="High-technology exports"/>
    <n v="0"/>
    <n v="108"/>
    <s v="108. Dominica"/>
  </r>
  <r>
    <x v="23"/>
    <s v="High-technology exports"/>
    <n v="0"/>
    <n v="109"/>
    <s v="109. Eswatini"/>
  </r>
  <r>
    <x v="112"/>
    <s v="High-technology exports"/>
    <n v="0"/>
    <n v="110"/>
    <s v="110. Ethiopia"/>
  </r>
  <r>
    <x v="158"/>
    <s v="High-technology exports"/>
    <n v="0"/>
    <n v="111"/>
    <s v="111. Fiji"/>
  </r>
  <r>
    <x v="180"/>
    <s v="High-technology exports"/>
    <n v="0"/>
    <n v="112"/>
    <s v="112. French Polynesia"/>
  </r>
  <r>
    <x v="182"/>
    <s v="High-technology exports"/>
    <n v="0"/>
    <n v="113"/>
    <s v="113. Gabon"/>
  </r>
  <r>
    <x v="33"/>
    <s v="High-technology exports"/>
    <n v="0"/>
    <n v="114"/>
    <s v="114. Gambia, The"/>
  </r>
  <r>
    <x v="113"/>
    <s v="High-technology exports"/>
    <n v="0"/>
    <n v="115"/>
    <s v="115. Georgia"/>
  </r>
  <r>
    <x v="48"/>
    <s v="High-technology exports"/>
    <n v="0"/>
    <n v="116"/>
    <s v="116. Ghana"/>
  </r>
  <r>
    <x v="136"/>
    <s v="High-technology exports"/>
    <n v="0"/>
    <n v="117"/>
    <s v="117. Grenada"/>
  </r>
  <r>
    <x v="197"/>
    <s v="High-technology exports"/>
    <n v="0"/>
    <n v="118"/>
    <s v="118. Guyana"/>
  </r>
  <r>
    <x v="99"/>
    <s v="High-technology exports"/>
    <n v="0"/>
    <n v="119"/>
    <s v="119. Jamaica"/>
  </r>
  <r>
    <x v="7"/>
    <s v="High-technology exports"/>
    <n v="0"/>
    <n v="120"/>
    <s v="120. Lesotho"/>
  </r>
  <r>
    <x v="147"/>
    <s v="High-technology exports"/>
    <n v="0"/>
    <n v="121"/>
    <s v="121. Liberia"/>
  </r>
  <r>
    <x v="18"/>
    <s v="High-technology exports"/>
    <n v="0"/>
    <n v="122"/>
    <s v="122. Madagascar"/>
  </r>
  <r>
    <x v="31"/>
    <s v="High-technology exports"/>
    <n v="0"/>
    <n v="123"/>
    <s v="123. Malawi"/>
  </r>
  <r>
    <x v="150"/>
    <s v="High-technology exports"/>
    <n v="0"/>
    <n v="124"/>
    <s v="124. Maldives"/>
  </r>
  <r>
    <x v="100"/>
    <s v="High-technology exports"/>
    <n v="0"/>
    <n v="125"/>
    <s v="125. Mauritania"/>
  </r>
  <r>
    <x v="85"/>
    <s v="High-technology exports"/>
    <n v="0"/>
    <n v="126"/>
    <s v="126. Mauritius"/>
  </r>
  <r>
    <x v="10"/>
    <s v="High-technology exports"/>
    <n v="0"/>
    <n v="127"/>
    <s v="127. Moldova"/>
  </r>
  <r>
    <x v="152"/>
    <s v="High-technology exports"/>
    <n v="0"/>
    <n v="128"/>
    <s v="128. Montenegro"/>
  </r>
  <r>
    <x v="55"/>
    <s v="High-technology exports"/>
    <n v="0"/>
    <n v="129"/>
    <s v="129. Mozambique"/>
  </r>
  <r>
    <x v="69"/>
    <s v="High-technology exports"/>
    <n v="0"/>
    <n v="130"/>
    <s v="130. Namibia"/>
  </r>
  <r>
    <x v="88"/>
    <s v="High-technology exports"/>
    <n v="0"/>
    <n v="131"/>
    <s v="131. Nicaragua"/>
  </r>
  <r>
    <x v="107"/>
    <s v="High-technology exports"/>
    <n v="0"/>
    <n v="132"/>
    <s v="132. Niger"/>
  </r>
  <r>
    <x v="125"/>
    <s v="High-technology exports"/>
    <n v="0"/>
    <n v="133"/>
    <s v="133. Panama"/>
  </r>
  <r>
    <x v="156"/>
    <s v="High-technology exports"/>
    <n v="0"/>
    <n v="134"/>
    <s v="134. Samoa"/>
  </r>
  <r>
    <x v="77"/>
    <s v="High-technology exports"/>
    <n v="0"/>
    <n v="135"/>
    <s v="135. Sao Tome and Principe"/>
  </r>
  <r>
    <x v="63"/>
    <s v="High-technology exports"/>
    <n v="0"/>
    <n v="136"/>
    <s v="136. Senegal"/>
  </r>
  <r>
    <x v="198"/>
    <s v="High-technology exports"/>
    <n v="0"/>
    <n v="137"/>
    <s v="137. Seychelles"/>
  </r>
  <r>
    <x v="155"/>
    <s v="High-technology exports"/>
    <n v="0"/>
    <n v="138"/>
    <s v="138. St. Vincent and the Grenadines"/>
  </r>
  <r>
    <x v="207"/>
    <s v="High-technology exports"/>
    <n v="0"/>
    <n v="139"/>
    <s v="139. Suriname"/>
  </r>
  <r>
    <x v="78"/>
    <s v="High-technology exports"/>
    <n v="0"/>
    <n v="140"/>
    <s v="140. Tanzania"/>
  </r>
  <r>
    <x v="21"/>
    <s v="High-technology exports"/>
    <n v="0"/>
    <n v="141"/>
    <s v="141. Togo"/>
  </r>
  <r>
    <x v="15"/>
    <s v="High-technology exports"/>
    <n v="0"/>
    <n v="142"/>
    <s v="142. Uganda"/>
  </r>
  <r>
    <x v="30"/>
    <s v="High-technology exports"/>
    <n v="0"/>
    <n v="143"/>
    <s v="143. West Bank and Gaza"/>
  </r>
  <r>
    <x v="117"/>
    <s v="High-technology exports"/>
    <n v="0"/>
    <n v="144"/>
    <s v="144. Zambia"/>
  </r>
  <r>
    <x v="91"/>
    <s v="High-technology exports"/>
    <n v="0"/>
    <n v="145"/>
    <s v="145. Zimbabwe"/>
  </r>
  <r>
    <x v="87"/>
    <s v="Inflation"/>
    <n v="219.9"/>
    <n v="1"/>
    <s v="1. Argentina"/>
  </r>
  <r>
    <x v="76"/>
    <s v="Inflation"/>
    <n v="91.4"/>
    <n v="2"/>
    <s v="2. South Sudan"/>
  </r>
  <r>
    <x v="59"/>
    <s v="Inflation"/>
    <n v="58.5"/>
    <n v="3"/>
    <s v="3. Turkiye"/>
  </r>
  <r>
    <x v="30"/>
    <s v="Inflation"/>
    <n v="53.7"/>
    <n v="4"/>
    <s v="4. West Bank and Gaza"/>
  </r>
  <r>
    <x v="27"/>
    <s v="Inflation"/>
    <n v="45.2"/>
    <n v="5"/>
    <s v="5. Lebanon"/>
  </r>
  <r>
    <x v="9"/>
    <s v="Inflation"/>
    <n v="33.200000000000003"/>
    <n v="6"/>
    <s v="6. Nigeria"/>
  </r>
  <r>
    <x v="127"/>
    <s v="Inflation"/>
    <n v="32.5"/>
    <n v="7"/>
    <s v="7. Iran, Islamic Rep."/>
  </r>
  <r>
    <x v="31"/>
    <s v="Inflation"/>
    <n v="32.200000000000003"/>
    <n v="8"/>
    <s v="8. Malawi"/>
  </r>
  <r>
    <x v="50"/>
    <s v="Inflation"/>
    <n v="28.6"/>
    <n v="9"/>
    <s v="9. Sierra Leone"/>
  </r>
  <r>
    <x v="193"/>
    <s v="Inflation"/>
    <n v="28.3"/>
    <n v="10"/>
    <s v="10. Egypt, Arab Rep."/>
  </r>
  <r>
    <x v="105"/>
    <s v="Inflation"/>
    <n v="28.2"/>
    <n v="11"/>
    <s v="11. Angola"/>
  </r>
  <r>
    <x v="29"/>
    <s v="Inflation"/>
    <n v="26.9"/>
    <n v="12"/>
    <s v="12. Haiti"/>
  </r>
  <r>
    <x v="176"/>
    <s v="Inflation"/>
    <n v="23.1"/>
    <n v="13"/>
    <s v="13. Lao PDR"/>
  </r>
  <r>
    <x v="48"/>
    <s v="Inflation"/>
    <n v="22.8"/>
    <n v="14"/>
    <s v="14. Ghana"/>
  </r>
  <r>
    <x v="112"/>
    <s v="Inflation"/>
    <n v="21"/>
    <n v="15"/>
    <s v="15. Ethiopia"/>
  </r>
  <r>
    <x v="2"/>
    <s v="Inflation"/>
    <n v="20.2"/>
    <n v="16"/>
    <s v="16. Burundi"/>
  </r>
  <r>
    <x v="207"/>
    <s v="Inflation"/>
    <n v="16.2"/>
    <n v="17"/>
    <s v="17. Suriname"/>
  </r>
  <r>
    <x v="117"/>
    <s v="Inflation"/>
    <n v="15"/>
    <n v="18"/>
    <s v="18. Zambia"/>
  </r>
  <r>
    <x v="77"/>
    <s v="Inflation"/>
    <n v="14.4"/>
    <n v="19"/>
    <s v="19. Sao Tome and Principe"/>
  </r>
  <r>
    <x v="70"/>
    <s v="Inflation"/>
    <n v="12.6"/>
    <n v="20"/>
    <s v="20. Pakistan"/>
  </r>
  <r>
    <x v="33"/>
    <s v="Inflation"/>
    <n v="11.6"/>
    <n v="21"/>
    <s v="21. Gambia, The"/>
  </r>
  <r>
    <x v="14"/>
    <s v="Inflation"/>
    <n v="10.5"/>
    <n v="22"/>
    <s v="22. Bangladesh"/>
  </r>
  <r>
    <x v="42"/>
    <s v="Inflation"/>
    <n v="9.6"/>
    <n v="23"/>
    <s v="23. Uzbekistan"/>
  </r>
  <r>
    <x v="107"/>
    <s v="Inflation"/>
    <n v="9.1"/>
    <n v="24"/>
    <s v="24. Niger"/>
  </r>
  <r>
    <x v="94"/>
    <s v="Inflation"/>
    <n v="8.9"/>
    <n v="25"/>
    <s v="25. Chad"/>
  </r>
  <r>
    <x v="5"/>
    <s v="Inflation"/>
    <n v="8.8000000000000007"/>
    <n v="26"/>
    <s v="26. Kazakhstan"/>
  </r>
  <r>
    <x v="147"/>
    <s v="Inflation"/>
    <n v="8.1999999999999993"/>
    <n v="27"/>
    <s v="27. Liberia"/>
  </r>
  <r>
    <x v="13"/>
    <s v="Inflation"/>
    <n v="8.1"/>
    <n v="28"/>
    <s v="28. Guinea"/>
  </r>
  <r>
    <x v="34"/>
    <s v="Inflation"/>
    <n v="7.2"/>
    <n v="29"/>
    <s v="29. Tunisia"/>
  </r>
  <r>
    <x v="108"/>
    <s v="Inflation"/>
    <n v="6.6"/>
    <n v="30"/>
    <s v="30. Colombia"/>
  </r>
  <r>
    <x v="17"/>
    <s v="Inflation"/>
    <n v="6.5"/>
    <n v="31"/>
    <s v="31. Ukraine"/>
  </r>
  <r>
    <x v="146"/>
    <s v="Inflation"/>
    <n v="6.2"/>
    <n v="32"/>
    <s v="32. Antigua and Barbuda"/>
  </r>
  <r>
    <x v="25"/>
    <s v="Inflation"/>
    <n v="6.2"/>
    <n v="33"/>
    <s v="33. Mongolia"/>
  </r>
  <r>
    <x v="7"/>
    <s v="Inflation"/>
    <n v="6.1"/>
    <n v="34"/>
    <s v="34. Lesotho"/>
  </r>
  <r>
    <x v="160"/>
    <s v="Inflation"/>
    <n v="5.9"/>
    <n v="35"/>
    <s v="35. Iceland"/>
  </r>
  <r>
    <x v="96"/>
    <s v="Inflation"/>
    <n v="5.8"/>
    <n v="36"/>
    <s v="36. Belarus"/>
  </r>
  <r>
    <x v="49"/>
    <s v="Inflation"/>
    <n v="5.7"/>
    <n v="37"/>
    <s v="37. Romania"/>
  </r>
  <r>
    <x v="99"/>
    <s v="Inflation"/>
    <n v="5.4"/>
    <n v="38"/>
    <s v="38. Jamaica"/>
  </r>
  <r>
    <x v="109"/>
    <s v="Inflation"/>
    <n v="5.0999999999999996"/>
    <n v="39"/>
    <s v="39. Bolivia"/>
  </r>
  <r>
    <x v="38"/>
    <s v="Inflation"/>
    <n v="5"/>
    <n v="40"/>
    <s v="40. India"/>
  </r>
  <r>
    <x v="3"/>
    <s v="Inflation"/>
    <n v="4.8"/>
    <n v="41"/>
    <s v="41. Uruguay"/>
  </r>
  <r>
    <x v="58"/>
    <s v="Inflation"/>
    <n v="4.7"/>
    <n v="42"/>
    <s v="42. Mexico"/>
  </r>
  <r>
    <x v="10"/>
    <s v="Inflation"/>
    <n v="4.7"/>
    <n v="43"/>
    <s v="43. Moldova"/>
  </r>
  <r>
    <x v="93"/>
    <s v="Inflation"/>
    <n v="4.7"/>
    <n v="44"/>
    <s v="44. Serbia"/>
  </r>
  <r>
    <x v="118"/>
    <s v="Inflation"/>
    <n v="4.5999999999999996"/>
    <n v="45"/>
    <s v="45. Honduras"/>
  </r>
  <r>
    <x v="88"/>
    <s v="Inflation"/>
    <n v="4.5999999999999996"/>
    <n v="46"/>
    <s v="46. Nicaragua"/>
  </r>
  <r>
    <x v="145"/>
    <s v="Inflation"/>
    <n v="4.5"/>
    <n v="47"/>
    <s v="47. Cameroon"/>
  </r>
  <r>
    <x v="158"/>
    <s v="Inflation"/>
    <n v="4.5"/>
    <n v="48"/>
    <s v="48. Fiji"/>
  </r>
  <r>
    <x v="62"/>
    <s v="Inflation"/>
    <n v="4.5"/>
    <n v="49"/>
    <s v="49. Kenya"/>
  </r>
  <r>
    <x v="128"/>
    <s v="Inflation"/>
    <n v="4.4000000000000004"/>
    <n v="50"/>
    <s v="50. Brazil"/>
  </r>
  <r>
    <x v="6"/>
    <s v="Inflation"/>
    <n v="4.4000000000000004"/>
    <n v="51"/>
    <s v="51. South Africa"/>
  </r>
  <r>
    <x v="165"/>
    <s v="Inflation"/>
    <n v="4.3"/>
    <n v="52"/>
    <s v="52. Chile"/>
  </r>
  <r>
    <x v="194"/>
    <s v="Inflation"/>
    <n v="4.3"/>
    <n v="53"/>
    <s v="53. Solomon Islands"/>
  </r>
  <r>
    <x v="54"/>
    <s v="Inflation"/>
    <n v="4.2"/>
    <n v="54"/>
    <s v="54. Burkina Faso"/>
  </r>
  <r>
    <x v="69"/>
    <s v="Inflation"/>
    <n v="4.2"/>
    <n v="55"/>
    <s v="55. Namibia"/>
  </r>
  <r>
    <x v="55"/>
    <s v="Inflation"/>
    <n v="4.0999999999999996"/>
    <n v="56"/>
    <s v="56. Mozambique"/>
  </r>
  <r>
    <x v="157"/>
    <s v="Inflation"/>
    <n v="4"/>
    <n v="57"/>
    <s v="57. Algeria"/>
  </r>
  <r>
    <x v="123"/>
    <s v="Inflation"/>
    <n v="3.8"/>
    <n v="58"/>
    <s v="58. Guinea-Bissau"/>
  </r>
  <r>
    <x v="51"/>
    <s v="Inflation"/>
    <n v="3.8"/>
    <n v="59"/>
    <s v="59. Paraguay"/>
  </r>
  <r>
    <x v="66"/>
    <s v="Inflation"/>
    <n v="3.8"/>
    <n v="60"/>
    <s v="60. Poland"/>
  </r>
  <r>
    <x v="45"/>
    <s v="Inflation"/>
    <n v="3.7"/>
    <n v="61"/>
    <s v="61. Hungary"/>
  </r>
  <r>
    <x v="85"/>
    <s v="Inflation"/>
    <n v="3.6"/>
    <n v="62"/>
    <s v="62. Mauritius"/>
  </r>
  <r>
    <x v="155"/>
    <s v="Inflation"/>
    <n v="3.6"/>
    <n v="63"/>
    <s v="63. St. Vincent and the Grenadines"/>
  </r>
  <r>
    <x v="97"/>
    <s v="Inflation"/>
    <n v="3.6"/>
    <n v="64"/>
    <s v="64. Viet Nam"/>
  </r>
  <r>
    <x v="0"/>
    <s v="Inflation"/>
    <n v="3.5"/>
    <n v="65"/>
    <s v="65. Cote d'Ivoire"/>
  </r>
  <r>
    <x v="138"/>
    <s v="Inflation"/>
    <n v="3.5"/>
    <n v="66"/>
    <s v="66. Estonia"/>
  </r>
  <r>
    <x v="60"/>
    <s v="Inflation"/>
    <n v="3.5"/>
    <n v="67"/>
    <s v="67. North Macedonia"/>
  </r>
  <r>
    <x v="184"/>
    <s v="Inflation"/>
    <n v="3.3"/>
    <n v="68"/>
    <s v="68. Belize"/>
  </r>
  <r>
    <x v="47"/>
    <s v="Inflation"/>
    <n v="3.3"/>
    <n v="69"/>
    <s v="69. Dominican Republic"/>
  </r>
  <r>
    <x v="152"/>
    <s v="Inflation"/>
    <n v="3.3"/>
    <n v="70"/>
    <s v="70. Montenegro"/>
  </r>
  <r>
    <x v="53"/>
    <s v="Inflation"/>
    <n v="3.3"/>
    <n v="71"/>
    <s v="71. Netherlands"/>
  </r>
  <r>
    <x v="15"/>
    <s v="Inflation"/>
    <n v="3.3"/>
    <n v="72"/>
    <s v="72. Uganda"/>
  </r>
  <r>
    <x v="20"/>
    <s v="Inflation"/>
    <n v="3.3"/>
    <n v="73"/>
    <s v="73. United Kingdom"/>
  </r>
  <r>
    <x v="68"/>
    <s v="Inflation"/>
    <n v="3.2"/>
    <n v="74"/>
    <s v="74. Australia"/>
  </r>
  <r>
    <x v="110"/>
    <s v="Inflation"/>
    <n v="3.2"/>
    <n v="75"/>
    <s v="75. Mali"/>
  </r>
  <r>
    <x v="86"/>
    <s v="Inflation"/>
    <n v="3.2"/>
    <n v="76"/>
    <s v="76. Philippines"/>
  </r>
  <r>
    <x v="65"/>
    <s v="Inflation"/>
    <n v="3.2"/>
    <n v="77"/>
    <s v="77. Tonga"/>
  </r>
  <r>
    <x v="79"/>
    <s v="Inflation"/>
    <n v="3.1"/>
    <n v="78"/>
    <s v="78. Belgium"/>
  </r>
  <r>
    <x v="121"/>
    <s v="Inflation"/>
    <n v="3.1"/>
    <n v="79"/>
    <s v="79. Congo, Rep."/>
  </r>
  <r>
    <x v="134"/>
    <s v="Inflation"/>
    <n v="3.1"/>
    <n v="80"/>
    <s v="80. Israel"/>
  </r>
  <r>
    <x v="200"/>
    <s v="Inflation"/>
    <n v="3.1"/>
    <n v="81"/>
    <s v="81. Norway"/>
  </r>
  <r>
    <x v="78"/>
    <s v="Inflation"/>
    <n v="3.1"/>
    <n v="82"/>
    <s v="82. Tanzania"/>
  </r>
  <r>
    <x v="130"/>
    <s v="Inflation"/>
    <n v="3"/>
    <n v="83"/>
    <s v="83. Croatia"/>
  </r>
  <r>
    <x v="120"/>
    <s v="Inflation"/>
    <n v="2.9"/>
    <n v="84"/>
    <s v="84. Austria"/>
  </r>
  <r>
    <x v="196"/>
    <s v="Inflation"/>
    <n v="2.9"/>
    <n v="85"/>
    <s v="85. Equatorial Guinea"/>
  </r>
  <r>
    <x v="84"/>
    <s v="Inflation"/>
    <n v="2.9"/>
    <n v="86"/>
    <s v="86. Guatemala"/>
  </r>
  <r>
    <x v="197"/>
    <s v="Inflation"/>
    <n v="2.9"/>
    <n v="87"/>
    <s v="87. Guyana"/>
  </r>
  <r>
    <x v="183"/>
    <s v="Inflation"/>
    <n v="2.9"/>
    <n v="88"/>
    <s v="88. Kuwait"/>
  </r>
  <r>
    <x v="106"/>
    <s v="Inflation"/>
    <n v="2.9"/>
    <n v="89"/>
    <s v="89. New Zealand"/>
  </r>
  <r>
    <x v="21"/>
    <s v="Inflation"/>
    <n v="2.9"/>
    <n v="90"/>
    <s v="90. Togo"/>
  </r>
  <r>
    <x v="72"/>
    <s v="Inflation"/>
    <n v="2.9"/>
    <n v="91"/>
    <s v="91. United States"/>
  </r>
  <r>
    <x v="167"/>
    <s v="Inflation"/>
    <n v="2.8"/>
    <n v="92"/>
    <s v="92. Bhutan"/>
  </r>
  <r>
    <x v="75"/>
    <s v="Inflation"/>
    <n v="2.8"/>
    <n v="93"/>
    <s v="93. Botswana"/>
  </r>
  <r>
    <x v="103"/>
    <s v="Inflation"/>
    <n v="2.8"/>
    <n v="94"/>
    <s v="94. Slovak Republic"/>
  </r>
  <r>
    <x v="61"/>
    <s v="Inflation"/>
    <n v="2.8"/>
    <n v="95"/>
    <s v="95. Spain"/>
  </r>
  <r>
    <x v="186"/>
    <s v="Inflation"/>
    <n v="2.8"/>
    <n v="96"/>
    <s v="96. Sweden"/>
  </r>
  <r>
    <x v="92"/>
    <s v="Inflation"/>
    <n v="2.7"/>
    <n v="97"/>
    <s v="97. Greece"/>
  </r>
  <r>
    <x v="169"/>
    <s v="Inflation"/>
    <n v="2.7"/>
    <n v="98"/>
    <s v="98. Japan"/>
  </r>
  <r>
    <x v="114"/>
    <s v="Inflation"/>
    <n v="2.6"/>
    <n v="99"/>
    <s v="99. Dominica"/>
  </r>
  <r>
    <x v="100"/>
    <s v="Inflation"/>
    <n v="2.5"/>
    <n v="100"/>
    <s v="100. Mauritania"/>
  </r>
  <r>
    <x v="71"/>
    <s v="Inflation"/>
    <n v="2.4"/>
    <n v="101"/>
    <s v="101. Bulgaria"/>
  </r>
  <r>
    <x v="188"/>
    <s v="Inflation"/>
    <n v="2.4"/>
    <n v="102"/>
    <s v="102. Canada"/>
  </r>
  <r>
    <x v="74"/>
    <s v="Inflation"/>
    <n v="2.4"/>
    <n v="103"/>
    <s v="103. Czechia"/>
  </r>
  <r>
    <x v="83"/>
    <s v="Inflation"/>
    <n v="2.4"/>
    <n v="104"/>
    <s v="104. Portugal"/>
  </r>
  <r>
    <x v="205"/>
    <s v="Inflation"/>
    <n v="2.4"/>
    <n v="105"/>
    <s v="105. Singapore"/>
  </r>
  <r>
    <x v="67"/>
    <s v="Inflation"/>
    <n v="2.2999999999999998"/>
    <n v="106"/>
    <s v="106. Germany"/>
  </r>
  <r>
    <x v="161"/>
    <s v="Inflation"/>
    <n v="2.2999999999999998"/>
    <n v="107"/>
    <s v="107. Korea, Rep."/>
  </r>
  <r>
    <x v="102"/>
    <s v="Inflation"/>
    <n v="2.2000000000000002"/>
    <n v="108"/>
    <s v="108. Albania"/>
  </r>
  <r>
    <x v="43"/>
    <s v="Inflation"/>
    <n v="2.2000000000000002"/>
    <n v="109"/>
    <s v="109. Azerbaijan"/>
  </r>
  <r>
    <x v="126"/>
    <s v="Inflation"/>
    <n v="2.2000000000000002"/>
    <n v="110"/>
    <s v="110. Indonesia"/>
  </r>
  <r>
    <x v="178"/>
    <s v="Inflation"/>
    <n v="2.2000000000000002"/>
    <n v="111"/>
    <s v="111. Palau"/>
  </r>
  <r>
    <x v="156"/>
    <s v="Inflation"/>
    <n v="2.2000000000000002"/>
    <n v="112"/>
    <s v="112. Samoa"/>
  </r>
  <r>
    <x v="12"/>
    <s v="Inflation"/>
    <n v="2.1"/>
    <n v="113"/>
    <s v="113. Djibouti"/>
  </r>
  <r>
    <x v="36"/>
    <s v="Inflation"/>
    <n v="2.1"/>
    <n v="114"/>
    <s v="114. Ireland"/>
  </r>
  <r>
    <x v="181"/>
    <s v="Inflation"/>
    <n v="2.1"/>
    <n v="115"/>
    <s v="115. Libya"/>
  </r>
  <r>
    <x v="57"/>
    <s v="Inflation"/>
    <n v="2.1"/>
    <n v="116"/>
    <s v="116. Luxembourg"/>
  </r>
  <r>
    <x v="140"/>
    <s v="Inflation"/>
    <n v="2.1"/>
    <n v="117"/>
    <s v="117. Timor-Leste"/>
  </r>
  <r>
    <x v="56"/>
    <s v="Inflation"/>
    <n v="2"/>
    <n v="118"/>
    <s v="118. France"/>
  </r>
  <r>
    <x v="153"/>
    <s v="Inflation"/>
    <n v="2"/>
    <n v="119"/>
    <s v="119. Peru"/>
  </r>
  <r>
    <x v="122"/>
    <s v="Inflation"/>
    <n v="2"/>
    <n v="120"/>
    <s v="120. Slovenia"/>
  </r>
  <r>
    <x v="166"/>
    <s v="Inflation"/>
    <n v="1.8"/>
    <n v="121"/>
    <s v="121. Cyprus"/>
  </r>
  <r>
    <x v="131"/>
    <s v="Inflation"/>
    <n v="1.8"/>
    <n v="122"/>
    <s v="122. Malaysia"/>
  </r>
  <r>
    <x v="8"/>
    <s v="Inflation"/>
    <n v="1.8"/>
    <n v="123"/>
    <s v="123. Rwanda"/>
  </r>
  <r>
    <x v="142"/>
    <s v="Inflation"/>
    <n v="1.7"/>
    <n v="124"/>
    <s v="124. Bosnia and Herzegovina"/>
  </r>
  <r>
    <x v="195"/>
    <s v="Inflation"/>
    <n v="1.7"/>
    <n v="125"/>
    <s v="125. Hong Kong SAR, China"/>
  </r>
  <r>
    <x v="133"/>
    <s v="Inflation"/>
    <n v="1.7"/>
    <n v="126"/>
    <s v="126. Malta"/>
  </r>
  <r>
    <x v="4"/>
    <s v="Inflation"/>
    <n v="1.7"/>
    <n v="127"/>
    <s v="127. Saudi Arabia"/>
  </r>
  <r>
    <x v="191"/>
    <s v="Inflation"/>
    <n v="1.7"/>
    <n v="128"/>
    <s v="128. United Arab Emirates"/>
  </r>
  <r>
    <x v="185"/>
    <s v="Inflation"/>
    <n v="1.6"/>
    <n v="129"/>
    <s v="129. Finland"/>
  </r>
  <r>
    <x v="170"/>
    <s v="Inflation"/>
    <n v="1.6"/>
    <n v="130"/>
    <s v="130. Jordan"/>
  </r>
  <r>
    <x v="209"/>
    <s v="Inflation"/>
    <n v="1.6"/>
    <n v="131"/>
    <s v="131. Kosovo"/>
  </r>
  <r>
    <x v="179"/>
    <s v="Inflation"/>
    <n v="1.5"/>
    <n v="132"/>
    <s v="132. Central African Republic"/>
  </r>
  <r>
    <x v="144"/>
    <s v="Inflation"/>
    <n v="1.5"/>
    <n v="133"/>
    <s v="133. Ecuador"/>
  </r>
  <r>
    <x v="28"/>
    <s v="Inflation"/>
    <n v="1.4"/>
    <n v="134"/>
    <s v="134. Denmark"/>
  </r>
  <r>
    <x v="150"/>
    <s v="Inflation"/>
    <n v="1.4"/>
    <n v="135"/>
    <s v="135. Maldives"/>
  </r>
  <r>
    <x v="82"/>
    <s v="Inflation"/>
    <n v="1.4"/>
    <n v="136"/>
    <s v="136. Thailand"/>
  </r>
  <r>
    <x v="119"/>
    <s v="Inflation"/>
    <n v="1.3"/>
    <n v="137"/>
    <s v="137. Latvia"/>
  </r>
  <r>
    <x v="189"/>
    <s v="Inflation"/>
    <n v="1.3"/>
    <n v="138"/>
    <s v="138. Qatar"/>
  </r>
  <r>
    <x v="90"/>
    <s v="Inflation"/>
    <n v="1.2"/>
    <n v="139"/>
    <s v="139. Benin"/>
  </r>
  <r>
    <x v="182"/>
    <s v="Inflation"/>
    <n v="1.2"/>
    <n v="140"/>
    <s v="140. Gabon"/>
  </r>
  <r>
    <x v="101"/>
    <s v="Inflation"/>
    <n v="1.2"/>
    <n v="141"/>
    <s v="141. San Marino"/>
  </r>
  <r>
    <x v="113"/>
    <s v="Inflation"/>
    <n v="1.1000000000000001"/>
    <n v="142"/>
    <s v="142. Georgia"/>
  </r>
  <r>
    <x v="136"/>
    <s v="Inflation"/>
    <n v="1.1000000000000001"/>
    <n v="143"/>
    <s v="143. Grenada"/>
  </r>
  <r>
    <x v="139"/>
    <s v="Inflation"/>
    <n v="1.1000000000000001"/>
    <n v="144"/>
    <s v="144. St. Kitts and Nevis"/>
  </r>
  <r>
    <x v="104"/>
    <s v="Inflation"/>
    <n v="1.1000000000000001"/>
    <n v="145"/>
    <s v="145. Switzerland"/>
  </r>
  <r>
    <x v="151"/>
    <s v="Inflation"/>
    <n v="1"/>
    <n v="146"/>
    <s v="146. Cabo Verde"/>
  </r>
  <r>
    <x v="81"/>
    <s v="Inflation"/>
    <n v="1"/>
    <n v="147"/>
    <s v="147. Italy"/>
  </r>
  <r>
    <x v="26"/>
    <s v="Inflation"/>
    <n v="1"/>
    <n v="148"/>
    <s v="148. Morocco"/>
  </r>
  <r>
    <x v="174"/>
    <s v="Inflation"/>
    <n v="0.9"/>
    <n v="149"/>
    <s v="149. Bahrain"/>
  </r>
  <r>
    <x v="44"/>
    <s v="Inflation"/>
    <n v="0.9"/>
    <n v="150"/>
    <s v="150. El Salvador"/>
  </r>
  <r>
    <x v="63"/>
    <s v="Inflation"/>
    <n v="0.8"/>
    <n v="151"/>
    <s v="151. Senegal"/>
  </r>
  <r>
    <x v="73"/>
    <s v="Inflation"/>
    <n v="0.7"/>
    <n v="152"/>
    <s v="152. Lithuania"/>
  </r>
  <r>
    <x v="125"/>
    <s v="Inflation"/>
    <n v="0.7"/>
    <n v="153"/>
    <s v="153. Panama"/>
  </r>
  <r>
    <x v="192"/>
    <s v="Inflation"/>
    <n v="0.6"/>
    <n v="154"/>
    <s v="154. Oman"/>
  </r>
  <r>
    <x v="199"/>
    <s v="Inflation"/>
    <n v="0.6"/>
    <n v="155"/>
    <s v="155. Papua New Guinea"/>
  </r>
  <r>
    <x v="173"/>
    <s v="Inflation"/>
    <n v="0.5"/>
    <n v="156"/>
    <s v="156. Trinidad and Tobago"/>
  </r>
  <r>
    <x v="202"/>
    <s v="Inflation"/>
    <n v="0.4"/>
    <n v="157"/>
    <s v="157. Bahamas, The"/>
  </r>
  <r>
    <x v="40"/>
    <s v="Inflation"/>
    <n v="0.3"/>
    <n v="158"/>
    <s v="158. Armenia"/>
  </r>
  <r>
    <x v="198"/>
    <s v="Inflation"/>
    <n v="0.3"/>
    <n v="159"/>
    <s v="159. Seychelles"/>
  </r>
  <r>
    <x v="46"/>
    <s v="Inflation"/>
    <n v="0.2"/>
    <n v="160"/>
    <s v="160. China"/>
  </r>
  <r>
    <x v="159"/>
    <s v="Inflation"/>
    <n v="-0.1"/>
    <n v="161"/>
    <s v="161. St. Lucia"/>
  </r>
  <r>
    <x v="201"/>
    <s v="Inflation"/>
    <n v="-0.4"/>
    <n v="162"/>
    <s v="162. Brunei Darussalam"/>
  </r>
  <r>
    <x v="115"/>
    <s v="Inflation"/>
    <n v="-0.4"/>
    <n v="163"/>
    <s v="163. Costa Rica"/>
  </r>
  <r>
    <x v="64"/>
    <s v="Inflation"/>
    <n v="-0.4"/>
    <n v="164"/>
    <s v="164. Sri Lanka"/>
  </r>
  <r>
    <x v="137"/>
    <s v="Inflation"/>
    <n v="-0.5"/>
    <n v="165"/>
    <s v="165. Barbados"/>
  </r>
  <r>
    <x v="41"/>
    <s v="Inflation"/>
    <n v="-6.6"/>
    <n v="166"/>
    <s v="166. Afghanistan"/>
  </r>
  <r>
    <x v="141"/>
    <s v="Inflation"/>
    <n v="-12.3"/>
    <n v="167"/>
    <s v="167. Iraq"/>
  </r>
  <r>
    <x v="72"/>
    <s v="International migrants"/>
    <n v="52.4"/>
    <n v="1"/>
    <s v="1. United States"/>
  </r>
  <r>
    <x v="67"/>
    <s v="International migrants"/>
    <n v="16.8"/>
    <n v="2"/>
    <s v="2. Germany"/>
  </r>
  <r>
    <x v="4"/>
    <s v="International migrants"/>
    <n v="13.7"/>
    <n v="3"/>
    <s v="3. Saudi Arabia"/>
  </r>
  <r>
    <x v="20"/>
    <s v="International migrants"/>
    <n v="11.8"/>
    <n v="4"/>
    <s v="4. United Kingdom"/>
  </r>
  <r>
    <x v="56"/>
    <s v="International migrants"/>
    <n v="9.1999999999999993"/>
    <n v="5"/>
    <s v="5. France"/>
  </r>
  <r>
    <x v="61"/>
    <s v="International migrants"/>
    <n v="8.9"/>
    <n v="6"/>
    <s v="6. Spain"/>
  </r>
  <r>
    <x v="188"/>
    <s v="International migrants"/>
    <n v="8.8000000000000007"/>
    <n v="7"/>
    <s v="7. Canada"/>
  </r>
  <r>
    <x v="191"/>
    <s v="International migrants"/>
    <n v="8.1999999999999993"/>
    <n v="8"/>
    <s v="8. United Arab Emirates"/>
  </r>
  <r>
    <x v="68"/>
    <s v="International migrants"/>
    <n v="8.1"/>
    <n v="9"/>
    <s v="9. Australia"/>
  </r>
  <r>
    <x v="168"/>
    <s v="International migrants"/>
    <n v="7.6"/>
    <n v="10"/>
    <s v="10. Russian Federation"/>
  </r>
  <r>
    <x v="59"/>
    <s v="International migrants"/>
    <n v="7.1"/>
    <n v="11"/>
    <s v="11. Turkiye"/>
  </r>
  <r>
    <x v="81"/>
    <s v="International migrants"/>
    <n v="6.6"/>
    <n v="12"/>
    <s v="12. Italy"/>
  </r>
  <r>
    <x v="170"/>
    <s v="International migrants"/>
    <n v="5.3"/>
    <n v="13"/>
    <s v="13. Jordan"/>
  </r>
  <r>
    <x v="17"/>
    <s v="International migrants"/>
    <n v="5.0999999999999996"/>
    <n v="14"/>
    <s v="14. Ukraine"/>
  </r>
  <r>
    <x v="38"/>
    <s v="International migrants"/>
    <n v="4.8"/>
    <n v="15"/>
    <s v="15. India"/>
  </r>
  <r>
    <x v="70"/>
    <s v="International migrants"/>
    <n v="4.2"/>
    <n v="16"/>
    <s v="16. Pakistan"/>
  </r>
  <r>
    <x v="127"/>
    <s v="International migrants"/>
    <n v="3.8"/>
    <n v="17"/>
    <s v="17. Iran, Islamic Rep."/>
  </r>
  <r>
    <x v="131"/>
    <s v="International migrants"/>
    <n v="3.8"/>
    <n v="18"/>
    <s v="18. Malaysia"/>
  </r>
  <r>
    <x v="169"/>
    <s v="International migrants"/>
    <n v="3.4"/>
    <n v="19"/>
    <s v="19. Japan"/>
  </r>
  <r>
    <x v="183"/>
    <s v="International migrants"/>
    <n v="3.3"/>
    <n v="20"/>
    <s v="20. Kuwait"/>
  </r>
  <r>
    <x v="82"/>
    <s v="International migrants"/>
    <n v="3.2"/>
    <n v="21"/>
    <s v="21. Thailand"/>
  </r>
  <r>
    <x v="108"/>
    <s v="International migrants"/>
    <n v="3.1"/>
    <n v="22"/>
    <s v="22. Colombia"/>
  </r>
  <r>
    <x v="195"/>
    <s v="International migrants"/>
    <n v="3.1"/>
    <n v="23"/>
    <s v="23. Hong Kong SAR, China"/>
  </r>
  <r>
    <x v="53"/>
    <s v="International migrants"/>
    <n v="3"/>
    <n v="24"/>
    <s v="24. Netherlands"/>
  </r>
  <r>
    <x v="14"/>
    <s v="International migrants"/>
    <n v="2.9"/>
    <n v="25"/>
    <s v="25. Bangladesh"/>
  </r>
  <r>
    <x v="0"/>
    <s v="International migrants"/>
    <n v="2.9"/>
    <n v="26"/>
    <s v="26. Cote d'Ivoire"/>
  </r>
  <r>
    <x v="205"/>
    <s v="International migrants"/>
    <n v="2.8"/>
    <n v="27"/>
    <s v="27. Singapore"/>
  </r>
  <r>
    <x v="104"/>
    <s v="International migrants"/>
    <n v="2.8"/>
    <n v="28"/>
    <s v="28. Switzerland"/>
  </r>
  <r>
    <x v="6"/>
    <s v="International migrants"/>
    <n v="2.6"/>
    <n v="29"/>
    <s v="29. South Africa"/>
  </r>
  <r>
    <x v="37"/>
    <s v="International migrants"/>
    <n v="2.4"/>
    <n v="30"/>
    <s v="30. Sudan"/>
  </r>
  <r>
    <x v="120"/>
    <s v="International migrants"/>
    <n v="2.2999999999999998"/>
    <n v="31"/>
    <s v="31. Austria"/>
  </r>
  <r>
    <x v="79"/>
    <s v="International migrants"/>
    <n v="2.2999999999999998"/>
    <n v="32"/>
    <s v="32. Belgium"/>
  </r>
  <r>
    <x v="192"/>
    <s v="International migrants"/>
    <n v="2.2999999999999998"/>
    <n v="33"/>
    <s v="33. Oman"/>
  </r>
  <r>
    <x v="189"/>
    <s v="International migrants"/>
    <n v="2.2999999999999998"/>
    <n v="34"/>
    <s v="34. Qatar"/>
  </r>
  <r>
    <x v="186"/>
    <s v="International migrants"/>
    <n v="2.2999999999999998"/>
    <n v="35"/>
    <s v="35. Sweden"/>
  </r>
  <r>
    <x v="134"/>
    <s v="International migrants"/>
    <n v="2.1"/>
    <n v="36"/>
    <s v="36. Israel"/>
  </r>
  <r>
    <x v="5"/>
    <s v="International migrants"/>
    <n v="2.1"/>
    <n v="37"/>
    <s v="37. Kazakhstan"/>
  </r>
  <r>
    <x v="15"/>
    <s v="International migrants"/>
    <n v="2.1"/>
    <n v="38"/>
    <s v="38. Uganda"/>
  </r>
  <r>
    <x v="87"/>
    <s v="International migrants"/>
    <n v="2"/>
    <n v="39"/>
    <s v="39. Argentina"/>
  </r>
  <r>
    <x v="161"/>
    <s v="International migrants"/>
    <n v="1.8"/>
    <n v="40"/>
    <s v="40. Korea, Rep."/>
  </r>
  <r>
    <x v="153"/>
    <s v="International migrants"/>
    <n v="1.8"/>
    <n v="41"/>
    <s v="41. Peru"/>
  </r>
  <r>
    <x v="58"/>
    <s v="International migrants"/>
    <n v="1.7"/>
    <n v="42"/>
    <s v="42. Mexico"/>
  </r>
  <r>
    <x v="66"/>
    <s v="International migrants"/>
    <n v="1.7"/>
    <n v="43"/>
    <s v="43. Poland"/>
  </r>
  <r>
    <x v="46"/>
    <s v="International migrants"/>
    <n v="1.6"/>
    <n v="44"/>
    <s v="44. China"/>
  </r>
  <r>
    <x v="165"/>
    <s v="International migrants"/>
    <n v="1.5"/>
    <n v="45"/>
    <s v="45. Chile"/>
  </r>
  <r>
    <x v="106"/>
    <s v="International migrants"/>
    <n v="1.5"/>
    <n v="46"/>
    <s v="46. New Zealand"/>
  </r>
  <r>
    <x v="128"/>
    <s v="International migrants"/>
    <n v="1.4"/>
    <n v="47"/>
    <s v="47. Brazil"/>
  </r>
  <r>
    <x v="92"/>
    <s v="International migrants"/>
    <n v="1.4"/>
    <n v="48"/>
    <s v="48. Greece"/>
  </r>
  <r>
    <x v="27"/>
    <s v="International migrants"/>
    <n v="1.4"/>
    <n v="49"/>
    <s v="49. Lebanon"/>
  </r>
  <r>
    <x v="9"/>
    <s v="International migrants"/>
    <n v="1.4"/>
    <n v="50"/>
    <s v="50. Nigeria"/>
  </r>
  <r>
    <x v="94"/>
    <s v="International migrants"/>
    <n v="1.3"/>
    <n v="51"/>
    <s v="51. Chad"/>
  </r>
  <r>
    <x v="135"/>
    <s v="International migrants"/>
    <n v="1.3"/>
    <n v="52"/>
    <s v="52. Venezuela, RB"/>
  </r>
  <r>
    <x v="112"/>
    <s v="International migrants"/>
    <n v="1.2"/>
    <n v="53"/>
    <s v="53. Ethiopia"/>
  </r>
  <r>
    <x v="36"/>
    <s v="International migrants"/>
    <n v="1.2"/>
    <n v="54"/>
    <s v="54. Ireland"/>
  </r>
  <r>
    <x v="42"/>
    <s v="International migrants"/>
    <n v="1.2"/>
    <n v="55"/>
    <s v="55. Uzbekistan"/>
  </r>
  <r>
    <x v="96"/>
    <s v="International migrants"/>
    <n v="1.1000000000000001"/>
    <n v="56"/>
    <s v="56. Belarus"/>
  </r>
  <r>
    <x v="162"/>
    <s v="International migrants"/>
    <n v="1.1000000000000001"/>
    <n v="57"/>
    <s v="57. Congo, Dem. Rep."/>
  </r>
  <r>
    <x v="193"/>
    <s v="International migrants"/>
    <n v="1.1000000000000001"/>
    <n v="58"/>
    <s v="58. Egypt, Arab Rep."/>
  </r>
  <r>
    <x v="83"/>
    <s v="International migrants"/>
    <n v="1.1000000000000001"/>
    <n v="59"/>
    <s v="59. Portugal"/>
  </r>
  <r>
    <x v="74"/>
    <s v="International migrants"/>
    <n v="1"/>
    <n v="60"/>
    <s v="60. Czechia"/>
  </r>
  <r>
    <x v="62"/>
    <s v="International migrants"/>
    <n v="1"/>
    <n v="61"/>
    <s v="61. Kenya"/>
  </r>
  <r>
    <x v="200"/>
    <s v="International migrants"/>
    <n v="1"/>
    <n v="62"/>
    <s v="62. Norway"/>
  </r>
  <r>
    <x v="181"/>
    <s v="International migrants"/>
    <n v="0.9"/>
    <n v="63"/>
    <s v="63. Libya"/>
  </r>
  <r>
    <x v="76"/>
    <s v="International migrants"/>
    <n v="0.9"/>
    <n v="64"/>
    <s v="64. South Sudan"/>
  </r>
  <r>
    <x v="11"/>
    <s v="International migrants"/>
    <n v="0.9"/>
    <n v="65"/>
    <s v="65. Syrian Arab Republic"/>
  </r>
  <r>
    <x v="174"/>
    <s v="International migrants"/>
    <n v="0.8"/>
    <n v="66"/>
    <s v="66. Bahrain"/>
  </r>
  <r>
    <x v="28"/>
    <s v="International migrants"/>
    <n v="0.8"/>
    <n v="67"/>
    <s v="67. Denmark"/>
  </r>
  <r>
    <x v="105"/>
    <s v="International migrants"/>
    <n v="0.7"/>
    <n v="68"/>
    <s v="68. Angola"/>
  </r>
  <r>
    <x v="54"/>
    <s v="International migrants"/>
    <n v="0.7"/>
    <n v="69"/>
    <s v="69. Burkina Faso"/>
  </r>
  <r>
    <x v="47"/>
    <s v="International migrants"/>
    <n v="0.7"/>
    <n v="70"/>
    <s v="70. Dominican Republic"/>
  </r>
  <r>
    <x v="144"/>
    <s v="International migrants"/>
    <n v="0.7"/>
    <n v="71"/>
    <s v="71. Ecuador"/>
  </r>
  <r>
    <x v="45"/>
    <s v="International migrants"/>
    <n v="0.7"/>
    <n v="72"/>
    <s v="72. Hungary"/>
  </r>
  <r>
    <x v="49"/>
    <s v="International migrants"/>
    <n v="0.7"/>
    <n v="73"/>
    <s v="73. Romania"/>
  </r>
  <r>
    <x v="93"/>
    <s v="International migrants"/>
    <n v="0.7"/>
    <n v="74"/>
    <s v="74. Serbia"/>
  </r>
  <r>
    <x v="145"/>
    <s v="International migrants"/>
    <n v="0.6"/>
    <n v="75"/>
    <s v="75. Cameroon"/>
  </r>
  <r>
    <x v="115"/>
    <s v="International migrants"/>
    <n v="0.6"/>
    <n v="76"/>
    <s v="76. Costa Rica"/>
  </r>
  <r>
    <x v="130"/>
    <s v="International migrants"/>
    <n v="0.5"/>
    <n v="77"/>
    <s v="77. Croatia"/>
  </r>
  <r>
    <x v="185"/>
    <s v="International migrants"/>
    <n v="0.5"/>
    <n v="78"/>
    <s v="78. Finland"/>
  </r>
  <r>
    <x v="48"/>
    <s v="International migrants"/>
    <n v="0.5"/>
    <n v="79"/>
    <s v="79. Ghana"/>
  </r>
  <r>
    <x v="110"/>
    <s v="International migrants"/>
    <n v="0.5"/>
    <n v="80"/>
    <s v="80. Mali"/>
  </r>
  <r>
    <x v="132"/>
    <s v="International migrants"/>
    <n v="0.5"/>
    <n v="81"/>
    <s v="81. Nepal"/>
  </r>
  <r>
    <x v="125"/>
    <s v="International migrants"/>
    <n v="0.5"/>
    <n v="82"/>
    <s v="82. Panama"/>
  </r>
  <r>
    <x v="8"/>
    <s v="International migrants"/>
    <n v="0.5"/>
    <n v="83"/>
    <s v="83. Rwanda"/>
  </r>
  <r>
    <x v="78"/>
    <s v="International migrants"/>
    <n v="0.5"/>
    <n v="84"/>
    <s v="84. Tanzania"/>
  </r>
  <r>
    <x v="90"/>
    <s v="International migrants"/>
    <n v="0.4"/>
    <n v="85"/>
    <s v="85. Benin"/>
  </r>
  <r>
    <x v="2"/>
    <s v="International migrants"/>
    <n v="0.4"/>
    <n v="86"/>
    <s v="86. Burundi"/>
  </r>
  <r>
    <x v="121"/>
    <s v="International migrants"/>
    <n v="0.4"/>
    <n v="87"/>
    <s v="87. Congo, Rep."/>
  </r>
  <r>
    <x v="182"/>
    <s v="International migrants"/>
    <n v="0.4"/>
    <n v="88"/>
    <s v="88. Gabon"/>
  </r>
  <r>
    <x v="126"/>
    <s v="International migrants"/>
    <n v="0.4"/>
    <n v="89"/>
    <s v="89. Indonesia"/>
  </r>
  <r>
    <x v="141"/>
    <s v="International migrants"/>
    <n v="0.4"/>
    <n v="90"/>
    <s v="90. Iraq"/>
  </r>
  <r>
    <x v="208"/>
    <s v="International migrants"/>
    <n v="0.4"/>
    <n v="91"/>
    <s v="91. Macao SAR, China"/>
  </r>
  <r>
    <x v="55"/>
    <s v="International migrants"/>
    <n v="0.4"/>
    <n v="92"/>
    <s v="92. Mozambique"/>
  </r>
  <r>
    <x v="107"/>
    <s v="International migrants"/>
    <n v="0.4"/>
    <n v="93"/>
    <s v="93. Niger"/>
  </r>
  <r>
    <x v="80"/>
    <s v="International migrants"/>
    <n v="0.4"/>
    <n v="94"/>
    <s v="94. Yemen, Rep."/>
  </r>
  <r>
    <x v="91"/>
    <s v="International migrants"/>
    <n v="0.4"/>
    <n v="95"/>
    <s v="95. Zimbabwe"/>
  </r>
  <r>
    <x v="157"/>
    <s v="International migrants"/>
    <n v="0.3"/>
    <n v="96"/>
    <s v="96. Algeria"/>
  </r>
  <r>
    <x v="40"/>
    <s v="International migrants"/>
    <n v="0.3"/>
    <n v="97"/>
    <s v="97. Armenia"/>
  </r>
  <r>
    <x v="71"/>
    <s v="International migrants"/>
    <n v="0.3"/>
    <n v="98"/>
    <s v="98. Bulgaria"/>
  </r>
  <r>
    <x v="57"/>
    <s v="International migrants"/>
    <n v="0.3"/>
    <n v="99"/>
    <s v="99. Luxembourg"/>
  </r>
  <r>
    <x v="63"/>
    <s v="International migrants"/>
    <n v="0.3"/>
    <n v="100"/>
    <s v="100. Senegal"/>
  </r>
  <r>
    <x v="103"/>
    <s v="International migrants"/>
    <n v="0.3"/>
    <n v="101"/>
    <s v="101. Slovak Republic"/>
  </r>
  <r>
    <x v="122"/>
    <s v="International migrants"/>
    <n v="0.3"/>
    <n v="102"/>
    <s v="102. Slovenia"/>
  </r>
  <r>
    <x v="129"/>
    <s v="International migrants"/>
    <n v="0.3"/>
    <n v="103"/>
    <s v="103. Tajikistan"/>
  </r>
  <r>
    <x v="21"/>
    <s v="International migrants"/>
    <n v="0.3"/>
    <n v="104"/>
    <s v="104. Togo"/>
  </r>
  <r>
    <x v="97"/>
    <s v="International migrants"/>
    <n v="0.3"/>
    <n v="105"/>
    <s v="105. Viet Nam"/>
  </r>
  <r>
    <x v="30"/>
    <s v="International migrants"/>
    <n v="0.3"/>
    <n v="106"/>
    <s v="106. West Bank and Gaza"/>
  </r>
  <r>
    <x v="43"/>
    <s v="International migrants"/>
    <n v="0.2"/>
    <n v="107"/>
    <s v="107. Azerbaijan"/>
  </r>
  <r>
    <x v="109"/>
    <s v="International migrants"/>
    <n v="0.2"/>
    <n v="108"/>
    <s v="108. Bolivia"/>
  </r>
  <r>
    <x v="166"/>
    <s v="International migrants"/>
    <n v="0.2"/>
    <n v="109"/>
    <s v="109. Cyprus"/>
  </r>
  <r>
    <x v="196"/>
    <s v="International migrants"/>
    <n v="0.2"/>
    <n v="110"/>
    <s v="110. Equatorial Guinea"/>
  </r>
  <r>
    <x v="138"/>
    <s v="International migrants"/>
    <n v="0.2"/>
    <n v="111"/>
    <s v="111. Estonia"/>
  </r>
  <r>
    <x v="33"/>
    <s v="International migrants"/>
    <n v="0.2"/>
    <n v="112"/>
    <s v="112. Gambia, The"/>
  </r>
  <r>
    <x v="52"/>
    <s v="International migrants"/>
    <n v="0.2"/>
    <n v="113"/>
    <s v="113. Kyrgyz Republic"/>
  </r>
  <r>
    <x v="119"/>
    <s v="International migrants"/>
    <n v="0.2"/>
    <n v="114"/>
    <s v="114. Latvia"/>
  </r>
  <r>
    <x v="73"/>
    <s v="International migrants"/>
    <n v="0.2"/>
    <n v="115"/>
    <s v="115. Lithuania"/>
  </r>
  <r>
    <x v="31"/>
    <s v="International migrants"/>
    <n v="0.2"/>
    <n v="116"/>
    <s v="116. Malawi"/>
  </r>
  <r>
    <x v="133"/>
    <s v="International migrants"/>
    <n v="0.2"/>
    <n v="117"/>
    <s v="117. Malta"/>
  </r>
  <r>
    <x v="100"/>
    <s v="International migrants"/>
    <n v="0.2"/>
    <n v="118"/>
    <s v="118. Mauritania"/>
  </r>
  <r>
    <x v="10"/>
    <s v="International migrants"/>
    <n v="0.2"/>
    <n v="119"/>
    <s v="119. Moldova"/>
  </r>
  <r>
    <x v="60"/>
    <s v="International migrants"/>
    <n v="0.2"/>
    <n v="120"/>
    <s v="120. North Macedonia"/>
  </r>
  <r>
    <x v="51"/>
    <s v="International migrants"/>
    <n v="0.2"/>
    <n v="121"/>
    <s v="121. Paraguay"/>
  </r>
  <r>
    <x v="154"/>
    <s v="International migrants"/>
    <n v="0.2"/>
    <n v="122"/>
    <s v="122. Puerto Rico (US)"/>
  </r>
  <r>
    <x v="1"/>
    <s v="International migrants"/>
    <n v="0.2"/>
    <n v="123"/>
    <s v="123. Turkmenistan"/>
  </r>
  <r>
    <x v="3"/>
    <s v="International migrants"/>
    <n v="0.2"/>
    <n v="124"/>
    <s v="124. Uruguay"/>
  </r>
  <r>
    <x v="117"/>
    <s v="International migrants"/>
    <n v="0.2"/>
    <n v="125"/>
    <s v="125. Zambia"/>
  </r>
  <r>
    <x v="41"/>
    <s v="International migrants"/>
    <n v="0.1"/>
    <n v="126"/>
    <s v="126. Afghanistan"/>
  </r>
  <r>
    <x v="172"/>
    <s v="International migrants"/>
    <n v="0.1"/>
    <n v="127"/>
    <s v="127. Aruba"/>
  </r>
  <r>
    <x v="202"/>
    <s v="International migrants"/>
    <n v="0.1"/>
    <n v="128"/>
    <s v="128. Bahamas, The"/>
  </r>
  <r>
    <x v="184"/>
    <s v="International migrants"/>
    <n v="0.1"/>
    <n v="129"/>
    <s v="129. Belize"/>
  </r>
  <r>
    <x v="167"/>
    <s v="International migrants"/>
    <n v="0.1"/>
    <n v="130"/>
    <s v="130. Bhutan"/>
  </r>
  <r>
    <x v="75"/>
    <s v="International migrants"/>
    <n v="0.1"/>
    <n v="131"/>
    <s v="131. Botswana"/>
  </r>
  <r>
    <x v="201"/>
    <s v="International migrants"/>
    <n v="0.1"/>
    <n v="132"/>
    <s v="132. Brunei Darussalam"/>
  </r>
  <r>
    <x v="111"/>
    <s v="International migrants"/>
    <n v="0.1"/>
    <n v="133"/>
    <s v="133. Cambodia"/>
  </r>
  <r>
    <x v="179"/>
    <s v="International migrants"/>
    <n v="0.1"/>
    <n v="134"/>
    <s v="134. Central African Republic"/>
  </r>
  <r>
    <x v="238"/>
    <s v="International migrants"/>
    <n v="0.1"/>
    <n v="135"/>
    <s v="135. Channel Islands"/>
  </r>
  <r>
    <x v="237"/>
    <s v="International migrants"/>
    <n v="0.1"/>
    <n v="136"/>
    <s v="136. Curacao"/>
  </r>
  <r>
    <x v="12"/>
    <s v="International migrants"/>
    <n v="0.1"/>
    <n v="137"/>
    <s v="137. Djibouti"/>
  </r>
  <r>
    <x v="113"/>
    <s v="International migrants"/>
    <n v="0.1"/>
    <n v="138"/>
    <s v="138. Georgia"/>
  </r>
  <r>
    <x v="124"/>
    <s v="International migrants"/>
    <n v="0.1"/>
    <n v="139"/>
    <s v="139. Guam"/>
  </r>
  <r>
    <x v="84"/>
    <s v="International migrants"/>
    <n v="0.1"/>
    <n v="140"/>
    <s v="140. Guatemala"/>
  </r>
  <r>
    <x v="13"/>
    <s v="International migrants"/>
    <n v="0.1"/>
    <n v="141"/>
    <s v="141. Guinea"/>
  </r>
  <r>
    <x v="197"/>
    <s v="International migrants"/>
    <n v="0.1"/>
    <n v="142"/>
    <s v="142. Guyana"/>
  </r>
  <r>
    <x v="160"/>
    <s v="International migrants"/>
    <n v="0.1"/>
    <n v="143"/>
    <s v="143. Iceland"/>
  </r>
  <r>
    <x v="143"/>
    <s v="International migrants"/>
    <n v="0.1"/>
    <n v="144"/>
    <s v="144. Korea, Dem. People's Rep."/>
  </r>
  <r>
    <x v="176"/>
    <s v="International migrants"/>
    <n v="0.1"/>
    <n v="145"/>
    <s v="145. Lao PDR"/>
  </r>
  <r>
    <x v="147"/>
    <s v="International migrants"/>
    <n v="0.1"/>
    <n v="146"/>
    <s v="146. Liberia"/>
  </r>
  <r>
    <x v="150"/>
    <s v="International migrants"/>
    <n v="0.1"/>
    <n v="147"/>
    <s v="147. Maldives"/>
  </r>
  <r>
    <x v="152"/>
    <s v="International migrants"/>
    <n v="0.1"/>
    <n v="148"/>
    <s v="148. Montenegro"/>
  </r>
  <r>
    <x v="26"/>
    <s v="International migrants"/>
    <n v="0.1"/>
    <n v="149"/>
    <s v="149. Morocco"/>
  </r>
  <r>
    <x v="149"/>
    <s v="International migrants"/>
    <n v="0.1"/>
    <n v="150"/>
    <s v="150. Myanmar"/>
  </r>
  <r>
    <x v="69"/>
    <s v="International migrants"/>
    <n v="0.1"/>
    <n v="151"/>
    <s v="151. Namibia"/>
  </r>
  <r>
    <x v="175"/>
    <s v="International migrants"/>
    <n v="0.1"/>
    <n v="152"/>
    <s v="152. New Caledonia"/>
  </r>
  <r>
    <x v="86"/>
    <s v="International migrants"/>
    <n v="0.1"/>
    <n v="153"/>
    <s v="153. Philippines"/>
  </r>
  <r>
    <x v="19"/>
    <s v="International migrants"/>
    <n v="0.1"/>
    <n v="154"/>
    <s v="154. Somalia, Fed. Rep."/>
  </r>
  <r>
    <x v="207"/>
    <s v="International migrants"/>
    <n v="0.1"/>
    <n v="155"/>
    <s v="155. Suriname"/>
  </r>
  <r>
    <x v="173"/>
    <s v="International migrants"/>
    <n v="0.1"/>
    <n v="156"/>
    <s v="156. Trinidad and Tobago"/>
  </r>
  <r>
    <x v="34"/>
    <s v="International migrants"/>
    <n v="0.1"/>
    <n v="157"/>
    <s v="157. Tunisia"/>
  </r>
  <r>
    <x v="177"/>
    <s v="International migrants"/>
    <n v="0.1"/>
    <n v="158"/>
    <s v="158. Virgin Islands (U.S.)"/>
  </r>
  <r>
    <x v="102"/>
    <s v="International migrants"/>
    <n v="0"/>
    <n v="159"/>
    <s v="159. Albania"/>
  </r>
  <r>
    <x v="164"/>
    <s v="International migrants"/>
    <n v="0"/>
    <n v="160"/>
    <s v="160. American Samoa"/>
  </r>
  <r>
    <x v="95"/>
    <s v="International migrants"/>
    <n v="0"/>
    <n v="161"/>
    <s v="161. Andorra"/>
  </r>
  <r>
    <x v="146"/>
    <s v="International migrants"/>
    <n v="0"/>
    <n v="162"/>
    <s v="162. Antigua and Barbuda"/>
  </r>
  <r>
    <x v="137"/>
    <s v="International migrants"/>
    <n v="0"/>
    <n v="163"/>
    <s v="163. Barbados"/>
  </r>
  <r>
    <x v="190"/>
    <s v="International migrants"/>
    <n v="0"/>
    <n v="164"/>
    <s v="164. Bermuda"/>
  </r>
  <r>
    <x v="142"/>
    <s v="International migrants"/>
    <n v="0"/>
    <n v="165"/>
    <s v="165. Bosnia and Herzegovina"/>
  </r>
  <r>
    <x v="151"/>
    <s v="International migrants"/>
    <n v="0"/>
    <n v="166"/>
    <s v="166. Cabo Verde"/>
  </r>
  <r>
    <x v="171"/>
    <s v="International migrants"/>
    <n v="0"/>
    <n v="167"/>
    <s v="167. Cayman Islands"/>
  </r>
  <r>
    <x v="16"/>
    <s v="International migrants"/>
    <n v="0"/>
    <n v="168"/>
    <s v="168. Comoros"/>
  </r>
  <r>
    <x v="35"/>
    <s v="International migrants"/>
    <n v="0"/>
    <n v="169"/>
    <s v="169. Cuba"/>
  </r>
  <r>
    <x v="114"/>
    <s v="International migrants"/>
    <n v="0"/>
    <n v="170"/>
    <s v="170. Dominica"/>
  </r>
  <r>
    <x v="44"/>
    <s v="International migrants"/>
    <n v="0"/>
    <n v="171"/>
    <s v="171. El Salvador"/>
  </r>
  <r>
    <x v="32"/>
    <s v="International migrants"/>
    <n v="0"/>
    <n v="172"/>
    <s v="172. Eritrea"/>
  </r>
  <r>
    <x v="23"/>
    <s v="International migrants"/>
    <n v="0"/>
    <n v="173"/>
    <s v="173. Eswatini"/>
  </r>
  <r>
    <x v="22"/>
    <s v="International migrants"/>
    <n v="0"/>
    <n v="174"/>
    <s v="174. Faroe Islands"/>
  </r>
  <r>
    <x v="158"/>
    <s v="International migrants"/>
    <n v="0"/>
    <n v="175"/>
    <s v="175. Fiji"/>
  </r>
  <r>
    <x v="180"/>
    <s v="International migrants"/>
    <n v="0"/>
    <n v="176"/>
    <s v="176. French Polynesia"/>
  </r>
  <r>
    <x v="206"/>
    <s v="International migrants"/>
    <n v="0"/>
    <n v="177"/>
    <s v="177. Greenland"/>
  </r>
  <r>
    <x v="136"/>
    <s v="International migrants"/>
    <n v="0"/>
    <n v="178"/>
    <s v="178. Grenada"/>
  </r>
  <r>
    <x v="123"/>
    <s v="International migrants"/>
    <n v="0"/>
    <n v="179"/>
    <s v="179. Guinea-Bissau"/>
  </r>
  <r>
    <x v="29"/>
    <s v="International migrants"/>
    <n v="0"/>
    <n v="180"/>
    <s v="180. Haiti"/>
  </r>
  <r>
    <x v="118"/>
    <s v="International migrants"/>
    <n v="0"/>
    <n v="181"/>
    <s v="181. Honduras"/>
  </r>
  <r>
    <x v="24"/>
    <s v="International migrants"/>
    <n v="0"/>
    <n v="182"/>
    <s v="182. Isle of Man"/>
  </r>
  <r>
    <x v="99"/>
    <s v="International migrants"/>
    <n v="0"/>
    <n v="183"/>
    <s v="183. Jamaica"/>
  </r>
  <r>
    <x v="89"/>
    <s v="International migrants"/>
    <n v="0"/>
    <n v="184"/>
    <s v="184. Kiribati"/>
  </r>
  <r>
    <x v="7"/>
    <s v="International migrants"/>
    <n v="0"/>
    <n v="185"/>
    <s v="185. Lesotho"/>
  </r>
  <r>
    <x v="116"/>
    <s v="International migrants"/>
    <n v="0"/>
    <n v="186"/>
    <s v="186. Liechtenstein"/>
  </r>
  <r>
    <x v="18"/>
    <s v="International migrants"/>
    <n v="0"/>
    <n v="187"/>
    <s v="187. Madagascar"/>
  </r>
  <r>
    <x v="98"/>
    <s v="International migrants"/>
    <n v="0"/>
    <n v="188"/>
    <s v="188. Marshall Islands"/>
  </r>
  <r>
    <x v="85"/>
    <s v="International migrants"/>
    <n v="0"/>
    <n v="189"/>
    <s v="189. Mauritius"/>
  </r>
  <r>
    <x v="187"/>
    <s v="International migrants"/>
    <n v="0"/>
    <n v="190"/>
    <s v="190. Micronesia, Fed. Sts."/>
  </r>
  <r>
    <x v="234"/>
    <s v="International migrants"/>
    <n v="0"/>
    <n v="191"/>
    <s v="191. Monaco"/>
  </r>
  <r>
    <x v="25"/>
    <s v="International migrants"/>
    <n v="0"/>
    <n v="192"/>
    <s v="192. Mongolia"/>
  </r>
  <r>
    <x v="148"/>
    <s v="International migrants"/>
    <n v="0"/>
    <n v="193"/>
    <s v="193. Nauru"/>
  </r>
  <r>
    <x v="88"/>
    <s v="International migrants"/>
    <n v="0"/>
    <n v="194"/>
    <s v="194. Nicaragua"/>
  </r>
  <r>
    <x v="203"/>
    <s v="International migrants"/>
    <n v="0"/>
    <n v="195"/>
    <s v="195. Northern Mariana Islands"/>
  </r>
  <r>
    <x v="178"/>
    <s v="International migrants"/>
    <n v="0"/>
    <n v="196"/>
    <s v="196. Palau"/>
  </r>
  <r>
    <x v="199"/>
    <s v="International migrants"/>
    <n v="0"/>
    <n v="197"/>
    <s v="197. Papua New Guinea"/>
  </r>
  <r>
    <x v="156"/>
    <s v="International migrants"/>
    <n v="0"/>
    <n v="198"/>
    <s v="198. Samoa"/>
  </r>
  <r>
    <x v="101"/>
    <s v="International migrants"/>
    <n v="0"/>
    <n v="199"/>
    <s v="199. San Marino"/>
  </r>
  <r>
    <x v="77"/>
    <s v="International migrants"/>
    <n v="0"/>
    <n v="200"/>
    <s v="200. Sao Tome and Principe"/>
  </r>
  <r>
    <x v="198"/>
    <s v="International migrants"/>
    <n v="0"/>
    <n v="201"/>
    <s v="201. Seychelles"/>
  </r>
  <r>
    <x v="50"/>
    <s v="International migrants"/>
    <n v="0"/>
    <n v="202"/>
    <s v="202. Sierra Leone"/>
  </r>
  <r>
    <x v="235"/>
    <s v="International migrants"/>
    <n v="0"/>
    <n v="203"/>
    <s v="203. Sint Maarten (Dutch part)"/>
  </r>
  <r>
    <x v="194"/>
    <s v="International migrants"/>
    <n v="0"/>
    <n v="204"/>
    <s v="204. Solomon Islands"/>
  </r>
  <r>
    <x v="64"/>
    <s v="International migrants"/>
    <n v="0"/>
    <n v="205"/>
    <s v="205. Sri Lanka"/>
  </r>
  <r>
    <x v="139"/>
    <s v="International migrants"/>
    <n v="0"/>
    <n v="206"/>
    <s v="206. St. Kitts and Nevis"/>
  </r>
  <r>
    <x v="159"/>
    <s v="International migrants"/>
    <n v="0"/>
    <n v="207"/>
    <s v="207. St. Lucia"/>
  </r>
  <r>
    <x v="155"/>
    <s v="International migrants"/>
    <n v="0"/>
    <n v="208"/>
    <s v="208. St. Vincent and the Grenadines"/>
  </r>
  <r>
    <x v="140"/>
    <s v="International migrants"/>
    <n v="0"/>
    <n v="209"/>
    <s v="209. Timor-Leste"/>
  </r>
  <r>
    <x v="65"/>
    <s v="International migrants"/>
    <n v="0"/>
    <n v="210"/>
    <s v="210. Tonga"/>
  </r>
  <r>
    <x v="204"/>
    <s v="International migrants"/>
    <n v="0"/>
    <n v="211"/>
    <s v="211. Turks and Caicos Islands"/>
  </r>
  <r>
    <x v="39"/>
    <s v="International migrants"/>
    <n v="0"/>
    <n v="212"/>
    <s v="212. Tuvalu"/>
  </r>
  <r>
    <x v="163"/>
    <s v="International migrants"/>
    <n v="0"/>
    <n v="213"/>
    <s v="213. Vanuatu"/>
  </r>
  <r>
    <x v="189"/>
    <s v="International migrants share"/>
    <n v="76.7"/>
    <n v="1"/>
    <s v="1. Qatar"/>
  </r>
  <r>
    <x v="191"/>
    <s v="International migrants share"/>
    <n v="74"/>
    <n v="2"/>
    <s v="2. United Arab Emirates"/>
  </r>
  <r>
    <x v="234"/>
    <s v="International migrants share"/>
    <n v="70.2"/>
    <n v="3"/>
    <s v="3. Monaco"/>
  </r>
  <r>
    <x v="235"/>
    <s v="International migrants share"/>
    <n v="69.5"/>
    <n v="4"/>
    <s v="4. Sint Maarten (Dutch part)"/>
  </r>
  <r>
    <x v="116"/>
    <s v="International migrants share"/>
    <n v="69.400000000000006"/>
    <n v="5"/>
    <s v="5. Liechtenstein"/>
  </r>
  <r>
    <x v="172"/>
    <s v="International migrants share"/>
    <n v="68"/>
    <n v="6"/>
    <s v="6. Aruba"/>
  </r>
  <r>
    <x v="183"/>
    <s v="International migrants share"/>
    <n v="67.3"/>
    <n v="7"/>
    <s v="7. Kuwait"/>
  </r>
  <r>
    <x v="177"/>
    <s v="International migrants share"/>
    <n v="66.900000000000006"/>
    <n v="8"/>
    <s v="8. Virgin Islands (U.S.)"/>
  </r>
  <r>
    <x v="204"/>
    <s v="International migrants share"/>
    <n v="61.1"/>
    <n v="9"/>
    <s v="9. Turks and Caicos Islands"/>
  </r>
  <r>
    <x v="208"/>
    <s v="International migrants share"/>
    <n v="59.3"/>
    <n v="10"/>
    <s v="10. Macao SAR, China"/>
  </r>
  <r>
    <x v="95"/>
    <s v="International migrants share"/>
    <n v="59.1"/>
    <n v="11"/>
    <s v="11. Andorra"/>
  </r>
  <r>
    <x v="174"/>
    <s v="International migrants share"/>
    <n v="52.3"/>
    <n v="12"/>
    <s v="12. Bahrain"/>
  </r>
  <r>
    <x v="24"/>
    <s v="International migrants share"/>
    <n v="51.9"/>
    <n v="13"/>
    <s v="13. Isle of Man"/>
  </r>
  <r>
    <x v="57"/>
    <s v="International migrants share"/>
    <n v="51.2"/>
    <n v="14"/>
    <s v="14. Luxembourg"/>
  </r>
  <r>
    <x v="238"/>
    <s v="International migrants share"/>
    <n v="50.9"/>
    <n v="15"/>
    <s v="15. Channel Islands"/>
  </r>
  <r>
    <x v="164"/>
    <s v="International migrants share"/>
    <n v="50.6"/>
    <n v="16"/>
    <s v="16. American Samoa"/>
  </r>
  <r>
    <x v="124"/>
    <s v="International migrants share"/>
    <n v="50.2"/>
    <n v="17"/>
    <s v="17. Guam"/>
  </r>
  <r>
    <x v="203"/>
    <s v="International migrants share"/>
    <n v="49.7"/>
    <n v="18"/>
    <s v="18. Northern Mariana Islands"/>
  </r>
  <r>
    <x v="205"/>
    <s v="International migrants share"/>
    <n v="48.7"/>
    <n v="19"/>
    <s v="19. Singapore"/>
  </r>
  <r>
    <x v="170"/>
    <s v="International migrants share"/>
    <n v="45.7"/>
    <n v="20"/>
    <s v="20. Jordan"/>
  </r>
  <r>
    <x v="192"/>
    <s v="International migrants share"/>
    <n v="43.2"/>
    <n v="21"/>
    <s v="21. Oman"/>
  </r>
  <r>
    <x v="237"/>
    <s v="International migrants share"/>
    <n v="43.1"/>
    <n v="22"/>
    <s v="22. Curacao"/>
  </r>
  <r>
    <x v="171"/>
    <s v="International migrants share"/>
    <n v="42.9"/>
    <n v="23"/>
    <s v="23. Cayman Islands"/>
  </r>
  <r>
    <x v="195"/>
    <s v="International migrants share"/>
    <n v="41.3"/>
    <n v="24"/>
    <s v="24. Hong Kong SAR, China"/>
  </r>
  <r>
    <x v="4"/>
    <s v="International migrants share"/>
    <n v="40.299999999999997"/>
    <n v="25"/>
    <s v="25. Saudi Arabia"/>
  </r>
  <r>
    <x v="133"/>
    <s v="International migrants share"/>
    <n v="37"/>
    <n v="26"/>
    <s v="26. Malta"/>
  </r>
  <r>
    <x v="146"/>
    <s v="International migrants share"/>
    <n v="32.5"/>
    <n v="27"/>
    <s v="27. Antigua and Barbuda"/>
  </r>
  <r>
    <x v="190"/>
    <s v="International migrants share"/>
    <n v="31.2"/>
    <n v="28"/>
    <s v="28. Bermuda"/>
  </r>
  <r>
    <x v="104"/>
    <s v="International migrants share"/>
    <n v="31.1"/>
    <n v="29"/>
    <s v="29. Switzerland"/>
  </r>
  <r>
    <x v="68"/>
    <s v="International migrants share"/>
    <n v="30.4"/>
    <n v="30"/>
    <s v="30. Australia"/>
  </r>
  <r>
    <x v="178"/>
    <s v="International migrants share"/>
    <n v="29.5"/>
    <n v="31"/>
    <s v="31. Palau"/>
  </r>
  <r>
    <x v="106"/>
    <s v="International migrants share"/>
    <n v="28.2"/>
    <n v="32"/>
    <s v="32. New Zealand"/>
  </r>
  <r>
    <x v="175"/>
    <s v="International migrants share"/>
    <n v="26.2"/>
    <n v="33"/>
    <s v="33. New Caledonia"/>
  </r>
  <r>
    <x v="201"/>
    <s v="International migrants share"/>
    <n v="25.9"/>
    <n v="34"/>
    <s v="34. Brunei Darussalam"/>
  </r>
  <r>
    <x v="120"/>
    <s v="International migrants share"/>
    <n v="25.5"/>
    <n v="35"/>
    <s v="35. Austria"/>
  </r>
  <r>
    <x v="160"/>
    <s v="International migrants share"/>
    <n v="25.1"/>
    <n v="36"/>
    <s v="36. Iceland"/>
  </r>
  <r>
    <x v="27"/>
    <s v="International migrants share"/>
    <n v="24.5"/>
    <n v="37"/>
    <s v="37. Lebanon"/>
  </r>
  <r>
    <x v="36"/>
    <s v="International migrants share"/>
    <n v="23.1"/>
    <n v="38"/>
    <s v="38. Ireland"/>
  </r>
  <r>
    <x v="134"/>
    <s v="International migrants share"/>
    <n v="22.3"/>
    <n v="39"/>
    <s v="39. Israel"/>
  </r>
  <r>
    <x v="188"/>
    <s v="International migrants share"/>
    <n v="22.2"/>
    <n v="40"/>
    <s v="40. Canada"/>
  </r>
  <r>
    <x v="186"/>
    <s v="International migrants share"/>
    <n v="21.4"/>
    <n v="41"/>
    <s v="41. Sweden"/>
  </r>
  <r>
    <x v="148"/>
    <s v="International migrants share"/>
    <n v="21.3"/>
    <n v="42"/>
    <s v="42. Nauru"/>
  </r>
  <r>
    <x v="79"/>
    <s v="International migrants share"/>
    <n v="20"/>
    <n v="43"/>
    <s v="43. Belgium"/>
  </r>
  <r>
    <x v="67"/>
    <s v="International migrants share"/>
    <n v="19.8"/>
    <n v="44"/>
    <s v="44. Germany"/>
  </r>
  <r>
    <x v="61"/>
    <s v="International migrants share"/>
    <n v="18.5"/>
    <n v="45"/>
    <s v="45. Spain"/>
  </r>
  <r>
    <x v="200"/>
    <s v="International migrants share"/>
    <n v="18.2"/>
    <n v="46"/>
    <s v="46. Norway"/>
  </r>
  <r>
    <x v="182"/>
    <s v="International migrants share"/>
    <n v="17.7"/>
    <n v="47"/>
    <s v="47. Gabon"/>
  </r>
  <r>
    <x v="101"/>
    <s v="International migrants share"/>
    <n v="17.399999999999999"/>
    <n v="48"/>
    <s v="48. San Marino"/>
  </r>
  <r>
    <x v="20"/>
    <s v="International migrants share"/>
    <n v="17.100000000000001"/>
    <n v="49"/>
    <s v="49. United Kingdom"/>
  </r>
  <r>
    <x v="139"/>
    <s v="International migrants share"/>
    <n v="17"/>
    <n v="50"/>
    <s v="50. St. Kitts and Nevis"/>
  </r>
  <r>
    <x v="202"/>
    <s v="International migrants share"/>
    <n v="16.8"/>
    <n v="51"/>
    <s v="51. Bahamas, The"/>
  </r>
  <r>
    <x v="184"/>
    <s v="International migrants share"/>
    <n v="16.5"/>
    <n v="52"/>
    <s v="52. Belize"/>
  </r>
  <r>
    <x v="53"/>
    <s v="International migrants share"/>
    <n v="16.2"/>
    <n v="53"/>
    <s v="53. Netherlands"/>
  </r>
  <r>
    <x v="72"/>
    <s v="International migrants share"/>
    <n v="15.2"/>
    <n v="54"/>
    <s v="54. United States"/>
  </r>
  <r>
    <x v="166"/>
    <s v="International migrants share"/>
    <n v="14.9"/>
    <n v="55"/>
    <s v="55. Cyprus"/>
  </r>
  <r>
    <x v="138"/>
    <s v="International migrants share"/>
    <n v="14.9"/>
    <n v="56"/>
    <s v="56. Estonia"/>
  </r>
  <r>
    <x v="122"/>
    <s v="International migrants share"/>
    <n v="14.9"/>
    <n v="57"/>
    <s v="57. Slovenia"/>
  </r>
  <r>
    <x v="22"/>
    <s v="International migrants share"/>
    <n v="14.6"/>
    <n v="58"/>
    <s v="58. Faroe Islands"/>
  </r>
  <r>
    <x v="152"/>
    <s v="International migrants share"/>
    <n v="14.4"/>
    <n v="59"/>
    <s v="59. Montenegro"/>
  </r>
  <r>
    <x v="28"/>
    <s v="International migrants share"/>
    <n v="14.2"/>
    <n v="60"/>
    <s v="60. Denmark"/>
  </r>
  <r>
    <x v="92"/>
    <s v="International migrants share"/>
    <n v="14.2"/>
    <n v="61"/>
    <s v="61. Greece"/>
  </r>
  <r>
    <x v="150"/>
    <s v="International migrants share"/>
    <n v="14.2"/>
    <n v="62"/>
    <s v="62. Maldives"/>
  </r>
  <r>
    <x v="56"/>
    <s v="International migrants share"/>
    <n v="13.8"/>
    <n v="63"/>
    <s v="63. France"/>
  </r>
  <r>
    <x v="130"/>
    <s v="International migrants share"/>
    <n v="13.6"/>
    <n v="64"/>
    <s v="64. Croatia"/>
  </r>
  <r>
    <x v="17"/>
    <s v="International migrants share"/>
    <n v="13.4"/>
    <n v="65"/>
    <s v="65. Ukraine"/>
  </r>
  <r>
    <x v="196"/>
    <s v="International migrants share"/>
    <n v="13.2"/>
    <n v="66"/>
    <s v="66. Equatorial Guinea"/>
  </r>
  <r>
    <x v="114"/>
    <s v="International migrants share"/>
    <n v="12.7"/>
    <n v="67"/>
    <s v="67. Dominica"/>
  </r>
  <r>
    <x v="137"/>
    <s v="International migrants share"/>
    <n v="12.5"/>
    <n v="68"/>
    <s v="68. Barbados"/>
  </r>
  <r>
    <x v="115"/>
    <s v="International migrants share"/>
    <n v="12.2"/>
    <n v="69"/>
    <s v="69. Costa Rica"/>
  </r>
  <r>
    <x v="181"/>
    <s v="International migrants share"/>
    <n v="12.2"/>
    <n v="70"/>
    <s v="70. Libya"/>
  </r>
  <r>
    <x v="119"/>
    <s v="International migrants share"/>
    <n v="11.8"/>
    <n v="71"/>
    <s v="71. Latvia"/>
  </r>
  <r>
    <x v="96"/>
    <s v="International migrants share"/>
    <n v="11.6"/>
    <n v="72"/>
    <s v="72. Belarus"/>
  </r>
  <r>
    <x v="81"/>
    <s v="International migrants share"/>
    <n v="11"/>
    <n v="73"/>
    <s v="73. Italy"/>
  </r>
  <r>
    <x v="12"/>
    <s v="International migrants share"/>
    <n v="10.8"/>
    <n v="74"/>
    <s v="74. Djibouti"/>
  </r>
  <r>
    <x v="83"/>
    <s v="International migrants share"/>
    <n v="10.8"/>
    <n v="75"/>
    <s v="75. Portugal"/>
  </r>
  <r>
    <x v="180"/>
    <s v="International migrants share"/>
    <n v="10.7"/>
    <n v="76"/>
    <s v="76. French Polynesia"/>
  </r>
  <r>
    <x v="131"/>
    <s v="International migrants share"/>
    <n v="10.7"/>
    <n v="77"/>
    <s v="77. Malaysia"/>
  </r>
  <r>
    <x v="125"/>
    <s v="International migrants share"/>
    <n v="10.6"/>
    <n v="78"/>
    <s v="78. Panama"/>
  </r>
  <r>
    <x v="93"/>
    <s v="International migrants share"/>
    <n v="10.6"/>
    <n v="79"/>
    <s v="79. Serbia"/>
  </r>
  <r>
    <x v="206"/>
    <s v="International migrants share"/>
    <n v="10.4"/>
    <n v="80"/>
    <s v="80. Greenland"/>
  </r>
  <r>
    <x v="198"/>
    <s v="International migrants share"/>
    <n v="10.199999999999999"/>
    <n v="81"/>
    <s v="81. Seychelles"/>
  </r>
  <r>
    <x v="5"/>
    <s v="International migrants share"/>
    <n v="10.1"/>
    <n v="82"/>
    <s v="82. Kazakhstan"/>
  </r>
  <r>
    <x v="74"/>
    <s v="International migrants share"/>
    <n v="9.5"/>
    <n v="83"/>
    <s v="83. Czechia"/>
  </r>
  <r>
    <x v="40"/>
    <s v="International migrants share"/>
    <n v="9.1999999999999993"/>
    <n v="84"/>
    <s v="84. Armenia"/>
  </r>
  <r>
    <x v="185"/>
    <s v="International migrants share"/>
    <n v="9.1999999999999993"/>
    <n v="85"/>
    <s v="85. Finland"/>
  </r>
  <r>
    <x v="0"/>
    <s v="International migrants share"/>
    <n v="9"/>
    <n v="86"/>
    <s v="86. Cote d'Ivoire"/>
  </r>
  <r>
    <x v="98"/>
    <s v="International migrants share"/>
    <n v="8.8000000000000007"/>
    <n v="87"/>
    <s v="87. Marshall Islands"/>
  </r>
  <r>
    <x v="33"/>
    <s v="International migrants share"/>
    <n v="8.6"/>
    <n v="88"/>
    <s v="88. Gambia, The"/>
  </r>
  <r>
    <x v="60"/>
    <s v="International migrants share"/>
    <n v="8.3000000000000007"/>
    <n v="89"/>
    <s v="89. North Macedonia"/>
  </r>
  <r>
    <x v="207"/>
    <s v="International migrants share"/>
    <n v="8.1999999999999993"/>
    <n v="90"/>
    <s v="90. Suriname"/>
  </r>
  <r>
    <x v="59"/>
    <s v="International migrants share"/>
    <n v="8.1"/>
    <n v="91"/>
    <s v="91. Turkiye"/>
  </r>
  <r>
    <x v="165"/>
    <s v="International migrants share"/>
    <n v="7.8"/>
    <n v="92"/>
    <s v="92. Chile"/>
  </r>
  <r>
    <x v="76"/>
    <s v="International migrants share"/>
    <n v="7.7"/>
    <n v="93"/>
    <s v="93. South Sudan"/>
  </r>
  <r>
    <x v="173"/>
    <s v="International migrants share"/>
    <n v="7.5"/>
    <n v="94"/>
    <s v="94. Trinidad and Tobago"/>
  </r>
  <r>
    <x v="45"/>
    <s v="International migrants share"/>
    <n v="7.1"/>
    <n v="95"/>
    <s v="95. Hungary"/>
  </r>
  <r>
    <x v="167"/>
    <s v="International migrants share"/>
    <n v="7"/>
    <n v="96"/>
    <s v="96. Bhutan"/>
  </r>
  <r>
    <x v="154"/>
    <s v="International migrants share"/>
    <n v="6.9"/>
    <n v="97"/>
    <s v="97. Puerto Rico (US)"/>
  </r>
  <r>
    <x v="47"/>
    <s v="International migrants share"/>
    <n v="6.5"/>
    <n v="98"/>
    <s v="98. Dominican Republic"/>
  </r>
  <r>
    <x v="197"/>
    <s v="International migrants share"/>
    <n v="6.5"/>
    <n v="99"/>
    <s v="99. Guyana"/>
  </r>
  <r>
    <x v="94"/>
    <s v="International migrants share"/>
    <n v="6.3"/>
    <n v="100"/>
    <s v="100. Chad"/>
  </r>
  <r>
    <x v="136"/>
    <s v="International migrants share"/>
    <n v="6.3"/>
    <n v="101"/>
    <s v="101. Grenada"/>
  </r>
  <r>
    <x v="10"/>
    <s v="International migrants share"/>
    <n v="6.2"/>
    <n v="102"/>
    <s v="102. Moldova"/>
  </r>
  <r>
    <x v="121"/>
    <s v="International migrants share"/>
    <n v="6.1"/>
    <n v="103"/>
    <s v="103. Congo, Rep."/>
  </r>
  <r>
    <x v="73"/>
    <s v="International migrants share"/>
    <n v="6.1"/>
    <n v="104"/>
    <s v="104. Lithuania"/>
  </r>
  <r>
    <x v="103"/>
    <s v="International migrants share"/>
    <n v="5.9"/>
    <n v="105"/>
    <s v="105. Slovak Republic"/>
  </r>
  <r>
    <x v="108"/>
    <s v="International migrants share"/>
    <n v="5.8"/>
    <n v="106"/>
    <s v="106. Colombia"/>
  </r>
  <r>
    <x v="153"/>
    <s v="International migrants share"/>
    <n v="5.4"/>
    <n v="107"/>
    <s v="107. Peru"/>
  </r>
  <r>
    <x v="168"/>
    <s v="International migrants share"/>
    <n v="5.3"/>
    <n v="108"/>
    <s v="108. Russian Federation"/>
  </r>
  <r>
    <x v="30"/>
    <s v="International migrants share"/>
    <n v="5"/>
    <n v="109"/>
    <s v="109. West Bank and Gaza"/>
  </r>
  <r>
    <x v="155"/>
    <s v="International migrants share"/>
    <n v="4.8"/>
    <n v="110"/>
    <s v="110. St. Vincent and the Grenadines"/>
  </r>
  <r>
    <x v="37"/>
    <s v="International migrants share"/>
    <n v="4.8"/>
    <n v="111"/>
    <s v="111. Sudan"/>
  </r>
  <r>
    <x v="3"/>
    <s v="International migrants share"/>
    <n v="4.7"/>
    <n v="112"/>
    <s v="112. Uruguay"/>
  </r>
  <r>
    <x v="75"/>
    <s v="International migrants share"/>
    <n v="4.5999999999999996"/>
    <n v="113"/>
    <s v="113. Botswana"/>
  </r>
  <r>
    <x v="66"/>
    <s v="International migrants share"/>
    <n v="4.5"/>
    <n v="114"/>
    <s v="114. Poland"/>
  </r>
  <r>
    <x v="159"/>
    <s v="International migrants share"/>
    <n v="4.5"/>
    <n v="115"/>
    <s v="115. St. Lucia"/>
  </r>
  <r>
    <x v="71"/>
    <s v="International migrants share"/>
    <n v="4.4000000000000004"/>
    <n v="116"/>
    <s v="116. Bulgaria"/>
  </r>
  <r>
    <x v="82"/>
    <s v="International migrants share"/>
    <n v="4.4000000000000004"/>
    <n v="117"/>
    <s v="117. Thailand"/>
  </r>
  <r>
    <x v="135"/>
    <s v="International migrants share"/>
    <n v="4.4000000000000004"/>
    <n v="118"/>
    <s v="118. Venezuela, RB"/>
  </r>
  <r>
    <x v="87"/>
    <s v="International migrants share"/>
    <n v="4.3"/>
    <n v="119"/>
    <s v="119. Argentina"/>
  </r>
  <r>
    <x v="127"/>
    <s v="International migrants share"/>
    <n v="4.2"/>
    <n v="120"/>
    <s v="120. Iran, Islamic Rep."/>
  </r>
  <r>
    <x v="144"/>
    <s v="International migrants share"/>
    <n v="4.0999999999999996"/>
    <n v="121"/>
    <s v="121. Ecuador"/>
  </r>
  <r>
    <x v="6"/>
    <s v="International migrants share"/>
    <n v="4.0999999999999996"/>
    <n v="122"/>
    <s v="122. South Africa"/>
  </r>
  <r>
    <x v="15"/>
    <s v="International migrants share"/>
    <n v="4.0999999999999996"/>
    <n v="123"/>
    <s v="123. Uganda"/>
  </r>
  <r>
    <x v="100"/>
    <s v="International migrants share"/>
    <n v="3.8"/>
    <n v="124"/>
    <s v="124. Mauritania"/>
  </r>
  <r>
    <x v="69"/>
    <s v="International migrants share"/>
    <n v="3.8"/>
    <n v="125"/>
    <s v="125. Namibia"/>
  </r>
  <r>
    <x v="8"/>
    <s v="International migrants share"/>
    <n v="3.6"/>
    <n v="126"/>
    <s v="126. Rwanda"/>
  </r>
  <r>
    <x v="11"/>
    <s v="International migrants share"/>
    <n v="3.6"/>
    <n v="127"/>
    <s v="127. Syrian Arab Republic"/>
  </r>
  <r>
    <x v="161"/>
    <s v="International migrants share"/>
    <n v="3.5"/>
    <n v="128"/>
    <s v="128. Korea, Rep."/>
  </r>
  <r>
    <x v="49"/>
    <s v="International migrants share"/>
    <n v="3.4"/>
    <n v="129"/>
    <s v="129. Romania"/>
  </r>
  <r>
    <x v="65"/>
    <s v="International migrants share"/>
    <n v="3.4"/>
    <n v="130"/>
    <s v="130. Tonga"/>
  </r>
  <r>
    <x v="42"/>
    <s v="International migrants share"/>
    <n v="3.2"/>
    <n v="131"/>
    <s v="131. Uzbekistan"/>
  </r>
  <r>
    <x v="54"/>
    <s v="International migrants share"/>
    <n v="3.1"/>
    <n v="132"/>
    <s v="132. Burkina Faso"/>
  </r>
  <r>
    <x v="151"/>
    <s v="International migrants share"/>
    <n v="3.1"/>
    <n v="133"/>
    <s v="133. Cabo Verde"/>
  </r>
  <r>
    <x v="21"/>
    <s v="International migrants share"/>
    <n v="3"/>
    <n v="134"/>
    <s v="134. Togo"/>
  </r>
  <r>
    <x v="90"/>
    <s v="International migrants share"/>
    <n v="2.9"/>
    <n v="135"/>
    <s v="135. Benin"/>
  </r>
  <r>
    <x v="2"/>
    <s v="International migrants share"/>
    <n v="2.8"/>
    <n v="136"/>
    <s v="136. Burundi"/>
  </r>
  <r>
    <x v="169"/>
    <s v="International migrants share"/>
    <n v="2.8"/>
    <n v="137"/>
    <s v="137. Japan"/>
  </r>
  <r>
    <x v="23"/>
    <s v="International migrants share"/>
    <n v="2.7"/>
    <n v="138"/>
    <s v="138. Eswatini"/>
  </r>
  <r>
    <x v="52"/>
    <s v="International migrants share"/>
    <n v="2.7"/>
    <n v="139"/>
    <s v="139. Kyrgyz Republic"/>
  </r>
  <r>
    <x v="187"/>
    <s v="International migrants share"/>
    <n v="2.6"/>
    <n v="140"/>
    <s v="140. Micronesia, Fed. Sts."/>
  </r>
  <r>
    <x v="51"/>
    <s v="International migrants share"/>
    <n v="2.6"/>
    <n v="141"/>
    <s v="141. Paraguay"/>
  </r>
  <r>
    <x v="129"/>
    <s v="International migrants share"/>
    <n v="2.6"/>
    <n v="142"/>
    <s v="142. Tajikistan"/>
  </r>
  <r>
    <x v="1"/>
    <s v="International migrants share"/>
    <n v="2.6"/>
    <n v="143"/>
    <s v="143. Turkmenistan"/>
  </r>
  <r>
    <x v="39"/>
    <s v="International migrants share"/>
    <n v="2.6"/>
    <n v="144"/>
    <s v="144. Tuvalu"/>
  </r>
  <r>
    <x v="91"/>
    <s v="International migrants share"/>
    <n v="2.6"/>
    <n v="145"/>
    <s v="145. Zimbabwe"/>
  </r>
  <r>
    <x v="89"/>
    <s v="International migrants share"/>
    <n v="2.5"/>
    <n v="146"/>
    <s v="146. Kiribati"/>
  </r>
  <r>
    <x v="85"/>
    <s v="International migrants share"/>
    <n v="2.2999999999999998"/>
    <n v="147"/>
    <s v="147. Mauritius"/>
  </r>
  <r>
    <x v="145"/>
    <s v="International migrants share"/>
    <n v="2.2000000000000002"/>
    <n v="148"/>
    <s v="148. Cameroon"/>
  </r>
  <r>
    <x v="110"/>
    <s v="International migrants share"/>
    <n v="2.2000000000000002"/>
    <n v="149"/>
    <s v="149. Mali"/>
  </r>
  <r>
    <x v="43"/>
    <s v="International migrants share"/>
    <n v="2.1"/>
    <n v="150"/>
    <s v="150. Azerbaijan"/>
  </r>
  <r>
    <x v="113"/>
    <s v="International migrants share"/>
    <n v="2.1"/>
    <n v="151"/>
    <s v="151. Georgia"/>
  </r>
  <r>
    <x v="105"/>
    <s v="International migrants share"/>
    <n v="1.8"/>
    <n v="152"/>
    <s v="152. Angola"/>
  </r>
  <r>
    <x v="179"/>
    <s v="International migrants share"/>
    <n v="1.8"/>
    <n v="153"/>
    <s v="153. Central African Republic"/>
  </r>
  <r>
    <x v="62"/>
    <s v="International migrants share"/>
    <n v="1.8"/>
    <n v="154"/>
    <s v="154. Kenya"/>
  </r>
  <r>
    <x v="156"/>
    <s v="International migrants share"/>
    <n v="1.8"/>
    <n v="155"/>
    <s v="155. Samoa"/>
  </r>
  <r>
    <x v="102"/>
    <s v="International migrants share"/>
    <n v="1.7"/>
    <n v="156"/>
    <s v="156. Albania"/>
  </r>
  <r>
    <x v="14"/>
    <s v="International migrants share"/>
    <n v="1.7"/>
    <n v="157"/>
    <s v="157. Bangladesh"/>
  </r>
  <r>
    <x v="107"/>
    <s v="International migrants share"/>
    <n v="1.7"/>
    <n v="158"/>
    <s v="158. Niger"/>
  </r>
  <r>
    <x v="70"/>
    <s v="International migrants share"/>
    <n v="1.7"/>
    <n v="159"/>
    <s v="159. Pakistan"/>
  </r>
  <r>
    <x v="132"/>
    <s v="International migrants share"/>
    <n v="1.6"/>
    <n v="160"/>
    <s v="160. Nepal"/>
  </r>
  <r>
    <x v="109"/>
    <s v="International migrants share"/>
    <n v="1.5"/>
    <n v="161"/>
    <s v="161. Bolivia"/>
  </r>
  <r>
    <x v="158"/>
    <s v="International migrants share"/>
    <n v="1.5"/>
    <n v="162"/>
    <s v="162. Fiji"/>
  </r>
  <r>
    <x v="48"/>
    <s v="International migrants share"/>
    <n v="1.5"/>
    <n v="163"/>
    <s v="163. Ghana"/>
  </r>
  <r>
    <x v="63"/>
    <s v="International migrants share"/>
    <n v="1.5"/>
    <n v="164"/>
    <s v="164. Senegal"/>
  </r>
  <r>
    <x v="16"/>
    <s v="International migrants share"/>
    <n v="1.4"/>
    <n v="165"/>
    <s v="165. Comoros"/>
  </r>
  <r>
    <x v="147"/>
    <s v="International migrants share"/>
    <n v="1.3"/>
    <n v="166"/>
    <s v="166. Liberia"/>
  </r>
  <r>
    <x v="58"/>
    <s v="International migrants share"/>
    <n v="1.3"/>
    <n v="167"/>
    <s v="167. Mexico"/>
  </r>
  <r>
    <x v="117"/>
    <s v="International migrants share"/>
    <n v="1.2"/>
    <n v="168"/>
    <s v="168. Zambia"/>
  </r>
  <r>
    <x v="142"/>
    <s v="International migrants share"/>
    <n v="1.1000000000000001"/>
    <n v="169"/>
    <s v="169. Bosnia and Herzegovina"/>
  </r>
  <r>
    <x v="162"/>
    <s v="International migrants share"/>
    <n v="1"/>
    <n v="170"/>
    <s v="170. Congo, Dem. Rep."/>
  </r>
  <r>
    <x v="193"/>
    <s v="International migrants share"/>
    <n v="1"/>
    <n v="171"/>
    <s v="171. Egypt, Arab Rep."/>
  </r>
  <r>
    <x v="55"/>
    <s v="International migrants share"/>
    <n v="1"/>
    <n v="172"/>
    <s v="172. Mozambique"/>
  </r>
  <r>
    <x v="163"/>
    <s v="International migrants share"/>
    <n v="1"/>
    <n v="173"/>
    <s v="173. Vanuatu"/>
  </r>
  <r>
    <x v="80"/>
    <s v="International migrants share"/>
    <n v="1"/>
    <n v="174"/>
    <s v="174. Yemen, Rep."/>
  </r>
  <r>
    <x v="112"/>
    <s v="International migrants share"/>
    <n v="0.9"/>
    <n v="175"/>
    <s v="175. Ethiopia"/>
  </r>
  <r>
    <x v="31"/>
    <s v="International migrants share"/>
    <n v="0.9"/>
    <n v="176"/>
    <s v="176. Malawi"/>
  </r>
  <r>
    <x v="13"/>
    <s v="International migrants share"/>
    <n v="0.8"/>
    <n v="177"/>
    <s v="177. Guinea"/>
  </r>
  <r>
    <x v="141"/>
    <s v="International migrants share"/>
    <n v="0.8"/>
    <n v="178"/>
    <s v="178. Iraq"/>
  </r>
  <r>
    <x v="99"/>
    <s v="International migrants share"/>
    <n v="0.8"/>
    <n v="179"/>
    <s v="179. Jamaica"/>
  </r>
  <r>
    <x v="77"/>
    <s v="International migrants share"/>
    <n v="0.8"/>
    <n v="180"/>
    <s v="180. Sao Tome and Principe"/>
  </r>
  <r>
    <x v="128"/>
    <s v="International migrants share"/>
    <n v="0.7"/>
    <n v="181"/>
    <s v="181. Brazil"/>
  </r>
  <r>
    <x v="44"/>
    <s v="International migrants share"/>
    <n v="0.7"/>
    <n v="182"/>
    <s v="182. El Salvador"/>
  </r>
  <r>
    <x v="123"/>
    <s v="International migrants share"/>
    <n v="0.7"/>
    <n v="183"/>
    <s v="183. Guinea-Bissau"/>
  </r>
  <r>
    <x v="176"/>
    <s v="International migrants share"/>
    <n v="0.7"/>
    <n v="184"/>
    <s v="184. Lao PDR"/>
  </r>
  <r>
    <x v="78"/>
    <s v="International migrants share"/>
    <n v="0.7"/>
    <n v="185"/>
    <s v="185. Tanzania"/>
  </r>
  <r>
    <x v="157"/>
    <s v="International migrants share"/>
    <n v="0.6"/>
    <n v="186"/>
    <s v="186. Algeria"/>
  </r>
  <r>
    <x v="7"/>
    <s v="International migrants share"/>
    <n v="0.6"/>
    <n v="187"/>
    <s v="187. Lesotho"/>
  </r>
  <r>
    <x v="25"/>
    <s v="International migrants share"/>
    <n v="0.6"/>
    <n v="188"/>
    <s v="188. Mongolia"/>
  </r>
  <r>
    <x v="88"/>
    <s v="International migrants share"/>
    <n v="0.6"/>
    <n v="189"/>
    <s v="189. Nicaragua"/>
  </r>
  <r>
    <x v="9"/>
    <s v="International migrants share"/>
    <n v="0.6"/>
    <n v="190"/>
    <s v="190. Nigeria"/>
  </r>
  <r>
    <x v="50"/>
    <s v="International migrants share"/>
    <n v="0.6"/>
    <n v="191"/>
    <s v="191. Sierra Leone"/>
  </r>
  <r>
    <x v="140"/>
    <s v="International migrants share"/>
    <n v="0.6"/>
    <n v="192"/>
    <s v="192. Timor-Leste"/>
  </r>
  <r>
    <x v="111"/>
    <s v="International migrants share"/>
    <n v="0.5"/>
    <n v="193"/>
    <s v="193. Cambodia"/>
  </r>
  <r>
    <x v="84"/>
    <s v="International migrants share"/>
    <n v="0.5"/>
    <n v="194"/>
    <s v="194. Guatemala"/>
  </r>
  <r>
    <x v="34"/>
    <s v="International migrants share"/>
    <n v="0.5"/>
    <n v="195"/>
    <s v="195. Tunisia"/>
  </r>
  <r>
    <x v="32"/>
    <s v="International migrants share"/>
    <n v="0.4"/>
    <n v="196"/>
    <s v="196. Eritrea"/>
  </r>
  <r>
    <x v="118"/>
    <s v="International migrants share"/>
    <n v="0.4"/>
    <n v="197"/>
    <s v="197. Honduras"/>
  </r>
  <r>
    <x v="19"/>
    <s v="International migrants share"/>
    <n v="0.4"/>
    <n v="198"/>
    <s v="198. Somalia, Fed. Rep."/>
  </r>
  <r>
    <x v="38"/>
    <s v="International migrants share"/>
    <n v="0.3"/>
    <n v="199"/>
    <s v="199. India"/>
  </r>
  <r>
    <x v="26"/>
    <s v="International migrants share"/>
    <n v="0.3"/>
    <n v="200"/>
    <s v="200. Morocco"/>
  </r>
  <r>
    <x v="199"/>
    <s v="International migrants share"/>
    <n v="0.3"/>
    <n v="201"/>
    <s v="201. Papua New Guinea"/>
  </r>
  <r>
    <x v="194"/>
    <s v="International migrants share"/>
    <n v="0.3"/>
    <n v="202"/>
    <s v="202. Solomon Islands"/>
  </r>
  <r>
    <x v="97"/>
    <s v="International migrants share"/>
    <n v="0.3"/>
    <n v="203"/>
    <s v="203. Viet Nam"/>
  </r>
  <r>
    <x v="41"/>
    <s v="International migrants share"/>
    <n v="0.2"/>
    <n v="204"/>
    <s v="204. Afghanistan"/>
  </r>
  <r>
    <x v="29"/>
    <s v="International migrants share"/>
    <n v="0.2"/>
    <n v="205"/>
    <s v="205. Haiti"/>
  </r>
  <r>
    <x v="126"/>
    <s v="International migrants share"/>
    <n v="0.2"/>
    <n v="206"/>
    <s v="206. Indonesia"/>
  </r>
  <r>
    <x v="143"/>
    <s v="International migrants share"/>
    <n v="0.2"/>
    <n v="207"/>
    <s v="207. Korea, Dem. People's Rep."/>
  </r>
  <r>
    <x v="64"/>
    <s v="International migrants share"/>
    <n v="0.2"/>
    <n v="208"/>
    <s v="208. Sri Lanka"/>
  </r>
  <r>
    <x v="46"/>
    <s v="International migrants share"/>
    <n v="0.1"/>
    <n v="209"/>
    <s v="209. China"/>
  </r>
  <r>
    <x v="18"/>
    <s v="International migrants share"/>
    <n v="0.1"/>
    <n v="210"/>
    <s v="210. Madagascar"/>
  </r>
  <r>
    <x v="149"/>
    <s v="International migrants share"/>
    <n v="0.1"/>
    <n v="211"/>
    <s v="211. Myanmar"/>
  </r>
  <r>
    <x v="86"/>
    <s v="International migrants share"/>
    <n v="0.1"/>
    <n v="212"/>
    <s v="212. Philippines"/>
  </r>
  <r>
    <x v="168"/>
    <s v="Land area"/>
    <n v="16376.9"/>
    <n v="1"/>
    <s v="1. Russian Federation"/>
  </r>
  <r>
    <x v="46"/>
    <s v="Land area"/>
    <n v="9388.2000000000007"/>
    <n v="2"/>
    <s v="2. China"/>
  </r>
  <r>
    <x v="72"/>
    <s v="Land area"/>
    <n v="9147.4"/>
    <n v="3"/>
    <s v="3. United States"/>
  </r>
  <r>
    <x v="188"/>
    <s v="Land area"/>
    <n v="8788.7000000000007"/>
    <n v="4"/>
    <s v="4. Canada"/>
  </r>
  <r>
    <x v="128"/>
    <s v="Land area"/>
    <n v="8358.1"/>
    <n v="5"/>
    <s v="5. Brazil"/>
  </r>
  <r>
    <x v="68"/>
    <s v="Land area"/>
    <n v="7692"/>
    <n v="6"/>
    <s v="6. Australia"/>
  </r>
  <r>
    <x v="38"/>
    <s v="Land area"/>
    <n v="2973.2"/>
    <n v="7"/>
    <s v="7. India"/>
  </r>
  <r>
    <x v="87"/>
    <s v="Land area"/>
    <n v="2736.7"/>
    <n v="8"/>
    <s v="8. Argentina"/>
  </r>
  <r>
    <x v="5"/>
    <s v="Land area"/>
    <n v="2699.7"/>
    <n v="9"/>
    <s v="9. Kazakhstan"/>
  </r>
  <r>
    <x v="157"/>
    <s v="Land area"/>
    <n v="2381.6999999999998"/>
    <n v="10"/>
    <s v="10. Algeria"/>
  </r>
  <r>
    <x v="162"/>
    <s v="Land area"/>
    <n v="2267.1"/>
    <n v="11"/>
    <s v="11. Congo, Dem. Rep."/>
  </r>
  <r>
    <x v="4"/>
    <s v="Land area"/>
    <n v="2149.6999999999998"/>
    <n v="12"/>
    <s v="12. Saudi Arabia"/>
  </r>
  <r>
    <x v="58"/>
    <s v="Land area"/>
    <n v="1944"/>
    <n v="13"/>
    <s v="13. Mexico"/>
  </r>
  <r>
    <x v="126"/>
    <s v="Land area"/>
    <n v="1892.6"/>
    <n v="14"/>
    <s v="14. Indonesia"/>
  </r>
  <r>
    <x v="37"/>
    <s v="Land area"/>
    <n v="1868"/>
    <n v="15"/>
    <s v="15. Sudan"/>
  </r>
  <r>
    <x v="181"/>
    <s v="Land area"/>
    <n v="1759.5"/>
    <n v="16"/>
    <s v="16. Libya"/>
  </r>
  <r>
    <x v="127"/>
    <s v="Land area"/>
    <n v="1622.5"/>
    <n v="17"/>
    <s v="17. Iran, Islamic Rep."/>
  </r>
  <r>
    <x v="25"/>
    <s v="Land area"/>
    <n v="1558.5"/>
    <n v="18"/>
    <s v="18. Mongolia"/>
  </r>
  <r>
    <x v="153"/>
    <s v="Land area"/>
    <n v="1280"/>
    <n v="19"/>
    <s v="19. Peru"/>
  </r>
  <r>
    <x v="107"/>
    <s v="Land area"/>
    <n v="1266.7"/>
    <n v="20"/>
    <s v="20. Niger"/>
  </r>
  <r>
    <x v="94"/>
    <s v="Land area"/>
    <n v="1259.2"/>
    <n v="21"/>
    <s v="21. Chad"/>
  </r>
  <r>
    <x v="105"/>
    <s v="Land area"/>
    <n v="1246.7"/>
    <n v="22"/>
    <s v="22. Angola"/>
  </r>
  <r>
    <x v="110"/>
    <s v="Land area"/>
    <n v="1220.2"/>
    <n v="23"/>
    <s v="23. Mali"/>
  </r>
  <r>
    <x v="6"/>
    <s v="Land area"/>
    <n v="1213.0999999999999"/>
    <n v="24"/>
    <s v="24. South Africa"/>
  </r>
  <r>
    <x v="112"/>
    <s v="Land area"/>
    <n v="1128.5"/>
    <n v="25"/>
    <s v="25. Ethiopia"/>
  </r>
  <r>
    <x v="108"/>
    <s v="Land area"/>
    <n v="1109.5"/>
    <n v="26"/>
    <s v="26. Colombia"/>
  </r>
  <r>
    <x v="109"/>
    <s v="Land area"/>
    <n v="1083.3"/>
    <n v="27"/>
    <s v="27. Bolivia"/>
  </r>
  <r>
    <x v="100"/>
    <s v="Land area"/>
    <n v="1030.7"/>
    <n v="28"/>
    <s v="28. Mauritania"/>
  </r>
  <r>
    <x v="193"/>
    <s v="Land area"/>
    <n v="995.5"/>
    <n v="29"/>
    <s v="29. Egypt, Arab Rep."/>
  </r>
  <r>
    <x v="9"/>
    <s v="Land area"/>
    <n v="910.8"/>
    <n v="30"/>
    <s v="30. Nigeria"/>
  </r>
  <r>
    <x v="78"/>
    <s v="Land area"/>
    <n v="885.8"/>
    <n v="31"/>
    <s v="31. Tanzania"/>
  </r>
  <r>
    <x v="135"/>
    <s v="Land area"/>
    <n v="882.1"/>
    <n v="32"/>
    <s v="32. Venezuela, RB"/>
  </r>
  <r>
    <x v="69"/>
    <s v="Land area"/>
    <n v="823.3"/>
    <n v="33"/>
    <s v="33. Namibia"/>
  </r>
  <r>
    <x v="55"/>
    <s v="Land area"/>
    <n v="786.4"/>
    <n v="34"/>
    <s v="34. Mozambique"/>
  </r>
  <r>
    <x v="70"/>
    <s v="Land area"/>
    <n v="770.9"/>
    <n v="35"/>
    <s v="35. Pakistan"/>
  </r>
  <r>
    <x v="59"/>
    <s v="Land area"/>
    <n v="769.6"/>
    <n v="36"/>
    <s v="36. Turkiye"/>
  </r>
  <r>
    <x v="117"/>
    <s v="Land area"/>
    <n v="743.4"/>
    <n v="37"/>
    <s v="37. Zambia"/>
  </r>
  <r>
    <x v="165"/>
    <s v="Land area"/>
    <n v="742.8"/>
    <n v="38"/>
    <s v="38. Chile"/>
  </r>
  <r>
    <x v="149"/>
    <s v="Land area"/>
    <n v="652.70000000000005"/>
    <n v="39"/>
    <s v="39. Myanmar"/>
  </r>
  <r>
    <x v="41"/>
    <s v="Land area"/>
    <n v="652.20000000000005"/>
    <n v="40"/>
    <s v="40. Afghanistan"/>
  </r>
  <r>
    <x v="76"/>
    <s v="Land area"/>
    <n v="631.9"/>
    <n v="41"/>
    <s v="41. South Sudan"/>
  </r>
  <r>
    <x v="19"/>
    <s v="Land area"/>
    <n v="627.29999999999995"/>
    <n v="42"/>
    <s v="42. Somalia, Fed. Rep."/>
  </r>
  <r>
    <x v="179"/>
    <s v="Land area"/>
    <n v="623"/>
    <n v="43"/>
    <s v="43. Central African Republic"/>
  </r>
  <r>
    <x v="18"/>
    <s v="Land area"/>
    <n v="581.79999999999995"/>
    <n v="44"/>
    <s v="44. Madagascar"/>
  </r>
  <r>
    <x v="62"/>
    <s v="Land area"/>
    <n v="580.9"/>
    <n v="45"/>
    <s v="45. Kenya"/>
  </r>
  <r>
    <x v="17"/>
    <s v="Land area"/>
    <n v="579.4"/>
    <n v="46"/>
    <s v="46. Ukraine"/>
  </r>
  <r>
    <x v="75"/>
    <s v="Land area"/>
    <n v="566.70000000000005"/>
    <n v="47"/>
    <s v="47. Botswana"/>
  </r>
  <r>
    <x v="56"/>
    <s v="Land area"/>
    <n v="539"/>
    <n v="48"/>
    <s v="48. France"/>
  </r>
  <r>
    <x v="80"/>
    <s v="Land area"/>
    <n v="528"/>
    <n v="49"/>
    <s v="49. Yemen, Rep."/>
  </r>
  <r>
    <x v="82"/>
    <s v="Land area"/>
    <n v="510.9"/>
    <n v="50"/>
    <s v="50. Thailand"/>
  </r>
  <r>
    <x v="61"/>
    <s v="Land area"/>
    <n v="499.7"/>
    <n v="51"/>
    <s v="51. Spain"/>
  </r>
  <r>
    <x v="145"/>
    <s v="Land area"/>
    <n v="472.7"/>
    <n v="52"/>
    <s v="52. Cameroon"/>
  </r>
  <r>
    <x v="1"/>
    <s v="Land area"/>
    <n v="469.9"/>
    <n v="53"/>
    <s v="53. Turkmenistan"/>
  </r>
  <r>
    <x v="199"/>
    <s v="Land area"/>
    <n v="452.9"/>
    <n v="54"/>
    <s v="54. Papua New Guinea"/>
  </r>
  <r>
    <x v="26"/>
    <s v="Land area"/>
    <n v="446.3"/>
    <n v="55"/>
    <s v="55. Morocco"/>
  </r>
  <r>
    <x v="42"/>
    <s v="Land area"/>
    <n v="440.7"/>
    <n v="56"/>
    <s v="56. Uzbekistan"/>
  </r>
  <r>
    <x v="141"/>
    <s v="Land area"/>
    <n v="434.1"/>
    <n v="57"/>
    <s v="57. Iraq"/>
  </r>
  <r>
    <x v="206"/>
    <s v="Land area"/>
    <n v="410.5"/>
    <n v="58"/>
    <s v="58. Greenland"/>
  </r>
  <r>
    <x v="186"/>
    <s v="Land area"/>
    <n v="407.3"/>
    <n v="59"/>
    <s v="59. Sweden"/>
  </r>
  <r>
    <x v="51"/>
    <s v="Land area"/>
    <n v="396"/>
    <n v="60"/>
    <s v="60. Paraguay"/>
  </r>
  <r>
    <x v="91"/>
    <s v="Land area"/>
    <n v="386.9"/>
    <n v="61"/>
    <s v="61. Zimbabwe"/>
  </r>
  <r>
    <x v="169"/>
    <s v="Land area"/>
    <n v="364.6"/>
    <n v="62"/>
    <s v="62. Japan"/>
  </r>
  <r>
    <x v="200"/>
    <s v="Land area"/>
    <n v="364.3"/>
    <n v="63"/>
    <s v="63. Norway"/>
  </r>
  <r>
    <x v="67"/>
    <s v="Land area"/>
    <n v="349.4"/>
    <n v="64"/>
    <s v="64. Germany"/>
  </r>
  <r>
    <x v="121"/>
    <s v="Land area"/>
    <n v="341.5"/>
    <n v="65"/>
    <s v="65. Congo, Rep."/>
  </r>
  <r>
    <x v="131"/>
    <s v="Land area"/>
    <n v="328.6"/>
    <n v="66"/>
    <s v="66. Malaysia"/>
  </r>
  <r>
    <x v="0"/>
    <s v="Land area"/>
    <n v="318"/>
    <n v="67"/>
    <s v="67. Cote d'Ivoire"/>
  </r>
  <r>
    <x v="97"/>
    <s v="Land area"/>
    <n v="313.39999999999998"/>
    <n v="68"/>
    <s v="68. Viet Nam"/>
  </r>
  <r>
    <x v="192"/>
    <s v="Land area"/>
    <n v="309.5"/>
    <n v="69"/>
    <s v="69. Oman"/>
  </r>
  <r>
    <x v="66"/>
    <s v="Land area"/>
    <n v="306.3"/>
    <n v="70"/>
    <s v="70. Poland"/>
  </r>
  <r>
    <x v="185"/>
    <s v="Land area"/>
    <n v="304"/>
    <n v="71"/>
    <s v="71. Finland"/>
  </r>
  <r>
    <x v="86"/>
    <s v="Land area"/>
    <n v="298.2"/>
    <n v="72"/>
    <s v="72. Philippines"/>
  </r>
  <r>
    <x v="81"/>
    <s v="Land area"/>
    <n v="295.7"/>
    <n v="73"/>
    <s v="73. Italy"/>
  </r>
  <r>
    <x v="54"/>
    <s v="Land area"/>
    <n v="273.60000000000002"/>
    <n v="74"/>
    <s v="74. Burkina Faso"/>
  </r>
  <r>
    <x v="106"/>
    <s v="Land area"/>
    <n v="263.3"/>
    <n v="75"/>
    <s v="75. New Zealand"/>
  </r>
  <r>
    <x v="182"/>
    <s v="Land area"/>
    <n v="257.7"/>
    <n v="76"/>
    <s v="76. Gabon"/>
  </r>
  <r>
    <x v="144"/>
    <s v="Land area"/>
    <n v="248.4"/>
    <n v="77"/>
    <s v="77. Ecuador"/>
  </r>
  <r>
    <x v="13"/>
    <s v="Land area"/>
    <n v="245.7"/>
    <n v="78"/>
    <s v="78. Guinea"/>
  </r>
  <r>
    <x v="20"/>
    <s v="Land area"/>
    <n v="241.9"/>
    <n v="79"/>
    <s v="79. United Kingdom"/>
  </r>
  <r>
    <x v="176"/>
    <s v="Land area"/>
    <n v="230.8"/>
    <n v="80"/>
    <s v="80. Lao PDR"/>
  </r>
  <r>
    <x v="49"/>
    <s v="Land area"/>
    <n v="230.1"/>
    <n v="81"/>
    <s v="81. Romania"/>
  </r>
  <r>
    <x v="48"/>
    <s v="Land area"/>
    <n v="227.5"/>
    <n v="82"/>
    <s v="82. Ghana"/>
  </r>
  <r>
    <x v="197"/>
    <s v="Land area"/>
    <n v="211.1"/>
    <n v="83"/>
    <s v="83. Guyana"/>
  </r>
  <r>
    <x v="96"/>
    <s v="Land area"/>
    <n v="203"/>
    <n v="84"/>
    <s v="84. Belarus"/>
  </r>
  <r>
    <x v="15"/>
    <s v="Land area"/>
    <n v="200.5"/>
    <n v="85"/>
    <s v="85. Uganda"/>
  </r>
  <r>
    <x v="63"/>
    <s v="Land area"/>
    <n v="192.5"/>
    <n v="86"/>
    <s v="86. Senegal"/>
  </r>
  <r>
    <x v="52"/>
    <s v="Land area"/>
    <n v="191.8"/>
    <n v="87"/>
    <s v="87. Kyrgyz Republic"/>
  </r>
  <r>
    <x v="11"/>
    <s v="Land area"/>
    <n v="183.6"/>
    <n v="88"/>
    <s v="88. Syrian Arab Republic"/>
  </r>
  <r>
    <x v="111"/>
    <s v="Land area"/>
    <n v="176.5"/>
    <n v="89"/>
    <s v="89. Cambodia"/>
  </r>
  <r>
    <x v="3"/>
    <s v="Land area"/>
    <n v="175"/>
    <n v="90"/>
    <s v="90. Uruguay"/>
  </r>
  <r>
    <x v="207"/>
    <s v="Land area"/>
    <n v="160.5"/>
    <n v="91"/>
    <s v="91. Suriname"/>
  </r>
  <r>
    <x v="34"/>
    <s v="Land area"/>
    <n v="155.4"/>
    <n v="92"/>
    <s v="92. Tunisia"/>
  </r>
  <r>
    <x v="132"/>
    <s v="Land area"/>
    <n v="143.4"/>
    <n v="93"/>
    <s v="93. Nepal"/>
  </r>
  <r>
    <x v="129"/>
    <s v="Land area"/>
    <n v="138.80000000000001"/>
    <n v="94"/>
    <s v="94. Tajikistan"/>
  </r>
  <r>
    <x v="14"/>
    <s v="Land area"/>
    <n v="130"/>
    <n v="95"/>
    <s v="95. Bangladesh"/>
  </r>
  <r>
    <x v="92"/>
    <s v="Land area"/>
    <n v="128.9"/>
    <n v="96"/>
    <s v="96. Greece"/>
  </r>
  <r>
    <x v="32"/>
    <s v="Land area"/>
    <n v="121.2"/>
    <n v="97"/>
    <s v="97. Eritrea"/>
  </r>
  <r>
    <x v="143"/>
    <s v="Land area"/>
    <n v="120.4"/>
    <n v="98"/>
    <s v="98. Korea, Dem. People's Rep."/>
  </r>
  <r>
    <x v="88"/>
    <s v="Land area"/>
    <n v="120.3"/>
    <n v="99"/>
    <s v="99. Nicaragua"/>
  </r>
  <r>
    <x v="90"/>
    <s v="Land area"/>
    <n v="112.8"/>
    <n v="100"/>
    <s v="100. Benin"/>
  </r>
  <r>
    <x v="118"/>
    <s v="Land area"/>
    <n v="111.9"/>
    <n v="101"/>
    <s v="101. Honduras"/>
  </r>
  <r>
    <x v="71"/>
    <s v="Land area"/>
    <n v="108.6"/>
    <n v="102"/>
    <s v="102. Bulgaria"/>
  </r>
  <r>
    <x v="84"/>
    <s v="Land area"/>
    <n v="107.2"/>
    <n v="103"/>
    <s v="103. Guatemala"/>
  </r>
  <r>
    <x v="35"/>
    <s v="Land area"/>
    <n v="103.8"/>
    <n v="104"/>
    <s v="104. Cuba"/>
  </r>
  <r>
    <x v="160"/>
    <s v="Land area"/>
    <n v="100.8"/>
    <n v="105"/>
    <s v="105. Iceland"/>
  </r>
  <r>
    <x v="161"/>
    <s v="Land area"/>
    <n v="97.6"/>
    <n v="106"/>
    <s v="106. Korea, Rep."/>
  </r>
  <r>
    <x v="147"/>
    <s v="Land area"/>
    <n v="96.3"/>
    <n v="107"/>
    <s v="107. Liberia"/>
  </r>
  <r>
    <x v="31"/>
    <s v="Land area"/>
    <n v="94.3"/>
    <n v="108"/>
    <s v="108. Malawi"/>
  </r>
  <r>
    <x v="83"/>
    <s v="Land area"/>
    <n v="91.6"/>
    <n v="109"/>
    <s v="109. Portugal"/>
  </r>
  <r>
    <x v="45"/>
    <s v="Land area"/>
    <n v="91.3"/>
    <n v="110"/>
    <s v="110. Hungary"/>
  </r>
  <r>
    <x v="170"/>
    <s v="Land area"/>
    <n v="88.8"/>
    <n v="111"/>
    <s v="111. Jordan"/>
  </r>
  <r>
    <x v="93"/>
    <s v="Land area"/>
    <n v="84.1"/>
    <n v="112"/>
    <s v="112. Serbia"/>
  </r>
  <r>
    <x v="43"/>
    <s v="Land area"/>
    <n v="82.7"/>
    <n v="113"/>
    <s v="113. Azerbaijan"/>
  </r>
  <r>
    <x v="120"/>
    <s v="Land area"/>
    <n v="82.5"/>
    <n v="114"/>
    <s v="114. Austria"/>
  </r>
  <r>
    <x v="74"/>
    <s v="Land area"/>
    <n v="77.2"/>
    <n v="115"/>
    <s v="115. Czechia"/>
  </r>
  <r>
    <x v="125"/>
    <s v="Land area"/>
    <n v="74.2"/>
    <n v="116"/>
    <s v="116. Panama"/>
  </r>
  <r>
    <x v="50"/>
    <s v="Land area"/>
    <n v="72.2"/>
    <n v="117"/>
    <s v="117. Sierra Leone"/>
  </r>
  <r>
    <x v="191"/>
    <s v="Land area"/>
    <n v="71"/>
    <n v="118"/>
    <s v="118. United Arab Emirates"/>
  </r>
  <r>
    <x v="113"/>
    <s v="Land area"/>
    <n v="69.5"/>
    <n v="119"/>
    <s v="119. Georgia"/>
  </r>
  <r>
    <x v="36"/>
    <s v="Land area"/>
    <n v="68.900000000000006"/>
    <n v="120"/>
    <s v="120. Ireland"/>
  </r>
  <r>
    <x v="73"/>
    <s v="Land area"/>
    <n v="62.6"/>
    <n v="121"/>
    <s v="121. Lithuania"/>
  </r>
  <r>
    <x v="119"/>
    <s v="Land area"/>
    <n v="62.2"/>
    <n v="122"/>
    <s v="122. Latvia"/>
  </r>
  <r>
    <x v="64"/>
    <s v="Land area"/>
    <n v="61.9"/>
    <n v="123"/>
    <s v="123. Sri Lanka"/>
  </r>
  <r>
    <x v="130"/>
    <s v="Land area"/>
    <n v="56"/>
    <n v="124"/>
    <s v="124. Croatia"/>
  </r>
  <r>
    <x v="21"/>
    <s v="Land area"/>
    <n v="54.4"/>
    <n v="125"/>
    <s v="125. Togo"/>
  </r>
  <r>
    <x v="142"/>
    <s v="Land area"/>
    <n v="51.2"/>
    <n v="126"/>
    <s v="126. Bosnia and Herzegovina"/>
  </r>
  <r>
    <x v="115"/>
    <s v="Land area"/>
    <n v="51.1"/>
    <n v="127"/>
    <s v="127. Costa Rica"/>
  </r>
  <r>
    <x v="47"/>
    <s v="Land area"/>
    <n v="48.2"/>
    <n v="128"/>
    <s v="128. Dominican Republic"/>
  </r>
  <r>
    <x v="103"/>
    <s v="Land area"/>
    <n v="48.1"/>
    <n v="129"/>
    <s v="129. Slovak Republic"/>
  </r>
  <r>
    <x v="138"/>
    <s v="Land area"/>
    <n v="42.7"/>
    <n v="130"/>
    <s v="130. Estonia"/>
  </r>
  <r>
    <x v="28"/>
    <s v="Land area"/>
    <n v="40"/>
    <n v="131"/>
    <s v="131. Denmark"/>
  </r>
  <r>
    <x v="104"/>
    <s v="Land area"/>
    <n v="39.5"/>
    <n v="132"/>
    <s v="132. Switzerland"/>
  </r>
  <r>
    <x v="167"/>
    <s v="Land area"/>
    <n v="38.1"/>
    <n v="133"/>
    <s v="133. Bhutan"/>
  </r>
  <r>
    <x v="53"/>
    <s v="Land area"/>
    <n v="33.700000000000003"/>
    <n v="134"/>
    <s v="134. Netherlands"/>
  </r>
  <r>
    <x v="10"/>
    <s v="Land area"/>
    <n v="32.9"/>
    <n v="135"/>
    <s v="135. Moldova"/>
  </r>
  <r>
    <x v="79"/>
    <s v="Land area"/>
    <n v="30.5"/>
    <n v="136"/>
    <s v="136. Belgium"/>
  </r>
  <r>
    <x v="7"/>
    <s v="Land area"/>
    <n v="30.4"/>
    <n v="137"/>
    <s v="137. Lesotho"/>
  </r>
  <r>
    <x v="40"/>
    <s v="Land area"/>
    <n v="28.2"/>
    <n v="138"/>
    <s v="138. Armenia"/>
  </r>
  <r>
    <x v="196"/>
    <s v="Land area"/>
    <n v="28.1"/>
    <n v="139"/>
    <s v="139. Equatorial Guinea"/>
  </r>
  <r>
    <x v="123"/>
    <s v="Land area"/>
    <n v="28.1"/>
    <n v="140"/>
    <s v="140. Guinea-Bissau"/>
  </r>
  <r>
    <x v="194"/>
    <s v="Land area"/>
    <n v="28"/>
    <n v="141"/>
    <s v="141. Solomon Islands"/>
  </r>
  <r>
    <x v="29"/>
    <s v="Land area"/>
    <n v="27.6"/>
    <n v="142"/>
    <s v="142. Haiti"/>
  </r>
  <r>
    <x v="102"/>
    <s v="Land area"/>
    <n v="27.4"/>
    <n v="143"/>
    <s v="143. Albania"/>
  </r>
  <r>
    <x v="2"/>
    <s v="Land area"/>
    <n v="25.7"/>
    <n v="144"/>
    <s v="144. Burundi"/>
  </r>
  <r>
    <x v="60"/>
    <s v="Land area"/>
    <n v="25.2"/>
    <n v="145"/>
    <s v="145. North Macedonia"/>
  </r>
  <r>
    <x v="8"/>
    <s v="Land area"/>
    <n v="24.7"/>
    <n v="146"/>
    <s v="146. Rwanda"/>
  </r>
  <r>
    <x v="12"/>
    <s v="Land area"/>
    <n v="23.2"/>
    <n v="147"/>
    <s v="147. Djibouti"/>
  </r>
  <r>
    <x v="184"/>
    <s v="Land area"/>
    <n v="22.8"/>
    <n v="148"/>
    <s v="148. Belize"/>
  </r>
  <r>
    <x v="134"/>
    <s v="Land area"/>
    <n v="21.6"/>
    <n v="149"/>
    <s v="149. Israel"/>
  </r>
  <r>
    <x v="44"/>
    <s v="Land area"/>
    <n v="20.7"/>
    <n v="150"/>
    <s v="150. El Salvador"/>
  </r>
  <r>
    <x v="122"/>
    <s v="Land area"/>
    <n v="20.100000000000001"/>
    <n v="151"/>
    <s v="151. Slovenia"/>
  </r>
  <r>
    <x v="158"/>
    <s v="Land area"/>
    <n v="18.3"/>
    <n v="152"/>
    <s v="152. Fiji"/>
  </r>
  <r>
    <x v="175"/>
    <s v="Land area"/>
    <n v="18.3"/>
    <n v="153"/>
    <s v="153. New Caledonia"/>
  </r>
  <r>
    <x v="183"/>
    <s v="Land area"/>
    <n v="17.8"/>
    <n v="154"/>
    <s v="154. Kuwait"/>
  </r>
  <r>
    <x v="23"/>
    <s v="Land area"/>
    <n v="17.2"/>
    <n v="155"/>
    <s v="155. Eswatini"/>
  </r>
  <r>
    <x v="140"/>
    <s v="Land area"/>
    <n v="14.9"/>
    <n v="156"/>
    <s v="156. Timor-Leste"/>
  </r>
  <r>
    <x v="152"/>
    <s v="Land area"/>
    <n v="13.5"/>
    <n v="157"/>
    <s v="157. Montenegro"/>
  </r>
  <r>
    <x v="163"/>
    <s v="Land area"/>
    <n v="12.2"/>
    <n v="158"/>
    <s v="158. Vanuatu"/>
  </r>
  <r>
    <x v="189"/>
    <s v="Land area"/>
    <n v="11.5"/>
    <n v="159"/>
    <s v="159. Qatar"/>
  </r>
  <r>
    <x v="99"/>
    <s v="Land area"/>
    <n v="10.8"/>
    <n v="160"/>
    <s v="160. Jamaica"/>
  </r>
  <r>
    <x v="27"/>
    <s v="Land area"/>
    <n v="10.199999999999999"/>
    <n v="161"/>
    <s v="161. Lebanon"/>
  </r>
  <r>
    <x v="33"/>
    <s v="Land area"/>
    <n v="10.1"/>
    <n v="162"/>
    <s v="162. Gambia, The"/>
  </r>
  <r>
    <x v="202"/>
    <s v="Land area"/>
    <n v="10"/>
    <n v="163"/>
    <s v="163. Bahamas, The"/>
  </r>
  <r>
    <x v="166"/>
    <s v="Land area"/>
    <n v="9.1999999999999993"/>
    <n v="164"/>
    <s v="164. Cyprus"/>
  </r>
  <r>
    <x v="154"/>
    <s v="Land area"/>
    <n v="8.9"/>
    <n v="165"/>
    <s v="165. Puerto Rico (US)"/>
  </r>
  <r>
    <x v="30"/>
    <s v="Land area"/>
    <n v="6"/>
    <n v="166"/>
    <s v="166. West Bank and Gaza"/>
  </r>
  <r>
    <x v="201"/>
    <s v="Land area"/>
    <n v="5.3"/>
    <n v="167"/>
    <s v="167. Brunei Darussalam"/>
  </r>
  <r>
    <x v="173"/>
    <s v="Land area"/>
    <n v="5.0999999999999996"/>
    <n v="168"/>
    <s v="168. Trinidad and Tobago"/>
  </r>
  <r>
    <x v="151"/>
    <s v="Land area"/>
    <n v="4"/>
    <n v="169"/>
    <s v="169. Cabo Verde"/>
  </r>
  <r>
    <x v="180"/>
    <s v="Land area"/>
    <n v="3.5"/>
    <n v="170"/>
    <s v="170. French Polynesia"/>
  </r>
  <r>
    <x v="156"/>
    <s v="Land area"/>
    <n v="2.8"/>
    <n v="171"/>
    <s v="171. Samoa"/>
  </r>
  <r>
    <x v="57"/>
    <s v="Land area"/>
    <n v="2.6"/>
    <n v="172"/>
    <s v="172. Luxembourg"/>
  </r>
  <r>
    <x v="85"/>
    <s v="Land area"/>
    <n v="2"/>
    <n v="173"/>
    <s v="173. Mauritius"/>
  </r>
  <r>
    <x v="16"/>
    <s v="Land area"/>
    <n v="1.9"/>
    <n v="174"/>
    <s v="174. Comoros"/>
  </r>
  <r>
    <x v="22"/>
    <s v="Land area"/>
    <n v="1.4"/>
    <n v="175"/>
    <s v="175. Faroe Islands"/>
  </r>
  <r>
    <x v="195"/>
    <s v="Land area"/>
    <n v="1.1000000000000001"/>
    <n v="176"/>
    <s v="176. Hong Kong SAR, China"/>
  </r>
  <r>
    <x v="77"/>
    <s v="Land area"/>
    <n v="1"/>
    <n v="177"/>
    <s v="177. Sao Tome and Principe"/>
  </r>
  <r>
    <x v="204"/>
    <s v="Land area"/>
    <n v="1"/>
    <n v="178"/>
    <s v="178. Turks and Caicos Islands"/>
  </r>
  <r>
    <x v="174"/>
    <s v="Land area"/>
    <n v="0.8"/>
    <n v="179"/>
    <s v="179. Bahrain"/>
  </r>
  <r>
    <x v="114"/>
    <s v="Land area"/>
    <n v="0.8"/>
    <n v="180"/>
    <s v="180. Dominica"/>
  </r>
  <r>
    <x v="89"/>
    <s v="Land area"/>
    <n v="0.8"/>
    <n v="181"/>
    <s v="181. Kiribati"/>
  </r>
  <r>
    <x v="187"/>
    <s v="Land area"/>
    <n v="0.7"/>
    <n v="182"/>
    <s v="182. Micronesia, Fed. Sts."/>
  </r>
  <r>
    <x v="205"/>
    <s v="Land area"/>
    <n v="0.7"/>
    <n v="183"/>
    <s v="183. Singapore"/>
  </r>
  <r>
    <x v="65"/>
    <s v="Land area"/>
    <n v="0.7"/>
    <n v="184"/>
    <s v="184. Tonga"/>
  </r>
  <r>
    <x v="24"/>
    <s v="Land area"/>
    <n v="0.6"/>
    <n v="185"/>
    <s v="185. Isle of Man"/>
  </r>
  <r>
    <x v="159"/>
    <s v="Land area"/>
    <n v="0.6"/>
    <n v="186"/>
    <s v="186. St. Lucia"/>
  </r>
  <r>
    <x v="95"/>
    <s v="Land area"/>
    <n v="0.5"/>
    <n v="187"/>
    <s v="187. Andorra"/>
  </r>
  <r>
    <x v="124"/>
    <s v="Land area"/>
    <n v="0.5"/>
    <n v="188"/>
    <s v="188. Guam"/>
  </r>
  <r>
    <x v="203"/>
    <s v="Land area"/>
    <n v="0.5"/>
    <n v="189"/>
    <s v="189. Northern Mariana Islands"/>
  </r>
  <r>
    <x v="178"/>
    <s v="Land area"/>
    <n v="0.5"/>
    <n v="190"/>
    <s v="190. Palau"/>
  </r>
  <r>
    <x v="198"/>
    <s v="Land area"/>
    <n v="0.5"/>
    <n v="191"/>
    <s v="191. Seychelles"/>
  </r>
  <r>
    <x v="146"/>
    <s v="Land area"/>
    <n v="0.4"/>
    <n v="192"/>
    <s v="192. Antigua and Barbuda"/>
  </r>
  <r>
    <x v="137"/>
    <s v="Land area"/>
    <n v="0.4"/>
    <n v="193"/>
    <s v="193. Barbados"/>
  </r>
  <r>
    <x v="237"/>
    <s v="Land area"/>
    <n v="0.4"/>
    <n v="194"/>
    <s v="194. Curacao"/>
  </r>
  <r>
    <x v="155"/>
    <s v="Land area"/>
    <n v="0.4"/>
    <n v="195"/>
    <s v="195. St. Vincent and the Grenadines"/>
  </r>
  <r>
    <x v="177"/>
    <s v="Land area"/>
    <n v="0.4"/>
    <n v="196"/>
    <s v="196. Virgin Islands (U.S.)"/>
  </r>
  <r>
    <x v="136"/>
    <s v="Land area"/>
    <n v="0.3"/>
    <n v="197"/>
    <s v="197. Grenada"/>
  </r>
  <r>
    <x v="150"/>
    <s v="Land area"/>
    <n v="0.3"/>
    <n v="198"/>
    <s v="198. Maldives"/>
  </r>
  <r>
    <x v="133"/>
    <s v="Land area"/>
    <n v="0.3"/>
    <n v="199"/>
    <s v="199. Malta"/>
  </r>
  <r>
    <x v="139"/>
    <s v="Land area"/>
    <n v="0.3"/>
    <n v="200"/>
    <s v="200. St. Kitts and Nevis"/>
  </r>
  <r>
    <x v="164"/>
    <s v="Land area"/>
    <n v="0.2"/>
    <n v="201"/>
    <s v="201. American Samoa"/>
  </r>
  <r>
    <x v="172"/>
    <s v="Land area"/>
    <n v="0.2"/>
    <n v="202"/>
    <s v="202. Aruba"/>
  </r>
  <r>
    <x v="171"/>
    <s v="Land area"/>
    <n v="0.2"/>
    <n v="203"/>
    <s v="203. Cayman Islands"/>
  </r>
  <r>
    <x v="116"/>
    <s v="Land area"/>
    <n v="0.2"/>
    <n v="204"/>
    <s v="204. Liechtenstein"/>
  </r>
  <r>
    <x v="98"/>
    <s v="Land area"/>
    <n v="0.2"/>
    <n v="205"/>
    <s v="205. Marshall Islands"/>
  </r>
  <r>
    <x v="190"/>
    <s v="Land area"/>
    <n v="0.1"/>
    <n v="206"/>
    <s v="206. Bermuda"/>
  </r>
  <r>
    <x v="101"/>
    <s v="Land area"/>
    <n v="0.1"/>
    <n v="207"/>
    <s v="207. San Marino"/>
  </r>
  <r>
    <x v="236"/>
    <s v="Land area"/>
    <n v="0.1"/>
    <n v="208"/>
    <s v="208. St. Martin (French part)"/>
  </r>
  <r>
    <x v="208"/>
    <s v="Land area"/>
    <n v="0"/>
    <n v="209"/>
    <s v="209. Macao SAR, China"/>
  </r>
  <r>
    <x v="234"/>
    <s v="Land area"/>
    <n v="0"/>
    <n v="210"/>
    <s v="210. Monaco"/>
  </r>
  <r>
    <x v="148"/>
    <s v="Land area"/>
    <n v="0"/>
    <n v="211"/>
    <s v="211. Nauru"/>
  </r>
  <r>
    <x v="235"/>
    <s v="Land area"/>
    <n v="0"/>
    <n v="212"/>
    <s v="212. Sint Maarten (Dutch part)"/>
  </r>
  <r>
    <x v="39"/>
    <s v="Land area"/>
    <n v="0"/>
    <n v="213"/>
    <s v="213. Tuvalu"/>
  </r>
  <r>
    <x v="234"/>
    <s v="Life expectancy"/>
    <n v="86.4"/>
    <n v="1"/>
    <s v="1. Monaco"/>
  </r>
  <r>
    <x v="101"/>
    <s v="Life expectancy"/>
    <n v="85.7"/>
    <n v="2"/>
    <s v="2. San Marino"/>
  </r>
  <r>
    <x v="195"/>
    <s v="Life expectancy"/>
    <n v="85.2"/>
    <n v="3"/>
    <s v="3. Hong Kong SAR, China"/>
  </r>
  <r>
    <x v="116"/>
    <s v="Life expectancy"/>
    <n v="84.8"/>
    <n v="4"/>
    <s v="4. Liechtenstein"/>
  </r>
  <r>
    <x v="180"/>
    <s v="Life expectancy"/>
    <n v="84.1"/>
    <n v="5"/>
    <s v="5. French Polynesia"/>
  </r>
  <r>
    <x v="104"/>
    <s v="Life expectancy"/>
    <n v="84.1"/>
    <n v="6"/>
    <s v="6. Switzerland"/>
  </r>
  <r>
    <x v="95"/>
    <s v="Life expectancy"/>
    <n v="84"/>
    <n v="7"/>
    <s v="7. Andorra"/>
  </r>
  <r>
    <x v="169"/>
    <s v="Life expectancy"/>
    <n v="84"/>
    <n v="8"/>
    <s v="8. Japan"/>
  </r>
  <r>
    <x v="61"/>
    <s v="Life expectancy"/>
    <n v="83.9"/>
    <n v="9"/>
    <s v="9. Spain"/>
  </r>
  <r>
    <x v="81"/>
    <s v="Life expectancy"/>
    <n v="83.7"/>
    <n v="10"/>
    <s v="10. Italy"/>
  </r>
  <r>
    <x v="133"/>
    <s v="Life expectancy"/>
    <n v="83.5"/>
    <n v="11"/>
    <s v="11. Malta"/>
  </r>
  <r>
    <x v="161"/>
    <s v="Life expectancy"/>
    <n v="83.4"/>
    <n v="12"/>
    <s v="12. Korea, Rep."/>
  </r>
  <r>
    <x v="57"/>
    <s v="Life expectancy"/>
    <n v="83.4"/>
    <n v="13"/>
    <s v="13. Luxembourg"/>
  </r>
  <r>
    <x v="186"/>
    <s v="Life expectancy"/>
    <n v="83.3"/>
    <n v="14"/>
    <s v="14. Sweden"/>
  </r>
  <r>
    <x v="134"/>
    <s v="Life expectancy"/>
    <n v="83.2"/>
    <n v="15"/>
    <s v="15. Israel"/>
  </r>
  <r>
    <x v="183"/>
    <s v="Life expectancy"/>
    <n v="83.2"/>
    <n v="16"/>
    <s v="16. Kuwait"/>
  </r>
  <r>
    <x v="208"/>
    <s v="Life expectancy"/>
    <n v="83.2"/>
    <n v="17"/>
    <s v="17. Macao SAR, China"/>
  </r>
  <r>
    <x v="68"/>
    <s v="Life expectancy"/>
    <n v="83.1"/>
    <n v="18"/>
    <s v="18. Australia"/>
  </r>
  <r>
    <x v="22"/>
    <s v="Life expectancy"/>
    <n v="83.1"/>
    <n v="19"/>
    <s v="19. Faroe Islands"/>
  </r>
  <r>
    <x v="200"/>
    <s v="Life expectancy"/>
    <n v="83.1"/>
    <n v="20"/>
    <s v="20. Norway"/>
  </r>
  <r>
    <x v="106"/>
    <s v="Life expectancy"/>
    <n v="83"/>
    <n v="21"/>
    <s v="21. New Zealand"/>
  </r>
  <r>
    <x v="56"/>
    <s v="Life expectancy"/>
    <n v="82.9"/>
    <n v="22"/>
    <s v="22. France"/>
  </r>
  <r>
    <x v="36"/>
    <s v="Life expectancy"/>
    <n v="82.9"/>
    <n v="23"/>
    <s v="23. Ireland"/>
  </r>
  <r>
    <x v="205"/>
    <s v="Life expectancy"/>
    <n v="82.9"/>
    <n v="24"/>
    <s v="24. Singapore"/>
  </r>
  <r>
    <x v="191"/>
    <s v="Life expectancy"/>
    <n v="82.9"/>
    <n v="25"/>
    <s v="25. United Arab Emirates"/>
  </r>
  <r>
    <x v="160"/>
    <s v="Life expectancy"/>
    <n v="82.6"/>
    <n v="26"/>
    <s v="26. Iceland"/>
  </r>
  <r>
    <x v="79"/>
    <s v="Life expectancy"/>
    <n v="82.4"/>
    <n v="27"/>
    <s v="27. Belgium"/>
  </r>
  <r>
    <x v="189"/>
    <s v="Life expectancy"/>
    <n v="82.4"/>
    <n v="28"/>
    <s v="28. Qatar"/>
  </r>
  <r>
    <x v="190"/>
    <s v="Life expectancy"/>
    <n v="82.3"/>
    <n v="29"/>
    <s v="29. Bermuda"/>
  </r>
  <r>
    <x v="83"/>
    <s v="Life expectancy"/>
    <n v="82.3"/>
    <n v="30"/>
    <s v="30. Portugal"/>
  </r>
  <r>
    <x v="122"/>
    <s v="Life expectancy"/>
    <n v="82"/>
    <n v="31"/>
    <s v="31. Slovenia"/>
  </r>
  <r>
    <x v="28"/>
    <s v="Life expectancy"/>
    <n v="81.900000000000006"/>
    <n v="32"/>
    <s v="32. Denmark"/>
  </r>
  <r>
    <x v="53"/>
    <s v="Life expectancy"/>
    <n v="81.900000000000006"/>
    <n v="33"/>
    <s v="33. Netherlands"/>
  </r>
  <r>
    <x v="185"/>
    <s v="Life expectancy"/>
    <n v="81.7"/>
    <n v="34"/>
    <s v="34. Finland"/>
  </r>
  <r>
    <x v="154"/>
    <s v="Life expectancy"/>
    <n v="81.7"/>
    <n v="35"/>
    <s v="35. Puerto Rico (US)"/>
  </r>
  <r>
    <x v="188"/>
    <s v="Life expectancy"/>
    <n v="81.599999999999994"/>
    <n v="36"/>
    <s v="36. Canada"/>
  </r>
  <r>
    <x v="166"/>
    <s v="Life expectancy"/>
    <n v="81.599999999999994"/>
    <n v="37"/>
    <s v="37. Cyprus"/>
  </r>
  <r>
    <x v="120"/>
    <s v="Life expectancy"/>
    <n v="81.5"/>
    <n v="38"/>
    <s v="38. Austria"/>
  </r>
  <r>
    <x v="92"/>
    <s v="Life expectancy"/>
    <n v="81.5"/>
    <n v="39"/>
    <s v="39. Greece"/>
  </r>
  <r>
    <x v="174"/>
    <s v="Life expectancy"/>
    <n v="81.3"/>
    <n v="40"/>
    <s v="40. Bahrain"/>
  </r>
  <r>
    <x v="165"/>
    <s v="Life expectancy"/>
    <n v="81.2"/>
    <n v="41"/>
    <s v="41. Chile"/>
  </r>
  <r>
    <x v="20"/>
    <s v="Life expectancy"/>
    <n v="81.2"/>
    <n v="42"/>
    <s v="42. United Kingdom"/>
  </r>
  <r>
    <x v="238"/>
    <s v="Life expectancy"/>
    <n v="81.099999999999994"/>
    <n v="43"/>
    <s v="43. Channel Islands"/>
  </r>
  <r>
    <x v="24"/>
    <s v="Life expectancy"/>
    <n v="81"/>
    <n v="44"/>
    <s v="44. Isle of Man"/>
  </r>
  <r>
    <x v="150"/>
    <s v="Life expectancy"/>
    <n v="81"/>
    <n v="45"/>
    <s v="45. Maldives"/>
  </r>
  <r>
    <x v="115"/>
    <s v="Life expectancy"/>
    <n v="80.8"/>
    <n v="46"/>
    <s v="46. Costa Rica"/>
  </r>
  <r>
    <x v="67"/>
    <s v="Life expectancy"/>
    <n v="80.5"/>
    <n v="47"/>
    <s v="47. Germany"/>
  </r>
  <r>
    <x v="177"/>
    <s v="Life expectancy"/>
    <n v="80.5"/>
    <n v="48"/>
    <s v="48. Virgin Islands (U.S.)"/>
  </r>
  <r>
    <x v="171"/>
    <s v="Life expectancy"/>
    <n v="80.400000000000006"/>
    <n v="49"/>
    <s v="49. Cayman Islands"/>
  </r>
  <r>
    <x v="236"/>
    <s v="Life expectancy"/>
    <n v="80.2"/>
    <n v="50"/>
    <s v="50. St. Martin (French part)"/>
  </r>
  <r>
    <x v="192"/>
    <s v="Life expectancy"/>
    <n v="80"/>
    <n v="51"/>
    <s v="51. Oman"/>
  </r>
  <r>
    <x v="74"/>
    <s v="Life expectancy"/>
    <n v="79.900000000000006"/>
    <n v="52"/>
    <s v="52. Czechia"/>
  </r>
  <r>
    <x v="102"/>
    <s v="Life expectancy"/>
    <n v="79.599999999999994"/>
    <n v="53"/>
    <s v="53. Albania"/>
  </r>
  <r>
    <x v="125"/>
    <s v="Life expectancy"/>
    <n v="79.599999999999994"/>
    <n v="54"/>
    <s v="54. Panama"/>
  </r>
  <r>
    <x v="175"/>
    <s v="Life expectancy"/>
    <n v="78.8"/>
    <n v="55"/>
    <s v="55. New Caledonia"/>
  </r>
  <r>
    <x v="203"/>
    <s v="Life expectancy"/>
    <n v="78.8"/>
    <n v="56"/>
    <s v="56. Northern Mariana Islands"/>
  </r>
  <r>
    <x v="4"/>
    <s v="Life expectancy"/>
    <n v="78.7"/>
    <n v="57"/>
    <s v="57. Saudi Arabia"/>
  </r>
  <r>
    <x v="130"/>
    <s v="Life expectancy"/>
    <n v="78.5"/>
    <n v="58"/>
    <s v="58. Croatia"/>
  </r>
  <r>
    <x v="138"/>
    <s v="Life expectancy"/>
    <n v="78.5"/>
    <n v="59"/>
    <s v="59. Estonia"/>
  </r>
  <r>
    <x v="66"/>
    <s v="Life expectancy"/>
    <n v="78.5"/>
    <n v="60"/>
    <s v="60. Poland"/>
  </r>
  <r>
    <x v="72"/>
    <s v="Life expectancy"/>
    <n v="78.400000000000006"/>
    <n v="61"/>
    <s v="61. United States"/>
  </r>
  <r>
    <x v="35"/>
    <s v="Life expectancy"/>
    <n v="78.099999999999994"/>
    <n v="62"/>
    <s v="62. Cuba"/>
  </r>
  <r>
    <x v="3"/>
    <s v="Life expectancy"/>
    <n v="78.099999999999994"/>
    <n v="63"/>
    <s v="63. Uruguay"/>
  </r>
  <r>
    <x v="46"/>
    <s v="Life expectancy"/>
    <n v="78"/>
    <n v="64"/>
    <s v="64. China"/>
  </r>
  <r>
    <x v="209"/>
    <s v="Life expectancy"/>
    <n v="78"/>
    <n v="65"/>
    <s v="65. Kosovo"/>
  </r>
  <r>
    <x v="103"/>
    <s v="Life expectancy"/>
    <n v="78"/>
    <n v="66"/>
    <s v="66. Slovak Republic"/>
  </r>
  <r>
    <x v="204"/>
    <s v="Life expectancy"/>
    <n v="78"/>
    <n v="67"/>
    <s v="67. Turks and Caicos Islands"/>
  </r>
  <r>
    <x v="142"/>
    <s v="Life expectancy"/>
    <n v="77.900000000000006"/>
    <n v="68"/>
    <s v="68. Bosnia and Herzegovina"/>
  </r>
  <r>
    <x v="170"/>
    <s v="Life expectancy"/>
    <n v="77.8"/>
    <n v="69"/>
    <s v="69. Jordan"/>
  </r>
  <r>
    <x v="27"/>
    <s v="Life expectancy"/>
    <n v="77.8"/>
    <n v="70"/>
    <s v="70. Lebanon"/>
  </r>
  <r>
    <x v="108"/>
    <s v="Life expectancy"/>
    <n v="77.7"/>
    <n v="71"/>
    <s v="71. Colombia"/>
  </r>
  <r>
    <x v="127"/>
    <s v="Life expectancy"/>
    <n v="77.7"/>
    <n v="72"/>
    <s v="72. Iran, Islamic Rep."/>
  </r>
  <r>
    <x v="153"/>
    <s v="Life expectancy"/>
    <n v="77.7"/>
    <n v="73"/>
    <s v="73. Peru"/>
  </r>
  <r>
    <x v="146"/>
    <s v="Life expectancy"/>
    <n v="77.599999999999994"/>
    <n v="74"/>
    <s v="74. Antigua and Barbuda"/>
  </r>
  <r>
    <x v="152"/>
    <s v="Life expectancy"/>
    <n v="77.599999999999994"/>
    <n v="75"/>
    <s v="75. Montenegro"/>
  </r>
  <r>
    <x v="40"/>
    <s v="Life expectancy"/>
    <n v="77.5"/>
    <n v="76"/>
    <s v="76. Armenia"/>
  </r>
  <r>
    <x v="64"/>
    <s v="Life expectancy"/>
    <n v="77.5"/>
    <n v="77"/>
    <s v="77. Sri Lanka"/>
  </r>
  <r>
    <x v="87"/>
    <s v="Life expectancy"/>
    <n v="77.400000000000006"/>
    <n v="78"/>
    <s v="78. Argentina"/>
  </r>
  <r>
    <x v="144"/>
    <s v="Life expectancy"/>
    <n v="77.400000000000006"/>
    <n v="79"/>
    <s v="79. Ecuador"/>
  </r>
  <r>
    <x v="124"/>
    <s v="Life expectancy"/>
    <n v="77.2"/>
    <n v="80"/>
    <s v="80. Guam"/>
  </r>
  <r>
    <x v="59"/>
    <s v="Life expectancy"/>
    <n v="77.2"/>
    <n v="81"/>
    <s v="81. Turkiye"/>
  </r>
  <r>
    <x v="73"/>
    <s v="Life expectancy"/>
    <n v="77"/>
    <n v="82"/>
    <s v="82. Lithuania"/>
  </r>
  <r>
    <x v="237"/>
    <s v="Life expectancy"/>
    <n v="76.8"/>
    <n v="83"/>
    <s v="83. Curacao"/>
  </r>
  <r>
    <x v="45"/>
    <s v="Life expectancy"/>
    <n v="76.8"/>
    <n v="84"/>
    <s v="84. Hungary"/>
  </r>
  <r>
    <x v="131"/>
    <s v="Life expectancy"/>
    <n v="76.7"/>
    <n v="85"/>
    <s v="85. Malaysia"/>
  </r>
  <r>
    <x v="49"/>
    <s v="Life expectancy"/>
    <n v="76.599999999999994"/>
    <n v="86"/>
    <s v="86. Romania"/>
  </r>
  <r>
    <x v="34"/>
    <s v="Life expectancy"/>
    <n v="76.5"/>
    <n v="87"/>
    <s v="87. Tunisia"/>
  </r>
  <r>
    <x v="172"/>
    <s v="Life expectancy"/>
    <n v="76.400000000000006"/>
    <n v="88"/>
    <s v="88. Aruba"/>
  </r>
  <r>
    <x v="235"/>
    <s v="Life expectancy"/>
    <n v="76.400000000000006"/>
    <n v="89"/>
    <s v="89. Sint Maarten (Dutch part)"/>
  </r>
  <r>
    <x v="82"/>
    <s v="Life expectancy"/>
    <n v="76.400000000000006"/>
    <n v="90"/>
    <s v="90. Thailand"/>
  </r>
  <r>
    <x v="157"/>
    <s v="Life expectancy"/>
    <n v="76.3"/>
    <n v="91"/>
    <s v="91. Algeria"/>
  </r>
  <r>
    <x v="137"/>
    <s v="Life expectancy"/>
    <n v="76.2"/>
    <n v="92"/>
    <s v="92. Barbados"/>
  </r>
  <r>
    <x v="93"/>
    <s v="Life expectancy"/>
    <n v="76.2"/>
    <n v="93"/>
    <s v="93. Serbia"/>
  </r>
  <r>
    <x v="151"/>
    <s v="Life expectancy"/>
    <n v="76.099999999999994"/>
    <n v="94"/>
    <s v="94. Cabo Verde"/>
  </r>
  <r>
    <x v="128"/>
    <s v="Life expectancy"/>
    <n v="75.8"/>
    <n v="95"/>
    <s v="95. Brazil"/>
  </r>
  <r>
    <x v="71"/>
    <s v="Life expectancy"/>
    <n v="75.7"/>
    <n v="96"/>
    <s v="96. Bulgaria"/>
  </r>
  <r>
    <x v="119"/>
    <s v="Life expectancy"/>
    <n v="75.7"/>
    <n v="97"/>
    <s v="97. Latvia"/>
  </r>
  <r>
    <x v="201"/>
    <s v="Life expectancy"/>
    <n v="75.3"/>
    <n v="98"/>
    <s v="98. Brunei Darussalam"/>
  </r>
  <r>
    <x v="26"/>
    <s v="Life expectancy"/>
    <n v="75.3"/>
    <n v="99"/>
    <s v="99. Morocco"/>
  </r>
  <r>
    <x v="60"/>
    <s v="Life expectancy"/>
    <n v="75.3"/>
    <n v="100"/>
    <s v="100. North Macedonia"/>
  </r>
  <r>
    <x v="136"/>
    <s v="Life expectancy"/>
    <n v="75.2"/>
    <n v="101"/>
    <s v="101. Grenada"/>
  </r>
  <r>
    <x v="58"/>
    <s v="Life expectancy"/>
    <n v="75.099999999999994"/>
    <n v="102"/>
    <s v="102. Mexico"/>
  </r>
  <r>
    <x v="198"/>
    <s v="Life expectancy"/>
    <n v="75"/>
    <n v="103"/>
    <s v="103. Seychelles"/>
  </r>
  <r>
    <x v="88"/>
    <s v="Life expectancy"/>
    <n v="74.900000000000006"/>
    <n v="104"/>
    <s v="104. Nicaragua"/>
  </r>
  <r>
    <x v="14"/>
    <s v="Life expectancy"/>
    <n v="74.7"/>
    <n v="105"/>
    <s v="105. Bangladesh"/>
  </r>
  <r>
    <x v="202"/>
    <s v="Life expectancy"/>
    <n v="74.599999999999994"/>
    <n v="106"/>
    <s v="106. Bahamas, The"/>
  </r>
  <r>
    <x v="97"/>
    <s v="Life expectancy"/>
    <n v="74.599999999999994"/>
    <n v="107"/>
    <s v="107. Viet Nam"/>
  </r>
  <r>
    <x v="113"/>
    <s v="Life expectancy"/>
    <n v="74.5"/>
    <n v="108"/>
    <s v="108. Georgia"/>
  </r>
  <r>
    <x v="43"/>
    <s v="Life expectancy"/>
    <n v="74.400000000000006"/>
    <n v="109"/>
    <s v="109. Azerbaijan"/>
  </r>
  <r>
    <x v="5"/>
    <s v="Life expectancy"/>
    <n v="74.400000000000006"/>
    <n v="110"/>
    <s v="110. Kazakhstan"/>
  </r>
  <r>
    <x v="96"/>
    <s v="Life expectancy"/>
    <n v="74.2"/>
    <n v="111"/>
    <s v="111. Belarus"/>
  </r>
  <r>
    <x v="51"/>
    <s v="Life expectancy"/>
    <n v="73.8"/>
    <n v="112"/>
    <s v="112. Paraguay"/>
  </r>
  <r>
    <x v="47"/>
    <s v="Life expectancy"/>
    <n v="73.7"/>
    <n v="113"/>
    <s v="113. Dominican Republic"/>
  </r>
  <r>
    <x v="184"/>
    <s v="Life expectancy"/>
    <n v="73.599999999999994"/>
    <n v="114"/>
    <s v="114. Belize"/>
  </r>
  <r>
    <x v="207"/>
    <s v="Life expectancy"/>
    <n v="73.599999999999994"/>
    <n v="115"/>
    <s v="115. Suriname"/>
  </r>
  <r>
    <x v="173"/>
    <s v="Life expectancy"/>
    <n v="73.5"/>
    <n v="116"/>
    <s v="116. Trinidad and Tobago"/>
  </r>
  <r>
    <x v="85"/>
    <s v="Life expectancy"/>
    <n v="73.400000000000006"/>
    <n v="117"/>
    <s v="117. Mauritius"/>
  </r>
  <r>
    <x v="17"/>
    <s v="Life expectancy"/>
    <n v="73.400000000000006"/>
    <n v="118"/>
    <s v="118. Ukraine"/>
  </r>
  <r>
    <x v="168"/>
    <s v="Life expectancy"/>
    <n v="73.3"/>
    <n v="119"/>
    <s v="119. Russian Federation"/>
  </r>
  <r>
    <x v="167"/>
    <s v="Life expectancy"/>
    <n v="73"/>
    <n v="120"/>
    <s v="120. Bhutan"/>
  </r>
  <r>
    <x v="164"/>
    <s v="Life expectancy"/>
    <n v="72.900000000000006"/>
    <n v="121"/>
    <s v="121. American Samoa"/>
  </r>
  <r>
    <x v="118"/>
    <s v="Life expectancy"/>
    <n v="72.900000000000006"/>
    <n v="122"/>
    <s v="122. Honduras"/>
  </r>
  <r>
    <x v="65"/>
    <s v="Life expectancy"/>
    <n v="72.900000000000006"/>
    <n v="123"/>
    <s v="123. Tonga"/>
  </r>
  <r>
    <x v="159"/>
    <s v="Life expectancy"/>
    <n v="72.7"/>
    <n v="124"/>
    <s v="124. St. Lucia"/>
  </r>
  <r>
    <x v="84"/>
    <s v="Life expectancy"/>
    <n v="72.599999999999994"/>
    <n v="125"/>
    <s v="125. Guatemala"/>
  </r>
  <r>
    <x v="135"/>
    <s v="Life expectancy"/>
    <n v="72.5"/>
    <n v="126"/>
    <s v="126. Venezuela, RB"/>
  </r>
  <r>
    <x v="42"/>
    <s v="Life expectancy"/>
    <n v="72.400000000000006"/>
    <n v="127"/>
    <s v="127. Uzbekistan"/>
  </r>
  <r>
    <x v="141"/>
    <s v="Life expectancy"/>
    <n v="72.3"/>
    <n v="128"/>
    <s v="128. Iraq"/>
  </r>
  <r>
    <x v="52"/>
    <s v="Life expectancy"/>
    <n v="72.2"/>
    <n v="129"/>
    <s v="129. Kyrgyz Republic"/>
  </r>
  <r>
    <x v="44"/>
    <s v="Life expectancy"/>
    <n v="72.099999999999994"/>
    <n v="130"/>
    <s v="130. El Salvador"/>
  </r>
  <r>
    <x v="25"/>
    <s v="Life expectancy"/>
    <n v="72.099999999999994"/>
    <n v="131"/>
    <s v="131. Mongolia"/>
  </r>
  <r>
    <x v="139"/>
    <s v="Life expectancy"/>
    <n v="72.099999999999994"/>
    <n v="132"/>
    <s v="132. St. Kitts and Nevis"/>
  </r>
  <r>
    <x v="11"/>
    <s v="Life expectancy"/>
    <n v="72.099999999999994"/>
    <n v="133"/>
    <s v="133. Syrian Arab Republic"/>
  </r>
  <r>
    <x v="38"/>
    <s v="Life expectancy"/>
    <n v="72"/>
    <n v="134"/>
    <s v="134. India"/>
  </r>
  <r>
    <x v="129"/>
    <s v="Life expectancy"/>
    <n v="71.8"/>
    <n v="135"/>
    <s v="135. Tajikistan"/>
  </r>
  <r>
    <x v="156"/>
    <s v="Life expectancy"/>
    <n v="71.7"/>
    <n v="136"/>
    <s v="136. Samoa"/>
  </r>
  <r>
    <x v="193"/>
    <s v="Life expectancy"/>
    <n v="71.599999999999994"/>
    <n v="137"/>
    <s v="137. Egypt, Arab Rep."/>
  </r>
  <r>
    <x v="206"/>
    <s v="Life expectancy"/>
    <n v="71.5"/>
    <n v="138"/>
    <s v="138. Greenland"/>
  </r>
  <r>
    <x v="99"/>
    <s v="Life expectancy"/>
    <n v="71.5"/>
    <n v="139"/>
    <s v="139. Jamaica"/>
  </r>
  <r>
    <x v="163"/>
    <s v="Life expectancy"/>
    <n v="71.5"/>
    <n v="140"/>
    <s v="140. Vanuatu"/>
  </r>
  <r>
    <x v="10"/>
    <s v="Life expectancy"/>
    <n v="71.2"/>
    <n v="141"/>
    <s v="141. Moldova"/>
  </r>
  <r>
    <x v="155"/>
    <s v="Life expectancy"/>
    <n v="71.2"/>
    <n v="142"/>
    <s v="142. St. Vincent and the Grenadines"/>
  </r>
  <r>
    <x v="114"/>
    <s v="Life expectancy"/>
    <n v="71.099999999999994"/>
    <n v="143"/>
    <s v="143. Dominica"/>
  </r>
  <r>
    <x v="126"/>
    <s v="Life expectancy"/>
    <n v="71.099999999999994"/>
    <n v="144"/>
    <s v="144. Indonesia"/>
  </r>
  <r>
    <x v="111"/>
    <s v="Life expectancy"/>
    <n v="70.7"/>
    <n v="145"/>
    <s v="145. Cambodia"/>
  </r>
  <r>
    <x v="194"/>
    <s v="Life expectancy"/>
    <n v="70.5"/>
    <n v="146"/>
    <s v="146. Solomon Islands"/>
  </r>
  <r>
    <x v="132"/>
    <s v="Life expectancy"/>
    <n v="70.400000000000006"/>
    <n v="147"/>
    <s v="147. Nepal"/>
  </r>
  <r>
    <x v="197"/>
    <s v="Life expectancy"/>
    <n v="70.2"/>
    <n v="148"/>
    <s v="148. Guyana"/>
  </r>
  <r>
    <x v="1"/>
    <s v="Life expectancy"/>
    <n v="70.099999999999994"/>
    <n v="149"/>
    <s v="149. Turkmenistan"/>
  </r>
  <r>
    <x v="86"/>
    <s v="Life expectancy"/>
    <n v="69.8"/>
    <n v="150"/>
    <s v="150. Philippines"/>
  </r>
  <r>
    <x v="77"/>
    <s v="Life expectancy"/>
    <n v="69.7"/>
    <n v="151"/>
    <s v="151. Sao Tome and Principe"/>
  </r>
  <r>
    <x v="181"/>
    <s v="Life expectancy"/>
    <n v="69.3"/>
    <n v="152"/>
    <s v="152. Libya"/>
  </r>
  <r>
    <x v="178"/>
    <s v="Life expectancy"/>
    <n v="69.3"/>
    <n v="153"/>
    <s v="153. Palau"/>
  </r>
  <r>
    <x v="80"/>
    <s v="Life expectancy"/>
    <n v="69.3"/>
    <n v="154"/>
    <s v="154. Yemen, Rep."/>
  </r>
  <r>
    <x v="75"/>
    <s v="Life expectancy"/>
    <n v="69.2"/>
    <n v="155"/>
    <s v="155. Botswana"/>
  </r>
  <r>
    <x v="176"/>
    <s v="Life expectancy"/>
    <n v="69"/>
    <n v="156"/>
    <s v="156. Lao PDR"/>
  </r>
  <r>
    <x v="63"/>
    <s v="Life expectancy"/>
    <n v="68.7"/>
    <n v="157"/>
    <s v="157. Senegal"/>
  </r>
  <r>
    <x v="109"/>
    <s v="Life expectancy"/>
    <n v="68.599999999999994"/>
    <n v="158"/>
    <s v="158. Bolivia"/>
  </r>
  <r>
    <x v="32"/>
    <s v="Life expectancy"/>
    <n v="68.599999999999994"/>
    <n v="159"/>
    <s v="159. Eritrea"/>
  </r>
  <r>
    <x v="100"/>
    <s v="Life expectancy"/>
    <n v="68.5"/>
    <n v="160"/>
    <s v="160. Mauritania"/>
  </r>
  <r>
    <x v="182"/>
    <s v="Life expectancy"/>
    <n v="68.3"/>
    <n v="161"/>
    <s v="161. Gabon"/>
  </r>
  <r>
    <x v="15"/>
    <s v="Life expectancy"/>
    <n v="68.3"/>
    <n v="162"/>
    <s v="162. Uganda"/>
  </r>
  <r>
    <x v="8"/>
    <s v="Life expectancy"/>
    <n v="67.8"/>
    <n v="163"/>
    <s v="163. Rwanda"/>
  </r>
  <r>
    <x v="140"/>
    <s v="Life expectancy"/>
    <n v="67.7"/>
    <n v="164"/>
    <s v="164. Timor-Leste"/>
  </r>
  <r>
    <x v="70"/>
    <s v="Life expectancy"/>
    <n v="67.599999999999994"/>
    <n v="165"/>
    <s v="165. Pakistan"/>
  </r>
  <r>
    <x v="31"/>
    <s v="Life expectancy"/>
    <n v="67.400000000000006"/>
    <n v="166"/>
    <s v="166. Malawi"/>
  </r>
  <r>
    <x v="69"/>
    <s v="Life expectancy"/>
    <n v="67.400000000000006"/>
    <n v="167"/>
    <s v="167. Namibia"/>
  </r>
  <r>
    <x v="112"/>
    <s v="Life expectancy"/>
    <n v="67.3"/>
    <n v="168"/>
    <s v="168. Ethiopia"/>
  </r>
  <r>
    <x v="158"/>
    <s v="Life expectancy"/>
    <n v="67.3"/>
    <n v="169"/>
    <s v="169. Fiji"/>
  </r>
  <r>
    <x v="187"/>
    <s v="Life expectancy"/>
    <n v="67.2"/>
    <n v="170"/>
    <s v="170. Micronesia, Fed. Sts."/>
  </r>
  <r>
    <x v="39"/>
    <s v="Life expectancy"/>
    <n v="67.099999999999994"/>
    <n v="171"/>
    <s v="171. Tuvalu"/>
  </r>
  <r>
    <x v="78"/>
    <s v="Life expectancy"/>
    <n v="67"/>
    <n v="172"/>
    <s v="172. Tanzania"/>
  </r>
  <r>
    <x v="98"/>
    <s v="Life expectancy"/>
    <n v="66.900000000000006"/>
    <n v="173"/>
    <s v="173. Marshall Islands"/>
  </r>
  <r>
    <x v="149"/>
    <s v="Life expectancy"/>
    <n v="66.900000000000006"/>
    <n v="174"/>
    <s v="174. Myanmar"/>
  </r>
  <r>
    <x v="16"/>
    <s v="Life expectancy"/>
    <n v="66.8"/>
    <n v="175"/>
    <s v="175. Comoros"/>
  </r>
  <r>
    <x v="89"/>
    <s v="Life expectancy"/>
    <n v="66.5"/>
    <n v="176"/>
    <s v="176. Kiribati"/>
  </r>
  <r>
    <x v="37"/>
    <s v="Life expectancy"/>
    <n v="66.3"/>
    <n v="177"/>
    <s v="177. Sudan"/>
  </r>
  <r>
    <x v="117"/>
    <s v="Life expectancy"/>
    <n v="66.3"/>
    <n v="178"/>
    <s v="178. Zambia"/>
  </r>
  <r>
    <x v="199"/>
    <s v="Life expectancy"/>
    <n v="66.099999999999994"/>
    <n v="179"/>
    <s v="179. Papua New Guinea"/>
  </r>
  <r>
    <x v="6"/>
    <s v="Life expectancy"/>
    <n v="66.099999999999994"/>
    <n v="180"/>
    <s v="180. South Africa"/>
  </r>
  <r>
    <x v="41"/>
    <s v="Life expectancy"/>
    <n v="66"/>
    <n v="181"/>
    <s v="181. Afghanistan"/>
  </r>
  <r>
    <x v="12"/>
    <s v="Life expectancy"/>
    <n v="66"/>
    <n v="182"/>
    <s v="182. Djibouti"/>
  </r>
  <r>
    <x v="33"/>
    <s v="Life expectancy"/>
    <n v="65.900000000000006"/>
    <n v="183"/>
    <s v="183. Gambia, The"/>
  </r>
  <r>
    <x v="121"/>
    <s v="Life expectancy"/>
    <n v="65.8"/>
    <n v="184"/>
    <s v="184. Congo, Rep."/>
  </r>
  <r>
    <x v="48"/>
    <s v="Life expectancy"/>
    <n v="65.5"/>
    <n v="185"/>
    <s v="185. Ghana"/>
  </r>
  <r>
    <x v="30"/>
    <s v="Life expectancy"/>
    <n v="65.2"/>
    <n v="186"/>
    <s v="186. West Bank and Gaza"/>
  </r>
  <r>
    <x v="29"/>
    <s v="Life expectancy"/>
    <n v="64.900000000000006"/>
    <n v="187"/>
    <s v="187. Haiti"/>
  </r>
  <r>
    <x v="105"/>
    <s v="Life expectancy"/>
    <n v="64.599999999999994"/>
    <n v="188"/>
    <s v="188. Angola"/>
  </r>
  <r>
    <x v="23"/>
    <s v="Life expectancy"/>
    <n v="64.099999999999994"/>
    <n v="189"/>
    <s v="189. Eswatini"/>
  </r>
  <r>
    <x v="123"/>
    <s v="Life expectancy"/>
    <n v="64.099999999999994"/>
    <n v="190"/>
    <s v="190. Guinea-Bissau"/>
  </r>
  <r>
    <x v="2"/>
    <s v="Life expectancy"/>
    <n v="63.7"/>
    <n v="191"/>
    <s v="191. Burundi"/>
  </r>
  <r>
    <x v="145"/>
    <s v="Life expectancy"/>
    <n v="63.7"/>
    <n v="192"/>
    <s v="192. Cameroon"/>
  </r>
  <r>
    <x v="196"/>
    <s v="Life expectancy"/>
    <n v="63.7"/>
    <n v="193"/>
    <s v="193. Equatorial Guinea"/>
  </r>
  <r>
    <x v="62"/>
    <s v="Life expectancy"/>
    <n v="63.6"/>
    <n v="194"/>
    <s v="194. Kenya"/>
  </r>
  <r>
    <x v="18"/>
    <s v="Life expectancy"/>
    <n v="63.6"/>
    <n v="195"/>
    <s v="195. Madagascar"/>
  </r>
  <r>
    <x v="55"/>
    <s v="Life expectancy"/>
    <n v="63.6"/>
    <n v="196"/>
    <s v="196. Mozambique"/>
  </r>
  <r>
    <x v="91"/>
    <s v="Life expectancy"/>
    <n v="62.8"/>
    <n v="197"/>
    <s v="197. Zimbabwe"/>
  </r>
  <r>
    <x v="21"/>
    <s v="Life expectancy"/>
    <n v="62.7"/>
    <n v="198"/>
    <s v="198. Togo"/>
  </r>
  <r>
    <x v="147"/>
    <s v="Life expectancy"/>
    <n v="62.2"/>
    <n v="199"/>
    <s v="199. Liberia"/>
  </r>
  <r>
    <x v="148"/>
    <s v="Life expectancy"/>
    <n v="62.1"/>
    <n v="200"/>
    <s v="200. Nauru"/>
  </r>
  <r>
    <x v="162"/>
    <s v="Life expectancy"/>
    <n v="61.9"/>
    <n v="201"/>
    <s v="201. Congo, Dem. Rep."/>
  </r>
  <r>
    <x v="0"/>
    <s v="Life expectancy"/>
    <n v="61.9"/>
    <n v="202"/>
    <s v="202. Cote d'Ivoire"/>
  </r>
  <r>
    <x v="50"/>
    <s v="Life expectancy"/>
    <n v="61.8"/>
    <n v="203"/>
    <s v="203. Sierra Leone"/>
  </r>
  <r>
    <x v="107"/>
    <s v="Life expectancy"/>
    <n v="61.2"/>
    <n v="204"/>
    <s v="204. Niger"/>
  </r>
  <r>
    <x v="54"/>
    <s v="Life expectancy"/>
    <n v="61.1"/>
    <n v="205"/>
    <s v="205. Burkina Faso"/>
  </r>
  <r>
    <x v="90"/>
    <s v="Life expectancy"/>
    <n v="60.8"/>
    <n v="206"/>
    <s v="206. Benin"/>
  </r>
  <r>
    <x v="13"/>
    <s v="Life expectancy"/>
    <n v="60.7"/>
    <n v="207"/>
    <s v="207. Guinea"/>
  </r>
  <r>
    <x v="110"/>
    <s v="Life expectancy"/>
    <n v="60.4"/>
    <n v="208"/>
    <s v="208. Mali"/>
  </r>
  <r>
    <x v="19"/>
    <s v="Life expectancy"/>
    <n v="58.8"/>
    <n v="209"/>
    <s v="209. Somalia, Fed. Rep."/>
  </r>
  <r>
    <x v="76"/>
    <s v="Life expectancy"/>
    <n v="57.6"/>
    <n v="210"/>
    <s v="210. South Sudan"/>
  </r>
  <r>
    <x v="179"/>
    <s v="Life expectancy"/>
    <n v="57.4"/>
    <n v="211"/>
    <s v="211. Central African Republic"/>
  </r>
  <r>
    <x v="7"/>
    <s v="Life expectancy"/>
    <n v="57.4"/>
    <n v="212"/>
    <s v="212. Lesotho"/>
  </r>
  <r>
    <x v="94"/>
    <s v="Life expectancy"/>
    <n v="55.1"/>
    <n v="213"/>
    <s v="213. Chad"/>
  </r>
  <r>
    <x v="9"/>
    <s v="Life expectancy"/>
    <n v="54.5"/>
    <n v="214"/>
    <s v="214. Nigeria"/>
  </r>
  <r>
    <x v="72"/>
    <s v="Net migration"/>
    <n v="1286.0999999999999"/>
    <n v="1"/>
    <s v="1. United States"/>
  </r>
  <r>
    <x v="17"/>
    <s v="Net migration"/>
    <n v="1146"/>
    <n v="2"/>
    <s v="2. Ukraine"/>
  </r>
  <r>
    <x v="11"/>
    <s v="Net migration"/>
    <n v="546.5"/>
    <n v="3"/>
    <s v="3. Syrian Arab Republic"/>
  </r>
  <r>
    <x v="20"/>
    <s v="Net migration"/>
    <n v="417.1"/>
    <n v="4"/>
    <s v="4. United Kingdom"/>
  </r>
  <r>
    <x v="188"/>
    <s v="Net migration"/>
    <n v="368.6"/>
    <n v="5"/>
    <s v="5. Canada"/>
  </r>
  <r>
    <x v="191"/>
    <s v="Net migration"/>
    <n v="278.39999999999998"/>
    <n v="6"/>
    <s v="6. United Arab Emirates"/>
  </r>
  <r>
    <x v="94"/>
    <s v="Net migration"/>
    <n v="204"/>
    <n v="7"/>
    <s v="7. Chad"/>
  </r>
  <r>
    <x v="127"/>
    <s v="Net migration"/>
    <n v="190.2"/>
    <n v="8"/>
    <s v="8. Iran, Islamic Rep."/>
  </r>
  <r>
    <x v="131"/>
    <s v="Net migration"/>
    <n v="174.8"/>
    <n v="9"/>
    <s v="9. Malaysia"/>
  </r>
  <r>
    <x v="6"/>
    <s v="Net migration"/>
    <n v="167"/>
    <n v="10"/>
    <s v="10. South Africa"/>
  </r>
  <r>
    <x v="192"/>
    <s v="Net migration"/>
    <n v="154.19999999999999"/>
    <n v="11"/>
    <s v="11. Oman"/>
  </r>
  <r>
    <x v="169"/>
    <s v="Net migration"/>
    <n v="153.4"/>
    <n v="12"/>
    <s v="12. Japan"/>
  </r>
  <r>
    <x v="108"/>
    <s v="Net migration"/>
    <n v="141.6"/>
    <n v="13"/>
    <s v="13. Colombia"/>
  </r>
  <r>
    <x v="68"/>
    <s v="Net migration"/>
    <n v="138.5"/>
    <n v="14"/>
    <s v="14. Australia"/>
  </r>
  <r>
    <x v="193"/>
    <s v="Net migration"/>
    <n v="123.9"/>
    <n v="15"/>
    <s v="15. Egypt, Arab Rep."/>
  </r>
  <r>
    <x v="4"/>
    <s v="Net migration"/>
    <n v="122.2"/>
    <n v="16"/>
    <s v="16. Saudi Arabia"/>
  </r>
  <r>
    <x v="53"/>
    <s v="Net migration"/>
    <n v="121.6"/>
    <n v="17"/>
    <s v="17. Netherlands"/>
  </r>
  <r>
    <x v="61"/>
    <s v="Net migration"/>
    <n v="111.7"/>
    <n v="18"/>
    <s v="18. Spain"/>
  </r>
  <r>
    <x v="81"/>
    <s v="Net migration"/>
    <n v="95.2"/>
    <n v="19"/>
    <s v="19. Italy"/>
  </r>
  <r>
    <x v="56"/>
    <s v="Net migration"/>
    <n v="90.5"/>
    <n v="20"/>
    <s v="20. France"/>
  </r>
  <r>
    <x v="161"/>
    <s v="Net migration"/>
    <n v="76"/>
    <n v="21"/>
    <s v="21. Korea, Rep."/>
  </r>
  <r>
    <x v="183"/>
    <s v="Net migration"/>
    <n v="61.6"/>
    <n v="22"/>
    <s v="22. Kuwait"/>
  </r>
  <r>
    <x v="165"/>
    <s v="Net migration"/>
    <n v="58.3"/>
    <n v="23"/>
    <s v="23. Chile"/>
  </r>
  <r>
    <x v="186"/>
    <s v="Net migration"/>
    <n v="50.1"/>
    <n v="24"/>
    <s v="24. Sweden"/>
  </r>
  <r>
    <x v="189"/>
    <s v="Net migration"/>
    <n v="46.1"/>
    <n v="25"/>
    <s v="25. Qatar"/>
  </r>
  <r>
    <x v="200"/>
    <s v="Net migration"/>
    <n v="44.4"/>
    <n v="26"/>
    <s v="26. Norway"/>
  </r>
  <r>
    <x v="104"/>
    <s v="Net migration"/>
    <n v="40.1"/>
    <n v="27"/>
    <s v="27. Switzerland"/>
  </r>
  <r>
    <x v="36"/>
    <s v="Net migration"/>
    <n v="39.1"/>
    <n v="28"/>
    <s v="28. Ireland"/>
  </r>
  <r>
    <x v="67"/>
    <s v="Net migration"/>
    <n v="37"/>
    <n v="29"/>
    <s v="29. Germany"/>
  </r>
  <r>
    <x v="79"/>
    <s v="Net migration"/>
    <n v="36.200000000000003"/>
    <n v="30"/>
    <s v="30. Belgium"/>
  </r>
  <r>
    <x v="112"/>
    <s v="Net migration"/>
    <n v="30.1"/>
    <n v="31"/>
    <s v="31. Ethiopia"/>
  </r>
  <r>
    <x v="185"/>
    <s v="Net migration"/>
    <n v="26.9"/>
    <n v="32"/>
    <s v="32. Finland"/>
  </r>
  <r>
    <x v="19"/>
    <s v="Net migration"/>
    <n v="26.9"/>
    <n v="33"/>
    <s v="33. Somalia, Fed. Rep."/>
  </r>
  <r>
    <x v="28"/>
    <s v="Net migration"/>
    <n v="25.6"/>
    <n v="34"/>
    <s v="34. Denmark"/>
  </r>
  <r>
    <x v="82"/>
    <s v="Net migration"/>
    <n v="23.3"/>
    <n v="35"/>
    <s v="35. Thailand"/>
  </r>
  <r>
    <x v="174"/>
    <s v="Net migration"/>
    <n v="22.7"/>
    <n v="36"/>
    <s v="36. Bahrain"/>
  </r>
  <r>
    <x v="83"/>
    <s v="Net migration"/>
    <n v="20.6"/>
    <n v="37"/>
    <s v="37. Portugal"/>
  </r>
  <r>
    <x v="205"/>
    <s v="Net migration"/>
    <n v="20"/>
    <n v="38"/>
    <s v="38. Singapore"/>
  </r>
  <r>
    <x v="106"/>
    <s v="Net migration"/>
    <n v="18.8"/>
    <n v="39"/>
    <s v="39. New Zealand"/>
  </r>
  <r>
    <x v="153"/>
    <s v="Net migration"/>
    <n v="18.399999999999999"/>
    <n v="40"/>
    <s v="40. Peru"/>
  </r>
  <r>
    <x v="45"/>
    <s v="Net migration"/>
    <n v="16.2"/>
    <n v="41"/>
    <s v="41. Hungary"/>
  </r>
  <r>
    <x v="76"/>
    <s v="Net migration"/>
    <n v="15.4"/>
    <n v="42"/>
    <s v="42. South Sudan"/>
  </r>
  <r>
    <x v="1"/>
    <s v="Net migration"/>
    <n v="14.6"/>
    <n v="43"/>
    <s v="43. Turkmenistan"/>
  </r>
  <r>
    <x v="154"/>
    <s v="Net migration"/>
    <n v="11.6"/>
    <n v="44"/>
    <s v="44. Puerto Rico (US)"/>
  </r>
  <r>
    <x v="43"/>
    <s v="Net migration"/>
    <n v="10.9"/>
    <n v="45"/>
    <s v="45. Azerbaijan"/>
  </r>
  <r>
    <x v="134"/>
    <s v="Net migration"/>
    <n v="10.6"/>
    <n v="46"/>
    <s v="46. Israel"/>
  </r>
  <r>
    <x v="120"/>
    <s v="Net migration"/>
    <n v="8.8000000000000007"/>
    <n v="47"/>
    <s v="47. Austria"/>
  </r>
  <r>
    <x v="166"/>
    <s v="Net migration"/>
    <n v="8.1"/>
    <n v="48"/>
    <s v="48. Cyprus"/>
  </r>
  <r>
    <x v="0"/>
    <s v="Net migration"/>
    <n v="7.8"/>
    <n v="49"/>
    <s v="49. Cote d'Ivoire"/>
  </r>
  <r>
    <x v="117"/>
    <s v="Net migration"/>
    <n v="7.4"/>
    <n v="50"/>
    <s v="50. Zambia"/>
  </r>
  <r>
    <x v="125"/>
    <s v="Net migration"/>
    <n v="6.7"/>
    <n v="51"/>
    <s v="51. Panama"/>
  </r>
  <r>
    <x v="133"/>
    <s v="Net migration"/>
    <n v="6.3"/>
    <n v="52"/>
    <s v="52. Malta"/>
  </r>
  <r>
    <x v="57"/>
    <s v="Net migration"/>
    <n v="5.7"/>
    <n v="53"/>
    <s v="53. Luxembourg"/>
  </r>
  <r>
    <x v="69"/>
    <s v="Net migration"/>
    <n v="4.2"/>
    <n v="54"/>
    <s v="54. Namibia"/>
  </r>
  <r>
    <x v="196"/>
    <s v="Net migration"/>
    <n v="3.9"/>
    <n v="55"/>
    <s v="55. Equatorial Guinea"/>
  </r>
  <r>
    <x v="52"/>
    <s v="Net migration"/>
    <n v="3.6"/>
    <n v="56"/>
    <s v="56. Kyrgyz Republic"/>
  </r>
  <r>
    <x v="87"/>
    <s v="Net migration"/>
    <n v="3.5"/>
    <n v="57"/>
    <s v="57. Argentina"/>
  </r>
  <r>
    <x v="160"/>
    <s v="Net migration"/>
    <n v="3.5"/>
    <n v="58"/>
    <s v="58. Iceland"/>
  </r>
  <r>
    <x v="181"/>
    <s v="Net migration"/>
    <n v="3.4"/>
    <n v="59"/>
    <s v="59. Libya"/>
  </r>
  <r>
    <x v="122"/>
    <s v="Net migration"/>
    <n v="3.3"/>
    <n v="60"/>
    <s v="60. Slovenia"/>
  </r>
  <r>
    <x v="73"/>
    <s v="Net migration"/>
    <n v="2.6"/>
    <n v="61"/>
    <s v="61. Lithuania"/>
  </r>
  <r>
    <x v="113"/>
    <s v="Net migration"/>
    <n v="1.7"/>
    <n v="62"/>
    <s v="62. Georgia"/>
  </r>
  <r>
    <x v="198"/>
    <s v="Net migration"/>
    <n v="1.7"/>
    <n v="63"/>
    <s v="63. Seychelles"/>
  </r>
  <r>
    <x v="208"/>
    <s v="Net migration"/>
    <n v="1.6"/>
    <n v="64"/>
    <s v="64. Macao SAR, China"/>
  </r>
  <r>
    <x v="194"/>
    <s v="Net migration"/>
    <n v="1.6"/>
    <n v="65"/>
    <s v="65. Solomon Islands"/>
  </r>
  <r>
    <x v="173"/>
    <s v="Net migration"/>
    <n v="1.3"/>
    <n v="66"/>
    <s v="66. Trinidad and Tobago"/>
  </r>
  <r>
    <x v="182"/>
    <s v="Net migration"/>
    <n v="1.1000000000000001"/>
    <n v="67"/>
    <s v="67. Gabon"/>
  </r>
  <r>
    <x v="95"/>
    <s v="Net migration"/>
    <n v="1"/>
    <n v="68"/>
    <s v="68. Andorra"/>
  </r>
  <r>
    <x v="202"/>
    <s v="Net migration"/>
    <n v="1"/>
    <n v="69"/>
    <s v="69. Bahamas, The"/>
  </r>
  <r>
    <x v="115"/>
    <s v="Net migration"/>
    <n v="1"/>
    <n v="70"/>
    <s v="70. Costa Rica"/>
  </r>
  <r>
    <x v="171"/>
    <s v="Net migration"/>
    <n v="0.9"/>
    <n v="71"/>
    <s v="71. Cayman Islands"/>
  </r>
  <r>
    <x v="238"/>
    <s v="Net migration"/>
    <n v="0.7"/>
    <n v="72"/>
    <s v="72. Channel Islands"/>
  </r>
  <r>
    <x v="235"/>
    <s v="Net migration"/>
    <n v="0.6"/>
    <n v="73"/>
    <s v="73. Sint Maarten (Dutch part)"/>
  </r>
  <r>
    <x v="184"/>
    <s v="Net migration"/>
    <n v="0.5"/>
    <n v="74"/>
    <s v="74. Belize"/>
  </r>
  <r>
    <x v="71"/>
    <s v="Net migration"/>
    <n v="0.5"/>
    <n v="75"/>
    <s v="75. Bulgaria"/>
  </r>
  <r>
    <x v="237"/>
    <s v="Net migration"/>
    <n v="0.5"/>
    <n v="76"/>
    <s v="76. Curacao"/>
  </r>
  <r>
    <x v="22"/>
    <s v="Net migration"/>
    <n v="0.5"/>
    <n v="77"/>
    <s v="77. Faroe Islands"/>
  </r>
  <r>
    <x v="175"/>
    <s v="Net migration"/>
    <n v="0.5"/>
    <n v="78"/>
    <s v="78. New Caledonia"/>
  </r>
  <r>
    <x v="24"/>
    <s v="Net migration"/>
    <n v="0.2"/>
    <n v="79"/>
    <s v="79. Isle of Man"/>
  </r>
  <r>
    <x v="116"/>
    <s v="Net migration"/>
    <n v="0.2"/>
    <n v="80"/>
    <s v="80. Liechtenstein"/>
  </r>
  <r>
    <x v="204"/>
    <s v="Net migration"/>
    <n v="0.2"/>
    <n v="81"/>
    <s v="81. Turks and Caicos Islands"/>
  </r>
  <r>
    <x v="172"/>
    <s v="Net migration"/>
    <n v="0.1"/>
    <n v="82"/>
    <s v="82. Aruba"/>
  </r>
  <r>
    <x v="234"/>
    <s v="Net migration"/>
    <n v="0.1"/>
    <n v="83"/>
    <s v="83. Monaco"/>
  </r>
  <r>
    <x v="25"/>
    <s v="Net migration"/>
    <n v="0.1"/>
    <n v="84"/>
    <s v="84. Mongolia"/>
  </r>
  <r>
    <x v="146"/>
    <s v="Net migration"/>
    <n v="0"/>
    <n v="85"/>
    <s v="85. Antigua and Barbuda"/>
  </r>
  <r>
    <x v="101"/>
    <s v="Net migration"/>
    <n v="0"/>
    <n v="86"/>
    <s v="86. San Marino"/>
  </r>
  <r>
    <x v="72"/>
    <s v="Patents, nonresidents"/>
    <n v="329.2"/>
    <n v="1"/>
    <s v="1. United States"/>
  </r>
  <r>
    <x v="46"/>
    <s v="Patents, nonresidents"/>
    <n v="159"/>
    <n v="2"/>
    <s v="2. China"/>
  </r>
  <r>
    <x v="169"/>
    <s v="Patents, nonresidents"/>
    <n v="66.7"/>
    <n v="3"/>
    <s v="3. Japan"/>
  </r>
  <r>
    <x v="161"/>
    <s v="Patents, nonresidents"/>
    <n v="51.8"/>
    <n v="4"/>
    <s v="4. Korea, Rep."/>
  </r>
  <r>
    <x v="38"/>
    <s v="Patents, nonresidents"/>
    <n v="35.299999999999997"/>
    <n v="5"/>
    <s v="5. India"/>
  </r>
  <r>
    <x v="188"/>
    <s v="Patents, nonresidents"/>
    <n v="32.4"/>
    <n v="6"/>
    <s v="6. Canada"/>
  </r>
  <r>
    <x v="68"/>
    <s v="Patents, nonresidents"/>
    <n v="29.4"/>
    <n v="7"/>
    <s v="7. Australia"/>
  </r>
  <r>
    <x v="195"/>
    <s v="Patents, nonresidents"/>
    <n v="21.5"/>
    <n v="8"/>
    <s v="8. Hong Kong SAR, China"/>
  </r>
  <r>
    <x v="128"/>
    <s v="Patents, nonresidents"/>
    <n v="19.600000000000001"/>
    <n v="9"/>
    <s v="9. Brazil"/>
  </r>
  <r>
    <x v="67"/>
    <s v="Patents, nonresidents"/>
    <n v="18.7"/>
    <n v="10"/>
    <s v="10. Germany"/>
  </r>
  <r>
    <x v="58"/>
    <s v="Patents, nonresidents"/>
    <n v="15"/>
    <n v="11"/>
    <s v="11. Mexico"/>
  </r>
  <r>
    <x v="205"/>
    <s v="Patents, nonresidents"/>
    <n v="12.6"/>
    <n v="12"/>
    <s v="12. Singapore"/>
  </r>
  <r>
    <x v="168"/>
    <s v="Patents, nonresidents"/>
    <n v="11.4"/>
    <n v="13"/>
    <s v="13. Russian Federation"/>
  </r>
  <r>
    <x v="6"/>
    <s v="Patents, nonresidents"/>
    <n v="9.1999999999999993"/>
    <n v="14"/>
    <s v="14. South Africa"/>
  </r>
  <r>
    <x v="134"/>
    <s v="Patents, nonresidents"/>
    <n v="8"/>
    <n v="15"/>
    <s v="15. Israel"/>
  </r>
  <r>
    <x v="97"/>
    <s v="Patents, nonresidents"/>
    <n v="7.5"/>
    <n v="16"/>
    <s v="16. Viet Nam"/>
  </r>
  <r>
    <x v="126"/>
    <s v="Patents, nonresidents"/>
    <n v="7.4"/>
    <n v="17"/>
    <s v="17. Indonesia"/>
  </r>
  <r>
    <x v="82"/>
    <s v="Patents, nonresidents"/>
    <n v="7.4"/>
    <n v="18"/>
    <s v="18. Thailand"/>
  </r>
  <r>
    <x v="20"/>
    <s v="Patents, nonresidents"/>
    <n v="7.3"/>
    <n v="19"/>
    <s v="19. United Kingdom"/>
  </r>
  <r>
    <x v="131"/>
    <s v="Patents, nonresidents"/>
    <n v="6.7"/>
    <n v="20"/>
    <s v="20. Malaysia"/>
  </r>
  <r>
    <x v="106"/>
    <s v="Patents, nonresidents"/>
    <n v="6.5"/>
    <n v="21"/>
    <s v="21. New Zealand"/>
  </r>
  <r>
    <x v="86"/>
    <s v="Patents, nonresidents"/>
    <n v="3.9"/>
    <n v="22"/>
    <s v="22. Philippines"/>
  </r>
  <r>
    <x v="87"/>
    <s v="Patents, nonresidents"/>
    <n v="3.3"/>
    <n v="23"/>
    <s v="23. Argentina"/>
  </r>
  <r>
    <x v="165"/>
    <s v="Patents, nonresidents"/>
    <n v="2.7"/>
    <n v="24"/>
    <s v="24. Chile"/>
  </r>
  <r>
    <x v="4"/>
    <s v="Patents, nonresidents"/>
    <n v="2.6"/>
    <n v="25"/>
    <s v="25. Saudi Arabia"/>
  </r>
  <r>
    <x v="26"/>
    <s v="Patents, nonresidents"/>
    <n v="2.5"/>
    <n v="26"/>
    <s v="26. Morocco"/>
  </r>
  <r>
    <x v="191"/>
    <s v="Patents, nonresidents"/>
    <n v="2.4"/>
    <n v="27"/>
    <s v="27. United Arab Emirates"/>
  </r>
  <r>
    <x v="17"/>
    <s v="Patents, nonresidents"/>
    <n v="2.1"/>
    <n v="28"/>
    <s v="28. Ukraine"/>
  </r>
  <r>
    <x v="108"/>
    <s v="Patents, nonresidents"/>
    <n v="1.9"/>
    <n v="29"/>
    <s v="29. Colombia"/>
  </r>
  <r>
    <x v="56"/>
    <s v="Patents, nonresidents"/>
    <n v="1.4"/>
    <n v="30"/>
    <s v="30. France"/>
  </r>
  <r>
    <x v="57"/>
    <s v="Patents, nonresidents"/>
    <n v="1.4"/>
    <n v="31"/>
    <s v="31. Luxembourg"/>
  </r>
  <r>
    <x v="53"/>
    <s v="Patents, nonresidents"/>
    <n v="1.4"/>
    <n v="32"/>
    <s v="32. Netherlands"/>
  </r>
  <r>
    <x v="193"/>
    <s v="Patents, nonresidents"/>
    <n v="1.3"/>
    <n v="33"/>
    <s v="33. Egypt, Arab Rep."/>
  </r>
  <r>
    <x v="153"/>
    <s v="Patents, nonresidents"/>
    <n v="1.1000000000000001"/>
    <n v="34"/>
    <s v="34. Peru"/>
  </r>
  <r>
    <x v="81"/>
    <s v="Patents, nonresidents"/>
    <n v="0.8"/>
    <n v="35"/>
    <s v="35. Italy"/>
  </r>
  <r>
    <x v="189"/>
    <s v="Patents, nonresidents"/>
    <n v="0.7"/>
    <n v="36"/>
    <s v="36. Qatar"/>
  </r>
  <r>
    <x v="101"/>
    <s v="Patents, nonresidents"/>
    <n v="0.7"/>
    <n v="37"/>
    <s v="37. San Marino"/>
  </r>
  <r>
    <x v="157"/>
    <s v="Patents, nonresidents"/>
    <n v="0.6"/>
    <n v="38"/>
    <s v="38. Algeria"/>
  </r>
  <r>
    <x v="115"/>
    <s v="Patents, nonresidents"/>
    <n v="0.6"/>
    <n v="39"/>
    <s v="39. Costa Rica"/>
  </r>
  <r>
    <x v="127"/>
    <s v="Patents, nonresidents"/>
    <n v="0.6"/>
    <n v="40"/>
    <s v="40. Iran, Islamic Rep."/>
  </r>
  <r>
    <x v="200"/>
    <s v="Patents, nonresidents"/>
    <n v="0.6"/>
    <n v="41"/>
    <s v="41. Norway"/>
  </r>
  <r>
    <x v="70"/>
    <s v="Patents, nonresidents"/>
    <n v="0.6"/>
    <n v="42"/>
    <s v="42. Pakistan"/>
  </r>
  <r>
    <x v="92"/>
    <s v="Patents, nonresidents"/>
    <n v="0.5"/>
    <n v="43"/>
    <s v="43. Greece"/>
  </r>
  <r>
    <x v="192"/>
    <s v="Patents, nonresidents"/>
    <n v="0.5"/>
    <n v="44"/>
    <s v="44. Oman"/>
  </r>
  <r>
    <x v="14"/>
    <s v="Patents, nonresidents"/>
    <n v="0.4"/>
    <n v="45"/>
    <s v="45. Bangladesh"/>
  </r>
  <r>
    <x v="79"/>
    <s v="Patents, nonresidents"/>
    <n v="0.4"/>
    <n v="46"/>
    <s v="46. Belgium"/>
  </r>
  <r>
    <x v="144"/>
    <s v="Patents, nonresidents"/>
    <n v="0.4"/>
    <n v="47"/>
    <s v="47. Ecuador"/>
  </r>
  <r>
    <x v="125"/>
    <s v="Patents, nonresidents"/>
    <n v="0.4"/>
    <n v="48"/>
    <s v="48. Panama"/>
  </r>
  <r>
    <x v="51"/>
    <s v="Patents, nonresidents"/>
    <n v="0.4"/>
    <n v="49"/>
    <s v="49. Paraguay"/>
  </r>
  <r>
    <x v="186"/>
    <s v="Patents, nonresidents"/>
    <n v="0.4"/>
    <n v="50"/>
    <s v="50. Sweden"/>
  </r>
  <r>
    <x v="174"/>
    <s v="Patents, nonresidents"/>
    <n v="0.3"/>
    <n v="51"/>
    <s v="51. Bahrain"/>
  </r>
  <r>
    <x v="170"/>
    <s v="Patents, nonresidents"/>
    <n v="0.3"/>
    <n v="52"/>
    <s v="52. Jordan"/>
  </r>
  <r>
    <x v="64"/>
    <s v="Patents, nonresidents"/>
    <n v="0.3"/>
    <n v="53"/>
    <s v="53. Sri Lanka"/>
  </r>
  <r>
    <x v="104"/>
    <s v="Patents, nonresidents"/>
    <n v="0.3"/>
    <n v="54"/>
    <s v="54. Switzerland"/>
  </r>
  <r>
    <x v="42"/>
    <s v="Patents, nonresidents"/>
    <n v="0.3"/>
    <n v="55"/>
    <s v="55. Uzbekistan"/>
  </r>
  <r>
    <x v="120"/>
    <s v="Patents, nonresidents"/>
    <n v="0.2"/>
    <n v="56"/>
    <s v="56. Austria"/>
  </r>
  <r>
    <x v="109"/>
    <s v="Patents, nonresidents"/>
    <n v="0.2"/>
    <n v="57"/>
    <s v="57. Bolivia"/>
  </r>
  <r>
    <x v="28"/>
    <s v="Patents, nonresidents"/>
    <n v="0.2"/>
    <n v="58"/>
    <s v="58. Denmark"/>
  </r>
  <r>
    <x v="47"/>
    <s v="Patents, nonresidents"/>
    <n v="0.2"/>
    <n v="59"/>
    <s v="59. Dominican Republic"/>
  </r>
  <r>
    <x v="113"/>
    <s v="Patents, nonresidents"/>
    <n v="0.2"/>
    <n v="60"/>
    <s v="60. Georgia"/>
  </r>
  <r>
    <x v="84"/>
    <s v="Patents, nonresidents"/>
    <n v="0.2"/>
    <n v="61"/>
    <s v="61. Guatemala"/>
  </r>
  <r>
    <x v="118"/>
    <s v="Patents, nonresidents"/>
    <n v="0.2"/>
    <n v="62"/>
    <s v="62. Honduras"/>
  </r>
  <r>
    <x v="59"/>
    <s v="Patents, nonresidents"/>
    <n v="0.2"/>
    <n v="63"/>
    <s v="63. Turkiye"/>
  </r>
  <r>
    <x v="96"/>
    <s v="Patents, nonresidents"/>
    <n v="0.1"/>
    <n v="64"/>
    <s v="64. Belarus"/>
  </r>
  <r>
    <x v="201"/>
    <s v="Patents, nonresidents"/>
    <n v="0.1"/>
    <n v="65"/>
    <s v="65. Brunei Darussalam"/>
  </r>
  <r>
    <x v="35"/>
    <s v="Patents, nonresidents"/>
    <n v="0.1"/>
    <n v="66"/>
    <s v="66. Cuba"/>
  </r>
  <r>
    <x v="74"/>
    <s v="Patents, nonresidents"/>
    <n v="0.1"/>
    <n v="67"/>
    <s v="67. Czechia"/>
  </r>
  <r>
    <x v="44"/>
    <s v="Patents, nonresidents"/>
    <n v="0.1"/>
    <n v="68"/>
    <s v="68. El Salvador"/>
  </r>
  <r>
    <x v="185"/>
    <s v="Patents, nonresidents"/>
    <n v="0.1"/>
    <n v="69"/>
    <s v="69. Finland"/>
  </r>
  <r>
    <x v="33"/>
    <s v="Patents, nonresidents"/>
    <n v="0.1"/>
    <n v="70"/>
    <s v="70. Gambia, The"/>
  </r>
  <r>
    <x v="99"/>
    <s v="Patents, nonresidents"/>
    <n v="0.1"/>
    <n v="71"/>
    <s v="71. Jamaica"/>
  </r>
  <r>
    <x v="25"/>
    <s v="Patents, nonresidents"/>
    <n v="0.1"/>
    <n v="72"/>
    <s v="72. Mongolia"/>
  </r>
  <r>
    <x v="66"/>
    <s v="Patents, nonresidents"/>
    <n v="0.1"/>
    <n v="73"/>
    <s v="73. Poland"/>
  </r>
  <r>
    <x v="61"/>
    <s v="Patents, nonresidents"/>
    <n v="0.1"/>
    <n v="74"/>
    <s v="74. Spain"/>
  </r>
  <r>
    <x v="173"/>
    <s v="Patents, nonresidents"/>
    <n v="0.1"/>
    <n v="75"/>
    <s v="75. Trinidad and Tobago"/>
  </r>
  <r>
    <x v="102"/>
    <s v="Patents, nonresidents"/>
    <n v="0"/>
    <n v="76"/>
    <s v="76. Albania"/>
  </r>
  <r>
    <x v="95"/>
    <s v="Patents, nonresidents"/>
    <n v="0"/>
    <n v="77"/>
    <s v="77. Andorra"/>
  </r>
  <r>
    <x v="146"/>
    <s v="Patents, nonresidents"/>
    <n v="0"/>
    <n v="78"/>
    <s v="78. Antigua and Barbuda"/>
  </r>
  <r>
    <x v="40"/>
    <s v="Patents, nonresidents"/>
    <n v="0"/>
    <n v="79"/>
    <s v="79. Armenia"/>
  </r>
  <r>
    <x v="43"/>
    <s v="Patents, nonresidents"/>
    <n v="0"/>
    <n v="80"/>
    <s v="80. Azerbaijan"/>
  </r>
  <r>
    <x v="184"/>
    <s v="Patents, nonresidents"/>
    <n v="0"/>
    <n v="81"/>
    <s v="81. Belize"/>
  </r>
  <r>
    <x v="167"/>
    <s v="Patents, nonresidents"/>
    <n v="0"/>
    <n v="82"/>
    <s v="82. Bhutan"/>
  </r>
  <r>
    <x v="142"/>
    <s v="Patents, nonresidents"/>
    <n v="0"/>
    <n v="83"/>
    <s v="83. Bosnia and Herzegovina"/>
  </r>
  <r>
    <x v="71"/>
    <s v="Patents, nonresidents"/>
    <n v="0"/>
    <n v="84"/>
    <s v="84. Bulgaria"/>
  </r>
  <r>
    <x v="151"/>
    <s v="Patents, nonresidents"/>
    <n v="0"/>
    <n v="85"/>
    <s v="85. Cabo Verde"/>
  </r>
  <r>
    <x v="130"/>
    <s v="Patents, nonresidents"/>
    <n v="0"/>
    <n v="86"/>
    <s v="86. Croatia"/>
  </r>
  <r>
    <x v="166"/>
    <s v="Patents, nonresidents"/>
    <n v="0"/>
    <n v="87"/>
    <s v="87. Cyprus"/>
  </r>
  <r>
    <x v="12"/>
    <s v="Patents, nonresidents"/>
    <n v="0"/>
    <n v="88"/>
    <s v="88. Djibouti"/>
  </r>
  <r>
    <x v="114"/>
    <s v="Patents, nonresidents"/>
    <n v="0"/>
    <n v="89"/>
    <s v="89. Dominica"/>
  </r>
  <r>
    <x v="138"/>
    <s v="Patents, nonresidents"/>
    <n v="0"/>
    <n v="90"/>
    <s v="90. Estonia"/>
  </r>
  <r>
    <x v="136"/>
    <s v="Patents, nonresidents"/>
    <n v="0"/>
    <n v="91"/>
    <s v="91. Grenada"/>
  </r>
  <r>
    <x v="45"/>
    <s v="Patents, nonresidents"/>
    <n v="0"/>
    <n v="92"/>
    <s v="92. Hungary"/>
  </r>
  <r>
    <x v="160"/>
    <s v="Patents, nonresidents"/>
    <n v="0"/>
    <n v="93"/>
    <s v="93. Iceland"/>
  </r>
  <r>
    <x v="36"/>
    <s v="Patents, nonresidents"/>
    <n v="0"/>
    <n v="94"/>
    <s v="94. Ireland"/>
  </r>
  <r>
    <x v="62"/>
    <s v="Patents, nonresidents"/>
    <n v="0"/>
    <n v="95"/>
    <s v="95. Kenya"/>
  </r>
  <r>
    <x v="52"/>
    <s v="Patents, nonresidents"/>
    <n v="0"/>
    <n v="96"/>
    <s v="96. Kyrgyz Republic"/>
  </r>
  <r>
    <x v="119"/>
    <s v="Patents, nonresidents"/>
    <n v="0"/>
    <n v="97"/>
    <s v="97. Latvia"/>
  </r>
  <r>
    <x v="73"/>
    <s v="Patents, nonresidents"/>
    <n v="0"/>
    <n v="98"/>
    <s v="98. Lithuania"/>
  </r>
  <r>
    <x v="208"/>
    <s v="Patents, nonresidents"/>
    <n v="0"/>
    <n v="99"/>
    <s v="99. Macao SAR, China"/>
  </r>
  <r>
    <x v="18"/>
    <s v="Patents, nonresidents"/>
    <n v="0"/>
    <n v="100"/>
    <s v="100. Madagascar"/>
  </r>
  <r>
    <x v="133"/>
    <s v="Patents, nonresidents"/>
    <n v="0"/>
    <n v="101"/>
    <s v="101. Malta"/>
  </r>
  <r>
    <x v="85"/>
    <s v="Patents, nonresidents"/>
    <n v="0"/>
    <n v="102"/>
    <s v="102. Mauritius"/>
  </r>
  <r>
    <x v="10"/>
    <s v="Patents, nonresidents"/>
    <n v="0"/>
    <n v="103"/>
    <s v="103. Moldova"/>
  </r>
  <r>
    <x v="234"/>
    <s v="Patents, nonresidents"/>
    <n v="0"/>
    <n v="104"/>
    <s v="104. Monaco"/>
  </r>
  <r>
    <x v="55"/>
    <s v="Patents, nonresidents"/>
    <n v="0"/>
    <n v="105"/>
    <s v="105. Mozambique"/>
  </r>
  <r>
    <x v="199"/>
    <s v="Patents, nonresidents"/>
    <n v="0"/>
    <n v="106"/>
    <s v="106. Papua New Guinea"/>
  </r>
  <r>
    <x v="83"/>
    <s v="Patents, nonresidents"/>
    <n v="0"/>
    <n v="107"/>
    <s v="107. Portugal"/>
  </r>
  <r>
    <x v="49"/>
    <s v="Patents, nonresidents"/>
    <n v="0"/>
    <n v="108"/>
    <s v="108. Romania"/>
  </r>
  <r>
    <x v="8"/>
    <s v="Patents, nonresidents"/>
    <n v="0"/>
    <n v="109"/>
    <s v="109. Rwanda"/>
  </r>
  <r>
    <x v="77"/>
    <s v="Patents, nonresidents"/>
    <n v="0"/>
    <n v="110"/>
    <s v="110. Sao Tome and Principe"/>
  </r>
  <r>
    <x v="93"/>
    <s v="Patents, nonresidents"/>
    <n v="0"/>
    <n v="111"/>
    <s v="111. Serbia"/>
  </r>
  <r>
    <x v="198"/>
    <s v="Patents, nonresidents"/>
    <n v="0"/>
    <n v="112"/>
    <s v="112. Seychelles"/>
  </r>
  <r>
    <x v="103"/>
    <s v="Patents, nonresidents"/>
    <n v="0"/>
    <n v="113"/>
    <s v="113. Slovak Republic"/>
  </r>
  <r>
    <x v="122"/>
    <s v="Patents, nonresidents"/>
    <n v="0"/>
    <n v="114"/>
    <s v="114. Slovenia"/>
  </r>
  <r>
    <x v="155"/>
    <s v="Patents, nonresidents"/>
    <n v="0"/>
    <n v="115"/>
    <s v="115. St. Vincent and the Grenadines"/>
  </r>
  <r>
    <x v="11"/>
    <s v="Patents, nonresidents"/>
    <n v="0"/>
    <n v="116"/>
    <s v="116. Syrian Arab Republic"/>
  </r>
  <r>
    <x v="65"/>
    <s v="Patents, nonresidents"/>
    <n v="0"/>
    <n v="117"/>
    <s v="117. Tonga"/>
  </r>
  <r>
    <x v="39"/>
    <s v="Patents, nonresidents"/>
    <n v="0"/>
    <n v="118"/>
    <s v="118. Tuvalu"/>
  </r>
  <r>
    <x v="15"/>
    <s v="Patents, nonresidents"/>
    <n v="0"/>
    <n v="119"/>
    <s v="119. Uganda"/>
  </r>
  <r>
    <x v="80"/>
    <s v="Patents, nonresidents"/>
    <n v="0"/>
    <n v="120"/>
    <s v="120. Yemen, Rep."/>
  </r>
  <r>
    <x v="117"/>
    <s v="Patents, nonresidents"/>
    <n v="0"/>
    <n v="121"/>
    <s v="121. Zambia"/>
  </r>
  <r>
    <x v="46"/>
    <s v="Patents, residents"/>
    <n v="1426.6"/>
    <n v="1"/>
    <s v="1. China"/>
  </r>
  <r>
    <x v="72"/>
    <s v="Patents, residents"/>
    <n v="262.2"/>
    <n v="2"/>
    <s v="2. United States"/>
  </r>
  <r>
    <x v="169"/>
    <s v="Patents, residents"/>
    <n v="222.5"/>
    <n v="3"/>
    <s v="3. Japan"/>
  </r>
  <r>
    <x v="161"/>
    <s v="Patents, residents"/>
    <n v="186.2"/>
    <n v="4"/>
    <s v="4. Korea, Rep."/>
  </r>
  <r>
    <x v="67"/>
    <s v="Patents, residents"/>
    <n v="39.799999999999997"/>
    <n v="5"/>
    <s v="5. Germany"/>
  </r>
  <r>
    <x v="38"/>
    <s v="Patents, residents"/>
    <n v="26.3"/>
    <n v="6"/>
    <s v="6. India"/>
  </r>
  <r>
    <x v="168"/>
    <s v="Patents, residents"/>
    <n v="19.600000000000001"/>
    <n v="7"/>
    <s v="7. Russian Federation"/>
  </r>
  <r>
    <x v="56"/>
    <s v="Patents, residents"/>
    <n v="13.4"/>
    <n v="8"/>
    <s v="8. France"/>
  </r>
  <r>
    <x v="20"/>
    <s v="Patents, residents"/>
    <n v="11.6"/>
    <n v="9"/>
    <s v="9. United Kingdom"/>
  </r>
  <r>
    <x v="81"/>
    <s v="Patents, residents"/>
    <n v="10.3"/>
    <n v="10"/>
    <s v="10. Italy"/>
  </r>
  <r>
    <x v="127"/>
    <s v="Patents, residents"/>
    <n v="10.199999999999999"/>
    <n v="11"/>
    <s v="11. Iran, Islamic Rep."/>
  </r>
  <r>
    <x v="59"/>
    <s v="Patents, residents"/>
    <n v="8.1999999999999993"/>
    <n v="12"/>
    <s v="12. Turkiye"/>
  </r>
  <r>
    <x v="128"/>
    <s v="Patents, residents"/>
    <n v="4.7"/>
    <n v="13"/>
    <s v="13. Brazil"/>
  </r>
  <r>
    <x v="188"/>
    <s v="Patents, residents"/>
    <n v="4.7"/>
    <n v="14"/>
    <s v="14. Canada"/>
  </r>
  <r>
    <x v="66"/>
    <s v="Patents, residents"/>
    <n v="3.4"/>
    <n v="15"/>
    <s v="15. Poland"/>
  </r>
  <r>
    <x v="68"/>
    <s v="Patents, residents"/>
    <n v="3"/>
    <n v="16"/>
    <s v="16. Australia"/>
  </r>
  <r>
    <x v="53"/>
    <s v="Patents, residents"/>
    <n v="2.1"/>
    <n v="17"/>
    <s v="17. Netherlands"/>
  </r>
  <r>
    <x v="205"/>
    <s v="Patents, residents"/>
    <n v="2"/>
    <n v="18"/>
    <s v="18. Singapore"/>
  </r>
  <r>
    <x v="120"/>
    <s v="Patents, residents"/>
    <n v="1.9"/>
    <n v="19"/>
    <s v="19. Austria"/>
  </r>
  <r>
    <x v="6"/>
    <s v="Patents, residents"/>
    <n v="1.8"/>
    <n v="20"/>
    <s v="20. South Africa"/>
  </r>
  <r>
    <x v="186"/>
    <s v="Patents, residents"/>
    <n v="1.8"/>
    <n v="21"/>
    <s v="21. Sweden"/>
  </r>
  <r>
    <x v="185"/>
    <s v="Patents, residents"/>
    <n v="1.6"/>
    <n v="22"/>
    <s v="22. Finland"/>
  </r>
  <r>
    <x v="134"/>
    <s v="Patents, residents"/>
    <n v="1.6"/>
    <n v="23"/>
    <s v="23. Israel"/>
  </r>
  <r>
    <x v="126"/>
    <s v="Patents, residents"/>
    <n v="1.4"/>
    <n v="24"/>
    <s v="24. Indonesia"/>
  </r>
  <r>
    <x v="4"/>
    <s v="Patents, residents"/>
    <n v="1.4"/>
    <n v="25"/>
    <s v="25. Saudi Arabia"/>
  </r>
  <r>
    <x v="61"/>
    <s v="Patents, residents"/>
    <n v="1.3"/>
    <n v="26"/>
    <s v="26. Spain"/>
  </r>
  <r>
    <x v="104"/>
    <s v="Patents, residents"/>
    <n v="1.3"/>
    <n v="27"/>
    <s v="27. Switzerland"/>
  </r>
  <r>
    <x v="17"/>
    <s v="Patents, residents"/>
    <n v="1.3"/>
    <n v="28"/>
    <s v="28. Ukraine"/>
  </r>
  <r>
    <x v="28"/>
    <s v="Patents, residents"/>
    <n v="1.1000000000000001"/>
    <n v="29"/>
    <s v="29. Denmark"/>
  </r>
  <r>
    <x v="58"/>
    <s v="Patents, residents"/>
    <n v="1.1000000000000001"/>
    <n v="30"/>
    <s v="30. Mexico"/>
  </r>
  <r>
    <x v="97"/>
    <s v="Patents, residents"/>
    <n v="1.1000000000000001"/>
    <n v="31"/>
    <s v="31. Viet Nam"/>
  </r>
  <r>
    <x v="193"/>
    <s v="Patents, residents"/>
    <n v="0.9"/>
    <n v="32"/>
    <s v="32. Egypt, Arab Rep."/>
  </r>
  <r>
    <x v="131"/>
    <s v="Patents, residents"/>
    <n v="0.9"/>
    <n v="33"/>
    <s v="33. Malaysia"/>
  </r>
  <r>
    <x v="200"/>
    <s v="Patents, residents"/>
    <n v="0.9"/>
    <n v="34"/>
    <s v="34. Norway"/>
  </r>
  <r>
    <x v="82"/>
    <s v="Patents, residents"/>
    <n v="0.9"/>
    <n v="35"/>
    <s v="35. Thailand"/>
  </r>
  <r>
    <x v="79"/>
    <s v="Patents, residents"/>
    <n v="0.8"/>
    <n v="36"/>
    <s v="36. Belgium"/>
  </r>
  <r>
    <x v="49"/>
    <s v="Patents, residents"/>
    <n v="0.8"/>
    <n v="37"/>
    <s v="37. Romania"/>
  </r>
  <r>
    <x v="83"/>
    <s v="Patents, residents"/>
    <n v="0.7"/>
    <n v="38"/>
    <s v="38. Portugal"/>
  </r>
  <r>
    <x v="74"/>
    <s v="Patents, residents"/>
    <n v="0.5"/>
    <n v="39"/>
    <s v="39. Czechia"/>
  </r>
  <r>
    <x v="86"/>
    <s v="Patents, residents"/>
    <n v="0.5"/>
    <n v="40"/>
    <s v="40. Philippines"/>
  </r>
  <r>
    <x v="87"/>
    <s v="Patents, residents"/>
    <n v="0.4"/>
    <n v="41"/>
    <s v="41. Argentina"/>
  </r>
  <r>
    <x v="165"/>
    <s v="Patents, residents"/>
    <n v="0.4"/>
    <n v="42"/>
    <s v="42. Chile"/>
  </r>
  <r>
    <x v="108"/>
    <s v="Patents, residents"/>
    <n v="0.4"/>
    <n v="43"/>
    <s v="43. Colombia"/>
  </r>
  <r>
    <x v="92"/>
    <s v="Patents, residents"/>
    <n v="0.4"/>
    <n v="44"/>
    <s v="44. Greece"/>
  </r>
  <r>
    <x v="195"/>
    <s v="Patents, residents"/>
    <n v="0.4"/>
    <n v="45"/>
    <s v="45. Hong Kong SAR, China"/>
  </r>
  <r>
    <x v="45"/>
    <s v="Patents, residents"/>
    <n v="0.4"/>
    <n v="46"/>
    <s v="46. Hungary"/>
  </r>
  <r>
    <x v="70"/>
    <s v="Patents, residents"/>
    <n v="0.4"/>
    <n v="47"/>
    <s v="47. Pakistan"/>
  </r>
  <r>
    <x v="42"/>
    <s v="Patents, residents"/>
    <n v="0.4"/>
    <n v="48"/>
    <s v="48. Uzbekistan"/>
  </r>
  <r>
    <x v="157"/>
    <s v="Patents, residents"/>
    <n v="0.3"/>
    <n v="49"/>
    <s v="49. Algeria"/>
  </r>
  <r>
    <x v="96"/>
    <s v="Patents, residents"/>
    <n v="0.3"/>
    <n v="50"/>
    <s v="50. Belarus"/>
  </r>
  <r>
    <x v="26"/>
    <s v="Patents, residents"/>
    <n v="0.3"/>
    <n v="51"/>
    <s v="51. Morocco"/>
  </r>
  <r>
    <x v="106"/>
    <s v="Patents, residents"/>
    <n v="0.3"/>
    <n v="52"/>
    <s v="52. New Zealand"/>
  </r>
  <r>
    <x v="64"/>
    <s v="Patents, residents"/>
    <n v="0.3"/>
    <n v="53"/>
    <s v="53. Sri Lanka"/>
  </r>
  <r>
    <x v="71"/>
    <s v="Patents, residents"/>
    <n v="0.2"/>
    <n v="54"/>
    <s v="54. Bulgaria"/>
  </r>
  <r>
    <x v="62"/>
    <s v="Patents, residents"/>
    <n v="0.2"/>
    <n v="55"/>
    <s v="55. Kenya"/>
  </r>
  <r>
    <x v="122"/>
    <s v="Patents, residents"/>
    <n v="0.2"/>
    <n v="56"/>
    <s v="56. Slovenia"/>
  </r>
  <r>
    <x v="43"/>
    <s v="Patents, residents"/>
    <n v="0.1"/>
    <n v="57"/>
    <s v="57. Azerbaijan"/>
  </r>
  <r>
    <x v="14"/>
    <s v="Patents, residents"/>
    <n v="0.1"/>
    <n v="58"/>
    <s v="58. Bangladesh"/>
  </r>
  <r>
    <x v="137"/>
    <s v="Patents, residents"/>
    <n v="0.1"/>
    <n v="59"/>
    <s v="59. Barbados"/>
  </r>
  <r>
    <x v="142"/>
    <s v="Patents, residents"/>
    <n v="0.1"/>
    <n v="60"/>
    <s v="60. Bosnia and Herzegovina"/>
  </r>
  <r>
    <x v="130"/>
    <s v="Patents, residents"/>
    <n v="0.1"/>
    <n v="61"/>
    <s v="61. Croatia"/>
  </r>
  <r>
    <x v="113"/>
    <s v="Patents, residents"/>
    <n v="0.1"/>
    <n v="62"/>
    <s v="62. Georgia"/>
  </r>
  <r>
    <x v="36"/>
    <s v="Patents, residents"/>
    <n v="0.1"/>
    <n v="63"/>
    <s v="63. Ireland"/>
  </r>
  <r>
    <x v="52"/>
    <s v="Patents, residents"/>
    <n v="0.1"/>
    <n v="64"/>
    <s v="64. Kyrgyz Republic"/>
  </r>
  <r>
    <x v="119"/>
    <s v="Patents, residents"/>
    <n v="0.1"/>
    <n v="65"/>
    <s v="65. Latvia"/>
  </r>
  <r>
    <x v="73"/>
    <s v="Patents, residents"/>
    <n v="0.1"/>
    <n v="66"/>
    <s v="66. Lithuania"/>
  </r>
  <r>
    <x v="57"/>
    <s v="Patents, residents"/>
    <n v="0.1"/>
    <n v="67"/>
    <s v="67. Luxembourg"/>
  </r>
  <r>
    <x v="10"/>
    <s v="Patents, residents"/>
    <n v="0.1"/>
    <n v="68"/>
    <s v="68. Moldova"/>
  </r>
  <r>
    <x v="25"/>
    <s v="Patents, residents"/>
    <n v="0.1"/>
    <n v="69"/>
    <s v="69. Mongolia"/>
  </r>
  <r>
    <x v="153"/>
    <s v="Patents, residents"/>
    <n v="0.1"/>
    <n v="70"/>
    <s v="70. Peru"/>
  </r>
  <r>
    <x v="93"/>
    <s v="Patents, residents"/>
    <n v="0.1"/>
    <n v="71"/>
    <s v="71. Serbia"/>
  </r>
  <r>
    <x v="103"/>
    <s v="Patents, residents"/>
    <n v="0.1"/>
    <n v="72"/>
    <s v="72. Slovak Republic"/>
  </r>
  <r>
    <x v="11"/>
    <s v="Patents, residents"/>
    <n v="0.1"/>
    <n v="73"/>
    <s v="73. Syrian Arab Republic"/>
  </r>
  <r>
    <x v="191"/>
    <s v="Patents, residents"/>
    <n v="0.1"/>
    <n v="74"/>
    <s v="74. United Arab Emirates"/>
  </r>
  <r>
    <x v="102"/>
    <s v="Patents, residents"/>
    <n v="0"/>
    <n v="75"/>
    <s v="75. Albania"/>
  </r>
  <r>
    <x v="95"/>
    <s v="Patents, residents"/>
    <n v="0"/>
    <n v="76"/>
    <s v="76. Andorra"/>
  </r>
  <r>
    <x v="40"/>
    <s v="Patents, residents"/>
    <n v="0"/>
    <n v="77"/>
    <s v="77. Armenia"/>
  </r>
  <r>
    <x v="174"/>
    <s v="Patents, residents"/>
    <n v="0"/>
    <n v="78"/>
    <s v="78. Bahrain"/>
  </r>
  <r>
    <x v="109"/>
    <s v="Patents, residents"/>
    <n v="0"/>
    <n v="79"/>
    <s v="79. Bolivia"/>
  </r>
  <r>
    <x v="75"/>
    <s v="Patents, residents"/>
    <n v="0"/>
    <n v="80"/>
    <s v="80. Botswana"/>
  </r>
  <r>
    <x v="201"/>
    <s v="Patents, residents"/>
    <n v="0"/>
    <n v="81"/>
    <s v="81. Brunei Darussalam"/>
  </r>
  <r>
    <x v="151"/>
    <s v="Patents, residents"/>
    <n v="0"/>
    <n v="82"/>
    <s v="82. Cabo Verde"/>
  </r>
  <r>
    <x v="115"/>
    <s v="Patents, residents"/>
    <n v="0"/>
    <n v="83"/>
    <s v="83. Costa Rica"/>
  </r>
  <r>
    <x v="35"/>
    <s v="Patents, residents"/>
    <n v="0"/>
    <n v="84"/>
    <s v="84. Cuba"/>
  </r>
  <r>
    <x v="166"/>
    <s v="Patents, residents"/>
    <n v="0"/>
    <n v="85"/>
    <s v="85. Cyprus"/>
  </r>
  <r>
    <x v="12"/>
    <s v="Patents, residents"/>
    <n v="0"/>
    <n v="86"/>
    <s v="86. Djibouti"/>
  </r>
  <r>
    <x v="47"/>
    <s v="Patents, residents"/>
    <n v="0"/>
    <n v="87"/>
    <s v="87. Dominican Republic"/>
  </r>
  <r>
    <x v="144"/>
    <s v="Patents, residents"/>
    <n v="0"/>
    <n v="88"/>
    <s v="88. Ecuador"/>
  </r>
  <r>
    <x v="44"/>
    <s v="Patents, residents"/>
    <n v="0"/>
    <n v="89"/>
    <s v="89. El Salvador"/>
  </r>
  <r>
    <x v="138"/>
    <s v="Patents, residents"/>
    <n v="0"/>
    <n v="90"/>
    <s v="90. Estonia"/>
  </r>
  <r>
    <x v="84"/>
    <s v="Patents, residents"/>
    <n v="0"/>
    <n v="91"/>
    <s v="91. Guatemala"/>
  </r>
  <r>
    <x v="197"/>
    <s v="Patents, residents"/>
    <n v="0"/>
    <n v="92"/>
    <s v="92. Guyana"/>
  </r>
  <r>
    <x v="160"/>
    <s v="Patents, residents"/>
    <n v="0"/>
    <n v="93"/>
    <s v="93. Iceland"/>
  </r>
  <r>
    <x v="99"/>
    <s v="Patents, residents"/>
    <n v="0"/>
    <n v="94"/>
    <s v="94. Jamaica"/>
  </r>
  <r>
    <x v="170"/>
    <s v="Patents, residents"/>
    <n v="0"/>
    <n v="95"/>
    <s v="95. Jordan"/>
  </r>
  <r>
    <x v="208"/>
    <s v="Patents, residents"/>
    <n v="0"/>
    <n v="96"/>
    <s v="96. Macao SAR, China"/>
  </r>
  <r>
    <x v="18"/>
    <s v="Patents, residents"/>
    <n v="0"/>
    <n v="97"/>
    <s v="97. Madagascar"/>
  </r>
  <r>
    <x v="133"/>
    <s v="Patents, residents"/>
    <n v="0"/>
    <n v="98"/>
    <s v="98. Malta"/>
  </r>
  <r>
    <x v="85"/>
    <s v="Patents, residents"/>
    <n v="0"/>
    <n v="99"/>
    <s v="99. Mauritius"/>
  </r>
  <r>
    <x v="234"/>
    <s v="Patents, residents"/>
    <n v="0"/>
    <n v="100"/>
    <s v="100. Monaco"/>
  </r>
  <r>
    <x v="55"/>
    <s v="Patents, residents"/>
    <n v="0"/>
    <n v="101"/>
    <s v="101. Mozambique"/>
  </r>
  <r>
    <x v="60"/>
    <s v="Patents, residents"/>
    <n v="0"/>
    <n v="102"/>
    <s v="102. North Macedonia"/>
  </r>
  <r>
    <x v="192"/>
    <s v="Patents, residents"/>
    <n v="0"/>
    <n v="103"/>
    <s v="103. Oman"/>
  </r>
  <r>
    <x v="125"/>
    <s v="Patents, residents"/>
    <n v="0"/>
    <n v="104"/>
    <s v="104. Panama"/>
  </r>
  <r>
    <x v="51"/>
    <s v="Patents, residents"/>
    <n v="0"/>
    <n v="105"/>
    <s v="105. Paraguay"/>
  </r>
  <r>
    <x v="189"/>
    <s v="Patents, residents"/>
    <n v="0"/>
    <n v="106"/>
    <s v="106. Qatar"/>
  </r>
  <r>
    <x v="8"/>
    <s v="Patents, residents"/>
    <n v="0"/>
    <n v="107"/>
    <s v="107. Rwanda"/>
  </r>
  <r>
    <x v="156"/>
    <s v="Patents, residents"/>
    <n v="0"/>
    <n v="108"/>
    <s v="108. Samoa"/>
  </r>
  <r>
    <x v="101"/>
    <s v="Patents, residents"/>
    <n v="0"/>
    <n v="109"/>
    <s v="109. San Marino"/>
  </r>
  <r>
    <x v="173"/>
    <s v="Patents, residents"/>
    <n v="0"/>
    <n v="110"/>
    <s v="110. Trinidad and Tobago"/>
  </r>
  <r>
    <x v="15"/>
    <s v="Patents, residents"/>
    <n v="0"/>
    <n v="111"/>
    <s v="111. Uganda"/>
  </r>
  <r>
    <x v="80"/>
    <s v="Patents, residents"/>
    <n v="0"/>
    <n v="112"/>
    <s v="112. Yemen, Rep."/>
  </r>
  <r>
    <x v="117"/>
    <s v="Patents, residents"/>
    <n v="0"/>
    <n v="113"/>
    <s v="113. Zambia"/>
  </r>
  <r>
    <x v="38"/>
    <s v="Population"/>
    <n v="1450.9"/>
    <n v="1"/>
    <s v="1. India"/>
  </r>
  <r>
    <x v="46"/>
    <s v="Population"/>
    <n v="1409"/>
    <n v="2"/>
    <s v="2. China"/>
  </r>
  <r>
    <x v="72"/>
    <s v="Population"/>
    <n v="340.1"/>
    <n v="3"/>
    <s v="3. United States"/>
  </r>
  <r>
    <x v="126"/>
    <s v="Population"/>
    <n v="283.5"/>
    <n v="4"/>
    <s v="4. Indonesia"/>
  </r>
  <r>
    <x v="70"/>
    <s v="Population"/>
    <n v="251.3"/>
    <n v="5"/>
    <s v="5. Pakistan"/>
  </r>
  <r>
    <x v="9"/>
    <s v="Population"/>
    <n v="232.7"/>
    <n v="6"/>
    <s v="6. Nigeria"/>
  </r>
  <r>
    <x v="128"/>
    <s v="Population"/>
    <n v="212"/>
    <n v="7"/>
    <s v="7. Brazil"/>
  </r>
  <r>
    <x v="14"/>
    <s v="Population"/>
    <n v="173.6"/>
    <n v="8"/>
    <s v="8. Bangladesh"/>
  </r>
  <r>
    <x v="168"/>
    <s v="Population"/>
    <n v="143.5"/>
    <n v="9"/>
    <s v="9. Russian Federation"/>
  </r>
  <r>
    <x v="112"/>
    <s v="Population"/>
    <n v="132.1"/>
    <n v="10"/>
    <s v="10. Ethiopia"/>
  </r>
  <r>
    <x v="58"/>
    <s v="Population"/>
    <n v="130.9"/>
    <n v="11"/>
    <s v="11. Mexico"/>
  </r>
  <r>
    <x v="169"/>
    <s v="Population"/>
    <n v="124"/>
    <n v="12"/>
    <s v="12. Japan"/>
  </r>
  <r>
    <x v="193"/>
    <s v="Population"/>
    <n v="116.5"/>
    <n v="13"/>
    <s v="13. Egypt, Arab Rep."/>
  </r>
  <r>
    <x v="86"/>
    <s v="Population"/>
    <n v="115.8"/>
    <n v="14"/>
    <s v="14. Philippines"/>
  </r>
  <r>
    <x v="162"/>
    <s v="Population"/>
    <n v="109.3"/>
    <n v="15"/>
    <s v="15. Congo, Dem. Rep."/>
  </r>
  <r>
    <x v="97"/>
    <s v="Population"/>
    <n v="101"/>
    <n v="16"/>
    <s v="16. Viet Nam"/>
  </r>
  <r>
    <x v="127"/>
    <s v="Population"/>
    <n v="91.6"/>
    <n v="17"/>
    <s v="17. Iran, Islamic Rep."/>
  </r>
  <r>
    <x v="59"/>
    <s v="Population"/>
    <n v="85.5"/>
    <n v="18"/>
    <s v="18. Turkiye"/>
  </r>
  <r>
    <x v="67"/>
    <s v="Population"/>
    <n v="83.5"/>
    <n v="19"/>
    <s v="19. Germany"/>
  </r>
  <r>
    <x v="82"/>
    <s v="Population"/>
    <n v="71.7"/>
    <n v="20"/>
    <s v="20. Thailand"/>
  </r>
  <r>
    <x v="20"/>
    <s v="Population"/>
    <n v="69.2"/>
    <n v="21"/>
    <s v="21. United Kingdom"/>
  </r>
  <r>
    <x v="78"/>
    <s v="Population"/>
    <n v="68.599999999999994"/>
    <n v="22"/>
    <s v="22. Tanzania"/>
  </r>
  <r>
    <x v="56"/>
    <s v="Population"/>
    <n v="68.5"/>
    <n v="23"/>
    <s v="23. France"/>
  </r>
  <r>
    <x v="6"/>
    <s v="Population"/>
    <n v="64"/>
    <n v="24"/>
    <s v="24. South Africa"/>
  </r>
  <r>
    <x v="81"/>
    <s v="Population"/>
    <n v="59"/>
    <n v="25"/>
    <s v="25. Italy"/>
  </r>
  <r>
    <x v="62"/>
    <s v="Population"/>
    <n v="56.4"/>
    <n v="26"/>
    <s v="26. Kenya"/>
  </r>
  <r>
    <x v="149"/>
    <s v="Population"/>
    <n v="54.5"/>
    <n v="27"/>
    <s v="27. Myanmar"/>
  </r>
  <r>
    <x v="108"/>
    <s v="Population"/>
    <n v="52.9"/>
    <n v="28"/>
    <s v="28. Colombia"/>
  </r>
  <r>
    <x v="161"/>
    <s v="Population"/>
    <n v="51.8"/>
    <n v="29"/>
    <s v="29. Korea, Rep."/>
  </r>
  <r>
    <x v="37"/>
    <s v="Population"/>
    <n v="50.4"/>
    <n v="30"/>
    <s v="30. Sudan"/>
  </r>
  <r>
    <x v="15"/>
    <s v="Population"/>
    <n v="50"/>
    <n v="31"/>
    <s v="31. Uganda"/>
  </r>
  <r>
    <x v="61"/>
    <s v="Population"/>
    <n v="48.8"/>
    <n v="32"/>
    <s v="32. Spain"/>
  </r>
  <r>
    <x v="157"/>
    <s v="Population"/>
    <n v="46.8"/>
    <n v="33"/>
    <s v="33. Algeria"/>
  </r>
  <r>
    <x v="141"/>
    <s v="Population"/>
    <n v="46"/>
    <n v="34"/>
    <s v="34. Iraq"/>
  </r>
  <r>
    <x v="87"/>
    <s v="Population"/>
    <n v="45.7"/>
    <n v="35"/>
    <s v="35. Argentina"/>
  </r>
  <r>
    <x v="41"/>
    <s v="Population"/>
    <n v="42.6"/>
    <n v="36"/>
    <s v="36. Afghanistan"/>
  </r>
  <r>
    <x v="188"/>
    <s v="Population"/>
    <n v="41.3"/>
    <n v="37"/>
    <s v="37. Canada"/>
  </r>
  <r>
    <x v="80"/>
    <s v="Population"/>
    <n v="40.6"/>
    <n v="38"/>
    <s v="38. Yemen, Rep."/>
  </r>
  <r>
    <x v="26"/>
    <s v="Population"/>
    <n v="38.1"/>
    <n v="39"/>
    <s v="39. Morocco"/>
  </r>
  <r>
    <x v="105"/>
    <s v="Population"/>
    <n v="37.9"/>
    <n v="40"/>
    <s v="40. Angola"/>
  </r>
  <r>
    <x v="17"/>
    <s v="Population"/>
    <n v="37.9"/>
    <n v="41"/>
    <s v="41. Ukraine"/>
  </r>
  <r>
    <x v="66"/>
    <s v="Population"/>
    <n v="36.6"/>
    <n v="42"/>
    <s v="42. Poland"/>
  </r>
  <r>
    <x v="42"/>
    <s v="Population"/>
    <n v="36.4"/>
    <n v="43"/>
    <s v="43. Uzbekistan"/>
  </r>
  <r>
    <x v="131"/>
    <s v="Population"/>
    <n v="35.6"/>
    <n v="44"/>
    <s v="44. Malaysia"/>
  </r>
  <r>
    <x v="4"/>
    <s v="Population"/>
    <n v="35.299999999999997"/>
    <n v="45"/>
    <s v="45. Saudi Arabia"/>
  </r>
  <r>
    <x v="55"/>
    <s v="Population"/>
    <n v="34.6"/>
    <n v="46"/>
    <s v="46. Mozambique"/>
  </r>
  <r>
    <x v="48"/>
    <s v="Population"/>
    <n v="34.4"/>
    <n v="47"/>
    <s v="47. Ghana"/>
  </r>
  <r>
    <x v="153"/>
    <s v="Population"/>
    <n v="34.200000000000003"/>
    <n v="48"/>
    <s v="48. Peru"/>
  </r>
  <r>
    <x v="18"/>
    <s v="Population"/>
    <n v="32"/>
    <n v="49"/>
    <s v="49. Madagascar"/>
  </r>
  <r>
    <x v="0"/>
    <s v="Population"/>
    <n v="31.9"/>
    <n v="50"/>
    <s v="50. Cote d'Ivoire"/>
  </r>
  <r>
    <x v="132"/>
    <s v="Population"/>
    <n v="29.7"/>
    <n v="51"/>
    <s v="51. Nepal"/>
  </r>
  <r>
    <x v="145"/>
    <s v="Population"/>
    <n v="29.1"/>
    <n v="52"/>
    <s v="52. Cameroon"/>
  </r>
  <r>
    <x v="135"/>
    <s v="Population"/>
    <n v="28.4"/>
    <n v="53"/>
    <s v="53. Venezuela, RB"/>
  </r>
  <r>
    <x v="68"/>
    <s v="Population"/>
    <n v="27.2"/>
    <n v="54"/>
    <s v="54. Australia"/>
  </r>
  <r>
    <x v="107"/>
    <s v="Population"/>
    <n v="27"/>
    <n v="55"/>
    <s v="55. Niger"/>
  </r>
  <r>
    <x v="11"/>
    <s v="Population"/>
    <n v="24.7"/>
    <n v="56"/>
    <s v="56. Syrian Arab Republic"/>
  </r>
  <r>
    <x v="110"/>
    <s v="Population"/>
    <n v="24.5"/>
    <n v="57"/>
    <s v="57. Mali"/>
  </r>
  <r>
    <x v="54"/>
    <s v="Population"/>
    <n v="23.5"/>
    <n v="58"/>
    <s v="58. Burkina Faso"/>
  </r>
  <r>
    <x v="64"/>
    <s v="Population"/>
    <n v="21.9"/>
    <n v="59"/>
    <s v="59. Sri Lanka"/>
  </r>
  <r>
    <x v="31"/>
    <s v="Population"/>
    <n v="21.7"/>
    <n v="60"/>
    <s v="60. Malawi"/>
  </r>
  <r>
    <x v="117"/>
    <s v="Population"/>
    <n v="21.3"/>
    <n v="61"/>
    <s v="61. Zambia"/>
  </r>
  <r>
    <x v="5"/>
    <s v="Population"/>
    <n v="20.6"/>
    <n v="62"/>
    <s v="62. Kazakhstan"/>
  </r>
  <r>
    <x v="94"/>
    <s v="Population"/>
    <n v="20.3"/>
    <n v="63"/>
    <s v="63. Chad"/>
  </r>
  <r>
    <x v="165"/>
    <s v="Population"/>
    <n v="19.8"/>
    <n v="64"/>
    <s v="64. Chile"/>
  </r>
  <r>
    <x v="49"/>
    <s v="Population"/>
    <n v="19.100000000000001"/>
    <n v="65"/>
    <s v="65. Romania"/>
  </r>
  <r>
    <x v="19"/>
    <s v="Population"/>
    <n v="19"/>
    <n v="66"/>
    <s v="66. Somalia, Fed. Rep."/>
  </r>
  <r>
    <x v="63"/>
    <s v="Population"/>
    <n v="18.5"/>
    <n v="67"/>
    <s v="67. Senegal"/>
  </r>
  <r>
    <x v="84"/>
    <s v="Population"/>
    <n v="18.399999999999999"/>
    <n v="68"/>
    <s v="68. Guatemala"/>
  </r>
  <r>
    <x v="144"/>
    <s v="Population"/>
    <n v="18.100000000000001"/>
    <n v="69"/>
    <s v="69. Ecuador"/>
  </r>
  <r>
    <x v="53"/>
    <s v="Population"/>
    <n v="18"/>
    <n v="70"/>
    <s v="70. Netherlands"/>
  </r>
  <r>
    <x v="111"/>
    <s v="Population"/>
    <n v="17.600000000000001"/>
    <n v="71"/>
    <s v="71. Cambodia"/>
  </r>
  <r>
    <x v="91"/>
    <s v="Population"/>
    <n v="16.600000000000001"/>
    <n v="72"/>
    <s v="72. Zimbabwe"/>
  </r>
  <r>
    <x v="13"/>
    <s v="Population"/>
    <n v="14.8"/>
    <n v="73"/>
    <s v="73. Guinea"/>
  </r>
  <r>
    <x v="90"/>
    <s v="Population"/>
    <n v="14.5"/>
    <n v="74"/>
    <s v="74. Benin"/>
  </r>
  <r>
    <x v="8"/>
    <s v="Population"/>
    <n v="14.3"/>
    <n v="75"/>
    <s v="75. Rwanda"/>
  </r>
  <r>
    <x v="2"/>
    <s v="Population"/>
    <n v="14"/>
    <n v="76"/>
    <s v="76. Burundi"/>
  </r>
  <r>
    <x v="109"/>
    <s v="Population"/>
    <n v="12.4"/>
    <n v="77"/>
    <s v="77. Bolivia"/>
  </r>
  <r>
    <x v="34"/>
    <s v="Population"/>
    <n v="12.3"/>
    <n v="78"/>
    <s v="78. Tunisia"/>
  </r>
  <r>
    <x v="79"/>
    <s v="Population"/>
    <n v="11.9"/>
    <n v="79"/>
    <s v="79. Belgium"/>
  </r>
  <r>
    <x v="76"/>
    <s v="Population"/>
    <n v="11.9"/>
    <n v="80"/>
    <s v="80. South Sudan"/>
  </r>
  <r>
    <x v="29"/>
    <s v="Population"/>
    <n v="11.8"/>
    <n v="81"/>
    <s v="81. Haiti"/>
  </r>
  <r>
    <x v="170"/>
    <s v="Population"/>
    <n v="11.6"/>
    <n v="82"/>
    <s v="82. Jordan"/>
  </r>
  <r>
    <x v="47"/>
    <s v="Population"/>
    <n v="11.4"/>
    <n v="83"/>
    <s v="83. Dominican Republic"/>
  </r>
  <r>
    <x v="35"/>
    <s v="Population"/>
    <n v="11"/>
    <n v="84"/>
    <s v="84. Cuba"/>
  </r>
  <r>
    <x v="74"/>
    <s v="Population"/>
    <n v="10.9"/>
    <n v="85"/>
    <s v="85. Czechia"/>
  </r>
  <r>
    <x v="191"/>
    <s v="Population"/>
    <n v="10.9"/>
    <n v="86"/>
    <s v="86. United Arab Emirates"/>
  </r>
  <r>
    <x v="118"/>
    <s v="Population"/>
    <n v="10.8"/>
    <n v="87"/>
    <s v="87. Honduras"/>
  </r>
  <r>
    <x v="83"/>
    <s v="Population"/>
    <n v="10.7"/>
    <n v="88"/>
    <s v="88. Portugal"/>
  </r>
  <r>
    <x v="199"/>
    <s v="Population"/>
    <n v="10.6"/>
    <n v="89"/>
    <s v="89. Papua New Guinea"/>
  </r>
  <r>
    <x v="186"/>
    <s v="Population"/>
    <n v="10.6"/>
    <n v="90"/>
    <s v="90. Sweden"/>
  </r>
  <r>
    <x v="129"/>
    <s v="Population"/>
    <n v="10.6"/>
    <n v="91"/>
    <s v="91. Tajikistan"/>
  </r>
  <r>
    <x v="92"/>
    <s v="Population"/>
    <n v="10.4"/>
    <n v="92"/>
    <s v="92. Greece"/>
  </r>
  <r>
    <x v="43"/>
    <s v="Population"/>
    <n v="10.199999999999999"/>
    <n v="93"/>
    <s v="93. Azerbaijan"/>
  </r>
  <r>
    <x v="134"/>
    <s v="Population"/>
    <n v="10"/>
    <n v="94"/>
    <s v="94. Israel"/>
  </r>
  <r>
    <x v="45"/>
    <s v="Population"/>
    <n v="9.6"/>
    <n v="95"/>
    <s v="95. Hungary"/>
  </r>
  <r>
    <x v="21"/>
    <s v="Population"/>
    <n v="9.5"/>
    <n v="96"/>
    <s v="96. Togo"/>
  </r>
  <r>
    <x v="120"/>
    <s v="Population"/>
    <n v="9.1999999999999993"/>
    <n v="97"/>
    <s v="97. Austria"/>
  </r>
  <r>
    <x v="96"/>
    <s v="Population"/>
    <n v="9.1"/>
    <n v="98"/>
    <s v="98. Belarus"/>
  </r>
  <r>
    <x v="104"/>
    <s v="Population"/>
    <n v="9"/>
    <n v="99"/>
    <s v="99. Switzerland"/>
  </r>
  <r>
    <x v="50"/>
    <s v="Population"/>
    <n v="8.6"/>
    <n v="100"/>
    <s v="100. Sierra Leone"/>
  </r>
  <r>
    <x v="176"/>
    <s v="Population"/>
    <n v="7.8"/>
    <n v="101"/>
    <s v="101. Lao PDR"/>
  </r>
  <r>
    <x v="195"/>
    <s v="Population"/>
    <n v="7.5"/>
    <n v="102"/>
    <s v="102. Hong Kong SAR, China"/>
  </r>
  <r>
    <x v="1"/>
    <s v="Population"/>
    <n v="7.5"/>
    <n v="103"/>
    <s v="103. Turkmenistan"/>
  </r>
  <r>
    <x v="181"/>
    <s v="Population"/>
    <n v="7.4"/>
    <n v="104"/>
    <s v="104. Libya"/>
  </r>
  <r>
    <x v="52"/>
    <s v="Population"/>
    <n v="7.2"/>
    <n v="105"/>
    <s v="105. Kyrgyz Republic"/>
  </r>
  <r>
    <x v="88"/>
    <s v="Population"/>
    <n v="6.9"/>
    <n v="106"/>
    <s v="106. Nicaragua"/>
  </r>
  <r>
    <x v="51"/>
    <s v="Population"/>
    <n v="6.9"/>
    <n v="107"/>
    <s v="107. Paraguay"/>
  </r>
  <r>
    <x v="93"/>
    <s v="Population"/>
    <n v="6.6"/>
    <n v="108"/>
    <s v="108. Serbia"/>
  </r>
  <r>
    <x v="71"/>
    <s v="Population"/>
    <n v="6.4"/>
    <n v="109"/>
    <s v="109. Bulgaria"/>
  </r>
  <r>
    <x v="121"/>
    <s v="Population"/>
    <n v="6.3"/>
    <n v="110"/>
    <s v="110. Congo, Rep."/>
  </r>
  <r>
    <x v="44"/>
    <s v="Population"/>
    <n v="6.3"/>
    <n v="111"/>
    <s v="111. El Salvador"/>
  </r>
  <r>
    <x v="28"/>
    <s v="Population"/>
    <n v="6"/>
    <n v="112"/>
    <s v="112. Denmark"/>
  </r>
  <r>
    <x v="205"/>
    <s v="Population"/>
    <n v="6"/>
    <n v="113"/>
    <s v="113. Singapore"/>
  </r>
  <r>
    <x v="27"/>
    <s v="Population"/>
    <n v="5.8"/>
    <n v="114"/>
    <s v="114. Lebanon"/>
  </r>
  <r>
    <x v="185"/>
    <s v="Population"/>
    <n v="5.6"/>
    <n v="115"/>
    <s v="115. Finland"/>
  </r>
  <r>
    <x v="147"/>
    <s v="Population"/>
    <n v="5.6"/>
    <n v="116"/>
    <s v="116. Liberia"/>
  </r>
  <r>
    <x v="200"/>
    <s v="Population"/>
    <n v="5.6"/>
    <n v="117"/>
    <s v="117. Norway"/>
  </r>
  <r>
    <x v="36"/>
    <s v="Population"/>
    <n v="5.4"/>
    <n v="118"/>
    <s v="118. Ireland"/>
  </r>
  <r>
    <x v="103"/>
    <s v="Population"/>
    <n v="5.4"/>
    <n v="119"/>
    <s v="119. Slovak Republic"/>
  </r>
  <r>
    <x v="179"/>
    <s v="Population"/>
    <n v="5.3"/>
    <n v="120"/>
    <s v="120. Central African Republic"/>
  </r>
  <r>
    <x v="106"/>
    <s v="Population"/>
    <n v="5.3"/>
    <n v="121"/>
    <s v="121. New Zealand"/>
  </r>
  <r>
    <x v="192"/>
    <s v="Population"/>
    <n v="5.3"/>
    <n v="122"/>
    <s v="122. Oman"/>
  </r>
  <r>
    <x v="30"/>
    <s v="Population"/>
    <n v="5.3"/>
    <n v="123"/>
    <s v="123. West Bank and Gaza"/>
  </r>
  <r>
    <x v="100"/>
    <s v="Population"/>
    <n v="5.2"/>
    <n v="124"/>
    <s v="124. Mauritania"/>
  </r>
  <r>
    <x v="115"/>
    <s v="Population"/>
    <n v="5.0999999999999996"/>
    <n v="125"/>
    <s v="125. Costa Rica"/>
  </r>
  <r>
    <x v="183"/>
    <s v="Population"/>
    <n v="5"/>
    <n v="126"/>
    <s v="126. Kuwait"/>
  </r>
  <r>
    <x v="125"/>
    <s v="Population"/>
    <n v="4.5"/>
    <n v="127"/>
    <s v="127. Panama"/>
  </r>
  <r>
    <x v="130"/>
    <s v="Population"/>
    <n v="3.9"/>
    <n v="128"/>
    <s v="128. Croatia"/>
  </r>
  <r>
    <x v="113"/>
    <s v="Population"/>
    <n v="3.7"/>
    <n v="129"/>
    <s v="129. Georgia"/>
  </r>
  <r>
    <x v="32"/>
    <s v="Population"/>
    <n v="3.5"/>
    <n v="130"/>
    <s v="130. Eritrea"/>
  </r>
  <r>
    <x v="25"/>
    <s v="Population"/>
    <n v="3.5"/>
    <n v="131"/>
    <s v="131. Mongolia"/>
  </r>
  <r>
    <x v="3"/>
    <s v="Population"/>
    <n v="3.4"/>
    <n v="132"/>
    <s v="132. Uruguay"/>
  </r>
  <r>
    <x v="142"/>
    <s v="Population"/>
    <n v="3.2"/>
    <n v="133"/>
    <s v="133. Bosnia and Herzegovina"/>
  </r>
  <r>
    <x v="154"/>
    <s v="Population"/>
    <n v="3.2"/>
    <n v="134"/>
    <s v="134. Puerto Rico (US)"/>
  </r>
  <r>
    <x v="40"/>
    <s v="Population"/>
    <n v="3"/>
    <n v="135"/>
    <s v="135. Armenia"/>
  </r>
  <r>
    <x v="69"/>
    <s v="Population"/>
    <n v="3"/>
    <n v="136"/>
    <s v="136. Namibia"/>
  </r>
  <r>
    <x v="73"/>
    <s v="Population"/>
    <n v="2.9"/>
    <n v="137"/>
    <s v="137. Lithuania"/>
  </r>
  <r>
    <x v="189"/>
    <s v="Population"/>
    <n v="2.9"/>
    <n v="138"/>
    <s v="138. Qatar"/>
  </r>
  <r>
    <x v="33"/>
    <s v="Population"/>
    <n v="2.8"/>
    <n v="139"/>
    <s v="139. Gambia, The"/>
  </r>
  <r>
    <x v="99"/>
    <s v="Population"/>
    <n v="2.8"/>
    <n v="140"/>
    <s v="140. Jamaica"/>
  </r>
  <r>
    <x v="102"/>
    <s v="Population"/>
    <n v="2.7"/>
    <n v="141"/>
    <s v="141. Albania"/>
  </r>
  <r>
    <x v="75"/>
    <s v="Population"/>
    <n v="2.5"/>
    <n v="142"/>
    <s v="142. Botswana"/>
  </r>
  <r>
    <x v="182"/>
    <s v="Population"/>
    <n v="2.5"/>
    <n v="143"/>
    <s v="143. Gabon"/>
  </r>
  <r>
    <x v="10"/>
    <s v="Population"/>
    <n v="2.4"/>
    <n v="144"/>
    <s v="144. Moldova"/>
  </r>
  <r>
    <x v="7"/>
    <s v="Population"/>
    <n v="2.2999999999999998"/>
    <n v="145"/>
    <s v="145. Lesotho"/>
  </r>
  <r>
    <x v="123"/>
    <s v="Population"/>
    <n v="2.2000000000000002"/>
    <n v="146"/>
    <s v="146. Guinea-Bissau"/>
  </r>
  <r>
    <x v="122"/>
    <s v="Population"/>
    <n v="2.1"/>
    <n v="147"/>
    <s v="147. Slovenia"/>
  </r>
  <r>
    <x v="196"/>
    <s v="Population"/>
    <n v="1.9"/>
    <n v="148"/>
    <s v="148. Equatorial Guinea"/>
  </r>
  <r>
    <x v="119"/>
    <s v="Population"/>
    <n v="1.9"/>
    <n v="149"/>
    <s v="149. Latvia"/>
  </r>
  <r>
    <x v="60"/>
    <s v="Population"/>
    <n v="1.8"/>
    <n v="150"/>
    <s v="150. North Macedonia"/>
  </r>
  <r>
    <x v="174"/>
    <s v="Population"/>
    <n v="1.6"/>
    <n v="151"/>
    <s v="151. Bahrain"/>
  </r>
  <r>
    <x v="209"/>
    <s v="Population"/>
    <n v="1.5"/>
    <n v="152"/>
    <s v="152. Kosovo"/>
  </r>
  <r>
    <x v="166"/>
    <s v="Population"/>
    <n v="1.4"/>
    <n v="153"/>
    <s v="153. Cyprus"/>
  </r>
  <r>
    <x v="138"/>
    <s v="Population"/>
    <n v="1.4"/>
    <n v="154"/>
    <s v="154. Estonia"/>
  </r>
  <r>
    <x v="140"/>
    <s v="Population"/>
    <n v="1.4"/>
    <n v="155"/>
    <s v="155. Timor-Leste"/>
  </r>
  <r>
    <x v="173"/>
    <s v="Population"/>
    <n v="1.4"/>
    <n v="156"/>
    <s v="156. Trinidad and Tobago"/>
  </r>
  <r>
    <x v="85"/>
    <s v="Population"/>
    <n v="1.3"/>
    <n v="157"/>
    <s v="157. Mauritius"/>
  </r>
  <r>
    <x v="12"/>
    <s v="Population"/>
    <n v="1.2"/>
    <n v="158"/>
    <s v="158. Djibouti"/>
  </r>
  <r>
    <x v="23"/>
    <s v="Population"/>
    <n v="1.2"/>
    <n v="159"/>
    <s v="159. Eswatini"/>
  </r>
  <r>
    <x v="16"/>
    <s v="Population"/>
    <n v="0.9"/>
    <n v="160"/>
    <s v="160. Comoros"/>
  </r>
  <r>
    <x v="158"/>
    <s v="Population"/>
    <n v="0.9"/>
    <n v="161"/>
    <s v="161. Fiji"/>
  </r>
  <r>
    <x v="167"/>
    <s v="Population"/>
    <n v="0.8"/>
    <n v="162"/>
    <s v="162. Bhutan"/>
  </r>
  <r>
    <x v="197"/>
    <s v="Population"/>
    <n v="0.8"/>
    <n v="163"/>
    <s v="163. Guyana"/>
  </r>
  <r>
    <x v="194"/>
    <s v="Population"/>
    <n v="0.8"/>
    <n v="164"/>
    <s v="164. Solomon Islands"/>
  </r>
  <r>
    <x v="57"/>
    <s v="Population"/>
    <n v="0.7"/>
    <n v="165"/>
    <s v="165. Luxembourg"/>
  </r>
  <r>
    <x v="208"/>
    <s v="Population"/>
    <n v="0.7"/>
    <n v="166"/>
    <s v="166. Macao SAR, China"/>
  </r>
  <r>
    <x v="133"/>
    <s v="Population"/>
    <n v="0.6"/>
    <n v="167"/>
    <s v="167. Malta"/>
  </r>
  <r>
    <x v="152"/>
    <s v="Population"/>
    <n v="0.6"/>
    <n v="168"/>
    <s v="168. Montenegro"/>
  </r>
  <r>
    <x v="207"/>
    <s v="Population"/>
    <n v="0.6"/>
    <n v="169"/>
    <s v="169. Suriname"/>
  </r>
  <r>
    <x v="201"/>
    <s v="Population"/>
    <n v="0.5"/>
    <n v="170"/>
    <s v="170. Brunei Darussalam"/>
  </r>
  <r>
    <x v="151"/>
    <s v="Population"/>
    <n v="0.5"/>
    <n v="171"/>
    <s v="171. Cabo Verde"/>
  </r>
  <r>
    <x v="150"/>
    <s v="Population"/>
    <n v="0.5"/>
    <n v="172"/>
    <s v="172. Maldives"/>
  </r>
  <r>
    <x v="202"/>
    <s v="Population"/>
    <n v="0.4"/>
    <n v="173"/>
    <s v="173. Bahamas, The"/>
  </r>
  <r>
    <x v="184"/>
    <s v="Population"/>
    <n v="0.4"/>
    <n v="174"/>
    <s v="174. Belize"/>
  </r>
  <r>
    <x v="160"/>
    <s v="Population"/>
    <n v="0.4"/>
    <n v="175"/>
    <s v="175. Iceland"/>
  </r>
  <r>
    <x v="137"/>
    <s v="Population"/>
    <n v="0.3"/>
    <n v="176"/>
    <s v="176. Barbados"/>
  </r>
  <r>
    <x v="180"/>
    <s v="Population"/>
    <n v="0.3"/>
    <n v="177"/>
    <s v="177. French Polynesia"/>
  </r>
  <r>
    <x v="175"/>
    <s v="Population"/>
    <n v="0.3"/>
    <n v="178"/>
    <s v="178. New Caledonia"/>
  </r>
  <r>
    <x v="163"/>
    <s v="Population"/>
    <n v="0.3"/>
    <n v="179"/>
    <s v="179. Vanuatu"/>
  </r>
  <r>
    <x v="238"/>
    <s v="Population"/>
    <n v="0.2"/>
    <n v="180"/>
    <s v="180. Channel Islands"/>
  </r>
  <r>
    <x v="237"/>
    <s v="Population"/>
    <n v="0.2"/>
    <n v="181"/>
    <s v="181. Curacao"/>
  </r>
  <r>
    <x v="124"/>
    <s v="Population"/>
    <n v="0.2"/>
    <n v="182"/>
    <s v="182. Guam"/>
  </r>
  <r>
    <x v="156"/>
    <s v="Population"/>
    <n v="0.2"/>
    <n v="183"/>
    <s v="183. Samoa"/>
  </r>
  <r>
    <x v="77"/>
    <s v="Population"/>
    <n v="0.2"/>
    <n v="184"/>
    <s v="184. Sao Tome and Principe"/>
  </r>
  <r>
    <x v="159"/>
    <s v="Population"/>
    <n v="0.2"/>
    <n v="185"/>
    <s v="185. St. Lucia"/>
  </r>
  <r>
    <x v="95"/>
    <s v="Population"/>
    <n v="0.1"/>
    <n v="186"/>
    <s v="186. Andorra"/>
  </r>
  <r>
    <x v="146"/>
    <s v="Population"/>
    <n v="0.1"/>
    <n v="187"/>
    <s v="187. Antigua and Barbuda"/>
  </r>
  <r>
    <x v="172"/>
    <s v="Population"/>
    <n v="0.1"/>
    <n v="188"/>
    <s v="188. Aruba"/>
  </r>
  <r>
    <x v="190"/>
    <s v="Population"/>
    <n v="0.1"/>
    <n v="189"/>
    <s v="189. Bermuda"/>
  </r>
  <r>
    <x v="171"/>
    <s v="Population"/>
    <n v="0.1"/>
    <n v="190"/>
    <s v="190. Cayman Islands"/>
  </r>
  <r>
    <x v="114"/>
    <s v="Population"/>
    <n v="0.1"/>
    <n v="191"/>
    <s v="191. Dominica"/>
  </r>
  <r>
    <x v="22"/>
    <s v="Population"/>
    <n v="0.1"/>
    <n v="192"/>
    <s v="192. Faroe Islands"/>
  </r>
  <r>
    <x v="206"/>
    <s v="Population"/>
    <n v="0.1"/>
    <n v="193"/>
    <s v="193. Greenland"/>
  </r>
  <r>
    <x v="136"/>
    <s v="Population"/>
    <n v="0.1"/>
    <n v="194"/>
    <s v="194. Grenada"/>
  </r>
  <r>
    <x v="24"/>
    <s v="Population"/>
    <n v="0.1"/>
    <n v="195"/>
    <s v="195. Isle of Man"/>
  </r>
  <r>
    <x v="89"/>
    <s v="Population"/>
    <n v="0.1"/>
    <n v="196"/>
    <s v="196. Kiribati"/>
  </r>
  <r>
    <x v="187"/>
    <s v="Population"/>
    <n v="0.1"/>
    <n v="197"/>
    <s v="197. Micronesia, Fed. Sts."/>
  </r>
  <r>
    <x v="198"/>
    <s v="Population"/>
    <n v="0.1"/>
    <n v="198"/>
    <s v="198. Seychelles"/>
  </r>
  <r>
    <x v="155"/>
    <s v="Population"/>
    <n v="0.1"/>
    <n v="199"/>
    <s v="199. St. Vincent and the Grenadines"/>
  </r>
  <r>
    <x v="65"/>
    <s v="Population"/>
    <n v="0.1"/>
    <n v="200"/>
    <s v="200. Tonga"/>
  </r>
  <r>
    <x v="177"/>
    <s v="Population"/>
    <n v="0.1"/>
    <n v="201"/>
    <s v="201. Virgin Islands (U.S.)"/>
  </r>
  <r>
    <x v="164"/>
    <s v="Population"/>
    <n v="0"/>
    <n v="202"/>
    <s v="202. American Samoa"/>
  </r>
  <r>
    <x v="116"/>
    <s v="Population"/>
    <n v="0"/>
    <n v="203"/>
    <s v="203. Liechtenstein"/>
  </r>
  <r>
    <x v="98"/>
    <s v="Population"/>
    <n v="0"/>
    <n v="204"/>
    <s v="204. Marshall Islands"/>
  </r>
  <r>
    <x v="234"/>
    <s v="Population"/>
    <n v="0"/>
    <n v="205"/>
    <s v="205. Monaco"/>
  </r>
  <r>
    <x v="148"/>
    <s v="Population"/>
    <n v="0"/>
    <n v="206"/>
    <s v="206. Nauru"/>
  </r>
  <r>
    <x v="203"/>
    <s v="Population"/>
    <n v="0"/>
    <n v="207"/>
    <s v="207. Northern Mariana Islands"/>
  </r>
  <r>
    <x v="178"/>
    <s v="Population"/>
    <n v="0"/>
    <n v="208"/>
    <s v="208. Palau"/>
  </r>
  <r>
    <x v="101"/>
    <s v="Population"/>
    <n v="0"/>
    <n v="209"/>
    <s v="209. San Marino"/>
  </r>
  <r>
    <x v="235"/>
    <s v="Population"/>
    <n v="0"/>
    <n v="210"/>
    <s v="210. Sint Maarten (Dutch part)"/>
  </r>
  <r>
    <x v="139"/>
    <s v="Population"/>
    <n v="0"/>
    <n v="211"/>
    <s v="211. St. Kitts and Nevis"/>
  </r>
  <r>
    <x v="236"/>
    <s v="Population"/>
    <n v="0"/>
    <n v="212"/>
    <s v="212. St. Martin (French part)"/>
  </r>
  <r>
    <x v="204"/>
    <s v="Population"/>
    <n v="0"/>
    <n v="213"/>
    <s v="213. Turks and Caicos Islands"/>
  </r>
  <r>
    <x v="39"/>
    <s v="Population"/>
    <n v="0"/>
    <n v="214"/>
    <s v="214. Tuvalu"/>
  </r>
  <r>
    <x v="234"/>
    <s v="Population ages 65+ share"/>
    <n v="36.200000000000003"/>
    <n v="1"/>
    <s v="1. Monaco"/>
  </r>
  <r>
    <x v="169"/>
    <s v="Population ages 65+ share"/>
    <n v="29.8"/>
    <n v="2"/>
    <s v="2. Japan"/>
  </r>
  <r>
    <x v="154"/>
    <s v="Population ages 65+ share"/>
    <n v="24.7"/>
    <n v="3"/>
    <s v="3. Puerto Rico (US)"/>
  </r>
  <r>
    <x v="81"/>
    <s v="Population ages 65+ share"/>
    <n v="24.6"/>
    <n v="4"/>
    <s v="4. Italy"/>
  </r>
  <r>
    <x v="83"/>
    <s v="Population ages 65+ share"/>
    <n v="24.5"/>
    <n v="5"/>
    <s v="5. Portugal"/>
  </r>
  <r>
    <x v="185"/>
    <s v="Population ages 65+ share"/>
    <n v="23.9"/>
    <n v="6"/>
    <s v="6. Finland"/>
  </r>
  <r>
    <x v="92"/>
    <s v="Population ages 65+ share"/>
    <n v="23.9"/>
    <n v="7"/>
    <s v="7. Greece"/>
  </r>
  <r>
    <x v="130"/>
    <s v="Population ages 65+ share"/>
    <n v="23.2"/>
    <n v="8"/>
    <s v="8. Croatia"/>
  </r>
  <r>
    <x v="67"/>
    <s v="Population ages 65+ share"/>
    <n v="23.2"/>
    <n v="9"/>
    <s v="9. Germany"/>
  </r>
  <r>
    <x v="24"/>
    <s v="Population ages 65+ share"/>
    <n v="23.2"/>
    <n v="10"/>
    <s v="10. Isle of Man"/>
  </r>
  <r>
    <x v="195"/>
    <s v="Population ages 65+ share"/>
    <n v="22.7"/>
    <n v="11"/>
    <s v="11. Hong Kong SAR, China"/>
  </r>
  <r>
    <x v="93"/>
    <s v="Population ages 65+ share"/>
    <n v="22.7"/>
    <n v="12"/>
    <s v="12. Serbia"/>
  </r>
  <r>
    <x v="177"/>
    <s v="Population ages 65+ share"/>
    <n v="22.7"/>
    <n v="13"/>
    <s v="13. Virgin Islands (U.S.)"/>
  </r>
  <r>
    <x v="101"/>
    <s v="Population ages 65+ share"/>
    <n v="22.4"/>
    <n v="14"/>
    <s v="14. San Marino"/>
  </r>
  <r>
    <x v="142"/>
    <s v="Population ages 65+ share"/>
    <n v="22.2"/>
    <n v="15"/>
    <s v="15. Bosnia and Herzegovina"/>
  </r>
  <r>
    <x v="56"/>
    <s v="Population ages 65+ share"/>
    <n v="22.1"/>
    <n v="16"/>
    <s v="16. France"/>
  </r>
  <r>
    <x v="71"/>
    <s v="Population ages 65+ share"/>
    <n v="22"/>
    <n v="17"/>
    <s v="17. Bulgaria"/>
  </r>
  <r>
    <x v="122"/>
    <s v="Population ages 65+ share"/>
    <n v="21.8"/>
    <n v="18"/>
    <s v="18. Slovenia"/>
  </r>
  <r>
    <x v="190"/>
    <s v="Population ages 65+ share"/>
    <n v="21.7"/>
    <n v="19"/>
    <s v="19. Bermuda"/>
  </r>
  <r>
    <x v="119"/>
    <s v="Population ages 65+ share"/>
    <n v="21.7"/>
    <n v="20"/>
    <s v="20. Latvia"/>
  </r>
  <r>
    <x v="138"/>
    <s v="Population ages 65+ share"/>
    <n v="21.3"/>
    <n v="21"/>
    <s v="21. Estonia"/>
  </r>
  <r>
    <x v="61"/>
    <s v="Population ages 65+ share"/>
    <n v="21.1"/>
    <n v="22"/>
    <s v="22. Spain"/>
  </r>
  <r>
    <x v="45"/>
    <s v="Population ages 65+ share"/>
    <n v="21"/>
    <n v="23"/>
    <s v="23. Hungary"/>
  </r>
  <r>
    <x v="28"/>
    <s v="Population ages 65+ share"/>
    <n v="20.9"/>
    <n v="24"/>
    <s v="24. Denmark"/>
  </r>
  <r>
    <x v="74"/>
    <s v="Population ages 65+ share"/>
    <n v="20.8"/>
    <n v="25"/>
    <s v="25. Czechia"/>
  </r>
  <r>
    <x v="116"/>
    <s v="Population ages 65+ share"/>
    <n v="20.7"/>
    <n v="26"/>
    <s v="26. Liechtenstein"/>
  </r>
  <r>
    <x v="186"/>
    <s v="Population ages 65+ share"/>
    <n v="20.7"/>
    <n v="27"/>
    <s v="27. Sweden"/>
  </r>
  <r>
    <x v="120"/>
    <s v="Population ages 65+ share"/>
    <n v="20.6"/>
    <n v="28"/>
    <s v="28. Austria"/>
  </r>
  <r>
    <x v="79"/>
    <s v="Population ages 65+ share"/>
    <n v="20.6"/>
    <n v="29"/>
    <s v="29. Belgium"/>
  </r>
  <r>
    <x v="53"/>
    <s v="Population ages 65+ share"/>
    <n v="20.5"/>
    <n v="30"/>
    <s v="30. Netherlands"/>
  </r>
  <r>
    <x v="73"/>
    <s v="Population ages 65+ share"/>
    <n v="20.2"/>
    <n v="31"/>
    <s v="31. Lithuania"/>
  </r>
  <r>
    <x v="133"/>
    <s v="Population ages 65+ share"/>
    <n v="20.2"/>
    <n v="32"/>
    <s v="32. Malta"/>
  </r>
  <r>
    <x v="66"/>
    <s v="Population ages 65+ share"/>
    <n v="20.100000000000001"/>
    <n v="33"/>
    <s v="33. Poland"/>
  </r>
  <r>
    <x v="238"/>
    <s v="Population ages 65+ share"/>
    <n v="20"/>
    <n v="34"/>
    <s v="34. Channel Islands"/>
  </r>
  <r>
    <x v="49"/>
    <s v="Population ages 65+ share"/>
    <n v="20"/>
    <n v="35"/>
    <s v="35. Romania"/>
  </r>
  <r>
    <x v="104"/>
    <s v="Population ages 65+ share"/>
    <n v="20"/>
    <n v="36"/>
    <s v="36. Switzerland"/>
  </r>
  <r>
    <x v="188"/>
    <s v="Population ages 65+ share"/>
    <n v="19.8"/>
    <n v="37"/>
    <s v="37. Canada"/>
  </r>
  <r>
    <x v="20"/>
    <s v="Population ages 65+ share"/>
    <n v="19.5"/>
    <n v="38"/>
    <s v="38. United Kingdom"/>
  </r>
  <r>
    <x v="161"/>
    <s v="Population ages 65+ share"/>
    <n v="19.3"/>
    <n v="39"/>
    <s v="39. Korea, Rep."/>
  </r>
  <r>
    <x v="17"/>
    <s v="Population ages 65+ share"/>
    <n v="19"/>
    <n v="40"/>
    <s v="40. Ukraine"/>
  </r>
  <r>
    <x v="200"/>
    <s v="Population ages 65+ share"/>
    <n v="18.8"/>
    <n v="41"/>
    <s v="41. Norway"/>
  </r>
  <r>
    <x v="103"/>
    <s v="Population ages 65+ share"/>
    <n v="18.5"/>
    <n v="42"/>
    <s v="42. Slovak Republic"/>
  </r>
  <r>
    <x v="236"/>
    <s v="Population ages 65+ share"/>
    <n v="18.399999999999999"/>
    <n v="43"/>
    <s v="43. St. Martin (French part)"/>
  </r>
  <r>
    <x v="60"/>
    <s v="Population ages 65+ share"/>
    <n v="18"/>
    <n v="44"/>
    <s v="44. North Macedonia"/>
  </r>
  <r>
    <x v="72"/>
    <s v="Population ages 65+ share"/>
    <n v="17.899999999999999"/>
    <n v="45"/>
    <s v="45. United States"/>
  </r>
  <r>
    <x v="152"/>
    <s v="Population ages 65+ share"/>
    <n v="17.8"/>
    <n v="46"/>
    <s v="46. Montenegro"/>
  </r>
  <r>
    <x v="68"/>
    <s v="Population ages 65+ share"/>
    <n v="17.7"/>
    <n v="47"/>
    <s v="47. Australia"/>
  </r>
  <r>
    <x v="96"/>
    <s v="Population ages 65+ share"/>
    <n v="17.7"/>
    <n v="48"/>
    <s v="48. Belarus"/>
  </r>
  <r>
    <x v="22"/>
    <s v="Population ages 65+ share"/>
    <n v="17.7"/>
    <n v="49"/>
    <s v="49. Faroe Islands"/>
  </r>
  <r>
    <x v="106"/>
    <s v="Population ages 65+ share"/>
    <n v="17.2"/>
    <n v="50"/>
    <s v="50. New Zealand"/>
  </r>
  <r>
    <x v="168"/>
    <s v="Population ages 65+ share"/>
    <n v="17.2"/>
    <n v="51"/>
    <s v="51. Russian Federation"/>
  </r>
  <r>
    <x v="172"/>
    <s v="Population ages 65+ share"/>
    <n v="17.100000000000001"/>
    <n v="52"/>
    <s v="52. Aruba"/>
  </r>
  <r>
    <x v="102"/>
    <s v="Population ages 65+ share"/>
    <n v="16.899999999999999"/>
    <n v="53"/>
    <s v="53. Albania"/>
  </r>
  <r>
    <x v="237"/>
    <s v="Population ages 65+ share"/>
    <n v="16.8"/>
    <n v="54"/>
    <s v="54. Curacao"/>
  </r>
  <r>
    <x v="137"/>
    <s v="Population ages 65+ share"/>
    <n v="16.600000000000001"/>
    <n v="55"/>
    <s v="55. Barbados"/>
  </r>
  <r>
    <x v="35"/>
    <s v="Population ages 65+ share"/>
    <n v="16.600000000000001"/>
    <n v="56"/>
    <s v="56. Cuba"/>
  </r>
  <r>
    <x v="10"/>
    <s v="Population ages 65+ share"/>
    <n v="16.2"/>
    <n v="57"/>
    <s v="57. Moldova"/>
  </r>
  <r>
    <x v="3"/>
    <s v="Population ages 65+ share"/>
    <n v="16"/>
    <n v="58"/>
    <s v="58. Uruguay"/>
  </r>
  <r>
    <x v="95"/>
    <s v="Population ages 65+ share"/>
    <n v="15.9"/>
    <n v="59"/>
    <s v="59. Andorra"/>
  </r>
  <r>
    <x v="36"/>
    <s v="Population ages 65+ share"/>
    <n v="15.9"/>
    <n v="60"/>
    <s v="60. Ireland"/>
  </r>
  <r>
    <x v="113"/>
    <s v="Population ages 65+ share"/>
    <n v="15.6"/>
    <n v="61"/>
    <s v="61. Georgia"/>
  </r>
  <r>
    <x v="160"/>
    <s v="Population ages 65+ share"/>
    <n v="15.6"/>
    <n v="62"/>
    <s v="62. Iceland"/>
  </r>
  <r>
    <x v="57"/>
    <s v="Population ages 65+ share"/>
    <n v="15.5"/>
    <n v="63"/>
    <s v="63. Luxembourg"/>
  </r>
  <r>
    <x v="82"/>
    <s v="Population ages 65+ share"/>
    <n v="15.4"/>
    <n v="64"/>
    <s v="64. Thailand"/>
  </r>
  <r>
    <x v="46"/>
    <s v="Population ages 65+ share"/>
    <n v="14.7"/>
    <n v="65"/>
    <s v="65. China"/>
  </r>
  <r>
    <x v="166"/>
    <s v="Population ages 65+ share"/>
    <n v="14.6"/>
    <n v="66"/>
    <s v="66. Cyprus"/>
  </r>
  <r>
    <x v="208"/>
    <s v="Population ages 65+ share"/>
    <n v="14.3"/>
    <n v="67"/>
    <s v="67. Macao SAR, China"/>
  </r>
  <r>
    <x v="165"/>
    <s v="Population ages 65+ share"/>
    <n v="14.1"/>
    <n v="68"/>
    <s v="68. Chile"/>
  </r>
  <r>
    <x v="235"/>
    <s v="Population ages 65+ share"/>
    <n v="13.9"/>
    <n v="69"/>
    <s v="69. Sint Maarten (Dutch part)"/>
  </r>
  <r>
    <x v="40"/>
    <s v="Population ages 65+ share"/>
    <n v="13.7"/>
    <n v="70"/>
    <s v="70. Armenia"/>
  </r>
  <r>
    <x v="205"/>
    <s v="Population ages 65+ share"/>
    <n v="13.7"/>
    <n v="71"/>
    <s v="71. Singapore"/>
  </r>
  <r>
    <x v="85"/>
    <s v="Population ages 65+ share"/>
    <n v="13.5"/>
    <n v="72"/>
    <s v="72. Mauritius"/>
  </r>
  <r>
    <x v="114"/>
    <s v="Population ages 65+ share"/>
    <n v="13"/>
    <n v="73"/>
    <s v="73. Dominica"/>
  </r>
  <r>
    <x v="124"/>
    <s v="Population ages 65+ share"/>
    <n v="12.6"/>
    <n v="74"/>
    <s v="74. Guam"/>
  </r>
  <r>
    <x v="134"/>
    <s v="Population ages 65+ share"/>
    <n v="12.6"/>
    <n v="75"/>
    <s v="75. Israel"/>
  </r>
  <r>
    <x v="87"/>
    <s v="Population ages 65+ share"/>
    <n v="12.4"/>
    <n v="76"/>
    <s v="76. Argentina"/>
  </r>
  <r>
    <x v="173"/>
    <s v="Population ages 65+ share"/>
    <n v="12.4"/>
    <n v="77"/>
    <s v="77. Trinidad and Tobago"/>
  </r>
  <r>
    <x v="115"/>
    <s v="Population ages 65+ share"/>
    <n v="12.2"/>
    <n v="78"/>
    <s v="78. Costa Rica"/>
  </r>
  <r>
    <x v="136"/>
    <s v="Population ages 65+ share"/>
    <n v="12.2"/>
    <n v="79"/>
    <s v="79. Grenada"/>
  </r>
  <r>
    <x v="64"/>
    <s v="Population ages 65+ share"/>
    <n v="12.1"/>
    <n v="80"/>
    <s v="80. Sri Lanka"/>
  </r>
  <r>
    <x v="155"/>
    <s v="Population ages 65+ share"/>
    <n v="11.9"/>
    <n v="81"/>
    <s v="81. St. Vincent and the Grenadines"/>
  </r>
  <r>
    <x v="146"/>
    <s v="Population ages 65+ share"/>
    <n v="11.8"/>
    <n v="82"/>
    <s v="82. Antigua and Barbuda"/>
  </r>
  <r>
    <x v="202"/>
    <s v="Population ages 65+ share"/>
    <n v="11.8"/>
    <n v="83"/>
    <s v="83. Bahamas, The"/>
  </r>
  <r>
    <x v="175"/>
    <s v="Population ages 65+ share"/>
    <n v="11.4"/>
    <n v="84"/>
    <s v="84. New Caledonia"/>
  </r>
  <r>
    <x v="180"/>
    <s v="Population ages 65+ share"/>
    <n v="11.3"/>
    <n v="85"/>
    <s v="85. French Polynesia"/>
  </r>
  <r>
    <x v="178"/>
    <s v="Population ages 65+ share"/>
    <n v="11.3"/>
    <n v="86"/>
    <s v="86. Palau"/>
  </r>
  <r>
    <x v="204"/>
    <s v="Population ages 65+ share"/>
    <n v="11.3"/>
    <n v="87"/>
    <s v="87. Turks and Caicos Islands"/>
  </r>
  <r>
    <x v="139"/>
    <s v="Population ages 65+ share"/>
    <n v="11.2"/>
    <n v="88"/>
    <s v="88. St. Kitts and Nevis"/>
  </r>
  <r>
    <x v="128"/>
    <s v="Population ages 65+ share"/>
    <n v="11"/>
    <n v="89"/>
    <s v="89. Brazil"/>
  </r>
  <r>
    <x v="206"/>
    <s v="Population ages 65+ share"/>
    <n v="10.8"/>
    <n v="90"/>
    <s v="90. Greenland"/>
  </r>
  <r>
    <x v="59"/>
    <s v="Population ages 65+ share"/>
    <n v="10.3"/>
    <n v="91"/>
    <s v="91. Turkiye"/>
  </r>
  <r>
    <x v="209"/>
    <s v="Population ages 65+ share"/>
    <n v="10.1"/>
    <n v="92"/>
    <s v="92. Kosovo"/>
  </r>
  <r>
    <x v="27"/>
    <s v="Population ages 65+ share"/>
    <n v="10.1"/>
    <n v="93"/>
    <s v="93. Lebanon"/>
  </r>
  <r>
    <x v="108"/>
    <s v="Population ages 65+ share"/>
    <n v="9.8000000000000007"/>
    <n v="94"/>
    <s v="94. Colombia"/>
  </r>
  <r>
    <x v="203"/>
    <s v="Population ages 65+ share"/>
    <n v="9.8000000000000007"/>
    <n v="95"/>
    <s v="95. Northern Mariana Islands"/>
  </r>
  <r>
    <x v="135"/>
    <s v="Population ages 65+ share"/>
    <n v="9.6999999999999993"/>
    <n v="96"/>
    <s v="96. Venezuela, RB"/>
  </r>
  <r>
    <x v="159"/>
    <s v="Population ages 65+ share"/>
    <n v="9.6"/>
    <n v="97"/>
    <s v="97. St. Lucia"/>
  </r>
  <r>
    <x v="34"/>
    <s v="Population ages 65+ share"/>
    <n v="9.5"/>
    <n v="98"/>
    <s v="98. Tunisia"/>
  </r>
  <r>
    <x v="125"/>
    <s v="Population ages 65+ share"/>
    <n v="9.4"/>
    <n v="99"/>
    <s v="99. Panama"/>
  </r>
  <r>
    <x v="153"/>
    <s v="Population ages 65+ share"/>
    <n v="9.1999999999999993"/>
    <n v="100"/>
    <s v="100. Peru"/>
  </r>
  <r>
    <x v="171"/>
    <s v="Population ages 65+ share"/>
    <n v="9"/>
    <n v="101"/>
    <s v="101. Cayman Islands"/>
  </r>
  <r>
    <x v="97"/>
    <s v="Population ages 65+ share"/>
    <n v="9"/>
    <n v="102"/>
    <s v="102. Viet Nam"/>
  </r>
  <r>
    <x v="5"/>
    <s v="Population ages 65+ share"/>
    <n v="8.6999999999999993"/>
    <n v="103"/>
    <s v="103. Kazakhstan"/>
  </r>
  <r>
    <x v="43"/>
    <s v="Population ages 65+ share"/>
    <n v="8.6"/>
    <n v="104"/>
    <s v="104. Azerbaijan"/>
  </r>
  <r>
    <x v="198"/>
    <s v="Population ages 65+ share"/>
    <n v="8.5"/>
    <n v="105"/>
    <s v="105. Seychelles"/>
  </r>
  <r>
    <x v="144"/>
    <s v="Population ages 65+ share"/>
    <n v="8.3000000000000007"/>
    <n v="106"/>
    <s v="106. Ecuador"/>
  </r>
  <r>
    <x v="127"/>
    <s v="Population ages 65+ share"/>
    <n v="8.1999999999999993"/>
    <n v="107"/>
    <s v="107. Iran, Islamic Rep."/>
  </r>
  <r>
    <x v="99"/>
    <s v="Population ages 65+ share"/>
    <n v="8.1999999999999993"/>
    <n v="108"/>
    <s v="108. Jamaica"/>
  </r>
  <r>
    <x v="58"/>
    <s v="Population ages 65+ share"/>
    <n v="8.1999999999999993"/>
    <n v="109"/>
    <s v="109. Mexico"/>
  </r>
  <r>
    <x v="44"/>
    <s v="Population ages 65+ share"/>
    <n v="8.1"/>
    <n v="110"/>
    <s v="110. El Salvador"/>
  </r>
  <r>
    <x v="26"/>
    <s v="Population ages 65+ share"/>
    <n v="8.1"/>
    <n v="111"/>
    <s v="111. Morocco"/>
  </r>
  <r>
    <x v="164"/>
    <s v="Population ages 65+ share"/>
    <n v="8"/>
    <n v="112"/>
    <s v="112. American Samoa"/>
  </r>
  <r>
    <x v="47"/>
    <s v="Population ages 65+ share"/>
    <n v="7.9"/>
    <n v="113"/>
    <s v="113. Dominican Republic"/>
  </r>
  <r>
    <x v="207"/>
    <s v="Population ages 65+ share"/>
    <n v="7.9"/>
    <n v="114"/>
    <s v="114. Suriname"/>
  </r>
  <r>
    <x v="131"/>
    <s v="Population ages 65+ share"/>
    <n v="7.7"/>
    <n v="115"/>
    <s v="115. Malaysia"/>
  </r>
  <r>
    <x v="126"/>
    <s v="Population ages 65+ share"/>
    <n v="7.3"/>
    <n v="116"/>
    <s v="116. Indonesia"/>
  </r>
  <r>
    <x v="149"/>
    <s v="Population ages 65+ share"/>
    <n v="7.3"/>
    <n v="117"/>
    <s v="117. Myanmar"/>
  </r>
  <r>
    <x v="38"/>
    <s v="Population ages 65+ share"/>
    <n v="7.1"/>
    <n v="118"/>
    <s v="118. India"/>
  </r>
  <r>
    <x v="201"/>
    <s v="Population ages 65+ share"/>
    <n v="6.9"/>
    <n v="119"/>
    <s v="119. Brunei Darussalam"/>
  </r>
  <r>
    <x v="151"/>
    <s v="Population ages 65+ share"/>
    <n v="6.9"/>
    <n v="120"/>
    <s v="120. Cabo Verde"/>
  </r>
  <r>
    <x v="197"/>
    <s v="Population ages 65+ share"/>
    <n v="6.7"/>
    <n v="121"/>
    <s v="121. Guyana"/>
  </r>
  <r>
    <x v="6"/>
    <s v="Population ages 65+ share"/>
    <n v="6.7"/>
    <n v="122"/>
    <s v="122. South Africa"/>
  </r>
  <r>
    <x v="65"/>
    <s v="Population ages 65+ share"/>
    <n v="6.7"/>
    <n v="123"/>
    <s v="123. Tonga"/>
  </r>
  <r>
    <x v="39"/>
    <s v="Population ages 65+ share"/>
    <n v="6.7"/>
    <n v="124"/>
    <s v="124. Tuvalu"/>
  </r>
  <r>
    <x v="157"/>
    <s v="Population ages 65+ share"/>
    <n v="6.6"/>
    <n v="125"/>
    <s v="125. Algeria"/>
  </r>
  <r>
    <x v="14"/>
    <s v="Population ages 65+ share"/>
    <n v="6.5"/>
    <n v="126"/>
    <s v="126. Bangladesh"/>
  </r>
  <r>
    <x v="167"/>
    <s v="Population ages 65+ share"/>
    <n v="6.5"/>
    <n v="127"/>
    <s v="127. Bhutan"/>
  </r>
  <r>
    <x v="158"/>
    <s v="Population ages 65+ share"/>
    <n v="6.5"/>
    <n v="128"/>
    <s v="128. Fiji"/>
  </r>
  <r>
    <x v="132"/>
    <s v="Population ages 65+ share"/>
    <n v="6.5"/>
    <n v="129"/>
    <s v="129. Nepal"/>
  </r>
  <r>
    <x v="51"/>
    <s v="Population ages 65+ share"/>
    <n v="6.5"/>
    <n v="130"/>
    <s v="130. Paraguay"/>
  </r>
  <r>
    <x v="111"/>
    <s v="Population ages 65+ share"/>
    <n v="6.2"/>
    <n v="131"/>
    <s v="131. Cambodia"/>
  </r>
  <r>
    <x v="187"/>
    <s v="Population ages 65+ share"/>
    <n v="5.9"/>
    <n v="132"/>
    <s v="132. Micronesia, Fed. Sts."/>
  </r>
  <r>
    <x v="156"/>
    <s v="Population ages 65+ share"/>
    <n v="5.9"/>
    <n v="133"/>
    <s v="133. Samoa"/>
  </r>
  <r>
    <x v="42"/>
    <s v="Population ages 65+ share"/>
    <n v="5.9"/>
    <n v="134"/>
    <s v="134. Uzbekistan"/>
  </r>
  <r>
    <x v="52"/>
    <s v="Population ages 65+ share"/>
    <n v="5.7"/>
    <n v="135"/>
    <s v="135. Kyrgyz Republic"/>
  </r>
  <r>
    <x v="109"/>
    <s v="Population ages 65+ share"/>
    <n v="5.6"/>
    <n v="136"/>
    <s v="136. Bolivia"/>
  </r>
  <r>
    <x v="88"/>
    <s v="Population ages 65+ share"/>
    <n v="5.5"/>
    <n v="137"/>
    <s v="137. Nicaragua"/>
  </r>
  <r>
    <x v="86"/>
    <s v="Population ages 65+ share"/>
    <n v="5.5"/>
    <n v="138"/>
    <s v="138. Philippines"/>
  </r>
  <r>
    <x v="140"/>
    <s v="Population ages 65+ share"/>
    <n v="5.3"/>
    <n v="139"/>
    <s v="139. Timor-Leste"/>
  </r>
  <r>
    <x v="193"/>
    <s v="Population ages 65+ share"/>
    <n v="5.0999999999999996"/>
    <n v="140"/>
    <s v="140. Egypt, Arab Rep."/>
  </r>
  <r>
    <x v="25"/>
    <s v="Population ages 65+ share"/>
    <n v="5.0999999999999996"/>
    <n v="141"/>
    <s v="141. Mongolia"/>
  </r>
  <r>
    <x v="184"/>
    <s v="Population ages 65+ share"/>
    <n v="5"/>
    <n v="142"/>
    <s v="142. Belize"/>
  </r>
  <r>
    <x v="181"/>
    <s v="Population ages 65+ share"/>
    <n v="5"/>
    <n v="143"/>
    <s v="143. Libya"/>
  </r>
  <r>
    <x v="12"/>
    <s v="Population ages 65+ share"/>
    <n v="4.9000000000000004"/>
    <n v="144"/>
    <s v="144. Djibouti"/>
  </r>
  <r>
    <x v="84"/>
    <s v="Population ages 65+ share"/>
    <n v="4.8"/>
    <n v="145"/>
    <s v="145. Guatemala"/>
  </r>
  <r>
    <x v="29"/>
    <s v="Population ages 65+ share"/>
    <n v="4.7"/>
    <n v="146"/>
    <s v="146. Haiti"/>
  </r>
  <r>
    <x v="176"/>
    <s v="Population ages 65+ share"/>
    <n v="4.7"/>
    <n v="147"/>
    <s v="147. Lao PDR"/>
  </r>
  <r>
    <x v="11"/>
    <s v="Population ages 65+ share"/>
    <n v="4.7"/>
    <n v="148"/>
    <s v="148. Syrian Arab Republic"/>
  </r>
  <r>
    <x v="150"/>
    <s v="Population ages 65+ share"/>
    <n v="4.5999999999999996"/>
    <n v="149"/>
    <s v="149. Maldives"/>
  </r>
  <r>
    <x v="98"/>
    <s v="Population ages 65+ share"/>
    <n v="4.5999999999999996"/>
    <n v="150"/>
    <s v="150. Marshall Islands"/>
  </r>
  <r>
    <x v="16"/>
    <s v="Population ages 65+ share"/>
    <n v="4.5"/>
    <n v="151"/>
    <s v="151. Comoros"/>
  </r>
  <r>
    <x v="170"/>
    <s v="Population ages 65+ share"/>
    <n v="4.5"/>
    <n v="152"/>
    <s v="152. Jordan"/>
  </r>
  <r>
    <x v="1"/>
    <s v="Population ages 65+ share"/>
    <n v="4.5"/>
    <n v="153"/>
    <s v="153. Turkmenistan"/>
  </r>
  <r>
    <x v="118"/>
    <s v="Population ages 65+ share"/>
    <n v="4.4000000000000004"/>
    <n v="154"/>
    <s v="154. Honduras"/>
  </r>
  <r>
    <x v="23"/>
    <s v="Population ages 65+ share"/>
    <n v="4.3"/>
    <n v="155"/>
    <s v="155. Eswatini"/>
  </r>
  <r>
    <x v="70"/>
    <s v="Population ages 65+ share"/>
    <n v="4.3"/>
    <n v="156"/>
    <s v="156. Pakistan"/>
  </r>
  <r>
    <x v="163"/>
    <s v="Population ages 65+ share"/>
    <n v="4.3"/>
    <n v="157"/>
    <s v="157. Vanuatu"/>
  </r>
  <r>
    <x v="32"/>
    <s v="Population ages 65+ share"/>
    <n v="4.2"/>
    <n v="158"/>
    <s v="158. Eritrea"/>
  </r>
  <r>
    <x v="89"/>
    <s v="Population ages 65+ share"/>
    <n v="4.2"/>
    <n v="159"/>
    <s v="159. Kiribati"/>
  </r>
  <r>
    <x v="182"/>
    <s v="Population ages 65+ share"/>
    <n v="4.0999999999999996"/>
    <n v="160"/>
    <s v="160. Gabon"/>
  </r>
  <r>
    <x v="75"/>
    <s v="Population ages 65+ share"/>
    <n v="4"/>
    <n v="161"/>
    <s v="161. Botswana"/>
  </r>
  <r>
    <x v="174"/>
    <s v="Population ages 65+ share"/>
    <n v="3.9"/>
    <n v="162"/>
    <s v="162. Bahrain"/>
  </r>
  <r>
    <x v="7"/>
    <s v="Population ages 65+ share"/>
    <n v="3.9"/>
    <n v="163"/>
    <s v="163. Lesotho"/>
  </r>
  <r>
    <x v="8"/>
    <s v="Population ages 65+ share"/>
    <n v="3.9"/>
    <n v="164"/>
    <s v="164. Rwanda"/>
  </r>
  <r>
    <x v="77"/>
    <s v="Population ages 65+ share"/>
    <n v="3.9"/>
    <n v="165"/>
    <s v="165. Sao Tome and Principe"/>
  </r>
  <r>
    <x v="129"/>
    <s v="Population ages 65+ share"/>
    <n v="3.9"/>
    <n v="166"/>
    <s v="166. Tajikistan"/>
  </r>
  <r>
    <x v="30"/>
    <s v="Population ages 65+ share"/>
    <n v="3.8"/>
    <n v="167"/>
    <s v="167. West Bank and Gaza"/>
  </r>
  <r>
    <x v="196"/>
    <s v="Population ages 65+ share"/>
    <n v="3.7"/>
    <n v="168"/>
    <s v="168. Equatorial Guinea"/>
  </r>
  <r>
    <x v="48"/>
    <s v="Population ages 65+ share"/>
    <n v="3.7"/>
    <n v="169"/>
    <s v="169. Ghana"/>
  </r>
  <r>
    <x v="69"/>
    <s v="Population ages 65+ share"/>
    <n v="3.7"/>
    <n v="170"/>
    <s v="170. Namibia"/>
  </r>
  <r>
    <x v="63"/>
    <s v="Population ages 65+ share"/>
    <n v="3.6"/>
    <n v="171"/>
    <s v="171. Senegal"/>
  </r>
  <r>
    <x v="194"/>
    <s v="Population ages 65+ share"/>
    <n v="3.6"/>
    <n v="172"/>
    <s v="172. Solomon Islands"/>
  </r>
  <r>
    <x v="91"/>
    <s v="Population ages 65+ share"/>
    <n v="3.6"/>
    <n v="173"/>
    <s v="173. Zimbabwe"/>
  </r>
  <r>
    <x v="13"/>
    <s v="Population ages 65+ share"/>
    <n v="3.5"/>
    <n v="174"/>
    <s v="174. Guinea"/>
  </r>
  <r>
    <x v="199"/>
    <s v="Population ages 65+ share"/>
    <n v="3.5"/>
    <n v="175"/>
    <s v="175. Papua New Guinea"/>
  </r>
  <r>
    <x v="141"/>
    <s v="Population ages 65+ share"/>
    <n v="3.4"/>
    <n v="176"/>
    <s v="176. Iraq"/>
  </r>
  <r>
    <x v="18"/>
    <s v="Population ages 65+ share"/>
    <n v="3.4"/>
    <n v="177"/>
    <s v="177. Madagascar"/>
  </r>
  <r>
    <x v="147"/>
    <s v="Population ages 65+ share"/>
    <n v="3.3"/>
    <n v="178"/>
    <s v="178. Liberia"/>
  </r>
  <r>
    <x v="37"/>
    <s v="Population ages 65+ share"/>
    <n v="3.3"/>
    <n v="179"/>
    <s v="179. Sudan"/>
  </r>
  <r>
    <x v="112"/>
    <s v="Population ages 65+ share"/>
    <n v="3.2"/>
    <n v="180"/>
    <s v="180. Ethiopia"/>
  </r>
  <r>
    <x v="123"/>
    <s v="Population ages 65+ share"/>
    <n v="3.2"/>
    <n v="181"/>
    <s v="181. Guinea-Bissau"/>
  </r>
  <r>
    <x v="100"/>
    <s v="Population ages 65+ share"/>
    <n v="3.2"/>
    <n v="182"/>
    <s v="182. Mauritania"/>
  </r>
  <r>
    <x v="50"/>
    <s v="Population ages 65+ share"/>
    <n v="3.2"/>
    <n v="183"/>
    <s v="183. Sierra Leone"/>
  </r>
  <r>
    <x v="21"/>
    <s v="Population ages 65+ share"/>
    <n v="3.2"/>
    <n v="184"/>
    <s v="184. Togo"/>
  </r>
  <r>
    <x v="90"/>
    <s v="Population ages 65+ share"/>
    <n v="3.1"/>
    <n v="185"/>
    <s v="185. Benin"/>
  </r>
  <r>
    <x v="162"/>
    <s v="Population ages 65+ share"/>
    <n v="3.1"/>
    <n v="186"/>
    <s v="186. Congo, Dem. Rep."/>
  </r>
  <r>
    <x v="33"/>
    <s v="Population ages 65+ share"/>
    <n v="3.1"/>
    <n v="187"/>
    <s v="187. Gambia, The"/>
  </r>
  <r>
    <x v="183"/>
    <s v="Population ages 65+ share"/>
    <n v="3.1"/>
    <n v="188"/>
    <s v="188. Kuwait"/>
  </r>
  <r>
    <x v="121"/>
    <s v="Population ages 65+ share"/>
    <n v="3"/>
    <n v="189"/>
    <s v="189. Congo, Rep."/>
  </r>
  <r>
    <x v="62"/>
    <s v="Population ages 65+ share"/>
    <n v="3"/>
    <n v="190"/>
    <s v="190. Kenya"/>
  </r>
  <r>
    <x v="9"/>
    <s v="Population ages 65+ share"/>
    <n v="3"/>
    <n v="191"/>
    <s v="191. Nigeria"/>
  </r>
  <r>
    <x v="4"/>
    <s v="Population ages 65+ share"/>
    <n v="3"/>
    <n v="192"/>
    <s v="192. Saudi Arabia"/>
  </r>
  <r>
    <x v="76"/>
    <s v="Population ages 65+ share"/>
    <n v="3"/>
    <n v="193"/>
    <s v="193. South Sudan"/>
  </r>
  <r>
    <x v="78"/>
    <s v="Population ages 65+ share"/>
    <n v="3"/>
    <n v="194"/>
    <s v="194. Tanzania"/>
  </r>
  <r>
    <x v="105"/>
    <s v="Population ages 65+ share"/>
    <n v="2.9"/>
    <n v="195"/>
    <s v="195. Angola"/>
  </r>
  <r>
    <x v="148"/>
    <s v="Population ages 65+ share"/>
    <n v="2.9"/>
    <n v="196"/>
    <s v="196. Nauru"/>
  </r>
  <r>
    <x v="145"/>
    <s v="Population ages 65+ share"/>
    <n v="2.8"/>
    <n v="197"/>
    <s v="197. Cameroon"/>
  </r>
  <r>
    <x v="55"/>
    <s v="Population ages 65+ share"/>
    <n v="2.8"/>
    <n v="198"/>
    <s v="198. Mozambique"/>
  </r>
  <r>
    <x v="54"/>
    <s v="Population ages 65+ share"/>
    <n v="2.7"/>
    <n v="199"/>
    <s v="199. Burkina Faso"/>
  </r>
  <r>
    <x v="0"/>
    <s v="Population ages 65+ share"/>
    <n v="2.6"/>
    <n v="200"/>
    <s v="200. Cote d'Ivoire"/>
  </r>
  <r>
    <x v="31"/>
    <s v="Population ages 65+ share"/>
    <n v="2.6"/>
    <n v="201"/>
    <s v="201. Malawi"/>
  </r>
  <r>
    <x v="107"/>
    <s v="Population ages 65+ share"/>
    <n v="2.6"/>
    <n v="202"/>
    <s v="202. Niger"/>
  </r>
  <r>
    <x v="192"/>
    <s v="Population ages 65+ share"/>
    <n v="2.6"/>
    <n v="203"/>
    <s v="203. Oman"/>
  </r>
  <r>
    <x v="19"/>
    <s v="Population ages 65+ share"/>
    <n v="2.6"/>
    <n v="204"/>
    <s v="204. Somalia, Fed. Rep."/>
  </r>
  <r>
    <x v="2"/>
    <s v="Population ages 65+ share"/>
    <n v="2.5"/>
    <n v="205"/>
    <s v="205. Burundi"/>
  </r>
  <r>
    <x v="80"/>
    <s v="Population ages 65+ share"/>
    <n v="2.5"/>
    <n v="206"/>
    <s v="206. Yemen, Rep."/>
  </r>
  <r>
    <x v="41"/>
    <s v="Population ages 65+ share"/>
    <n v="2.4"/>
    <n v="207"/>
    <s v="207. Afghanistan"/>
  </r>
  <r>
    <x v="110"/>
    <s v="Population ages 65+ share"/>
    <n v="2.4"/>
    <n v="208"/>
    <s v="208. Mali"/>
  </r>
  <r>
    <x v="179"/>
    <s v="Population ages 65+ share"/>
    <n v="2.2000000000000002"/>
    <n v="209"/>
    <s v="209. Central African Republic"/>
  </r>
  <r>
    <x v="15"/>
    <s v="Population ages 65+ share"/>
    <n v="2.2000000000000002"/>
    <n v="210"/>
    <s v="210. Uganda"/>
  </r>
  <r>
    <x v="94"/>
    <s v="Population ages 65+ share"/>
    <n v="2.1"/>
    <n v="211"/>
    <s v="211. Chad"/>
  </r>
  <r>
    <x v="117"/>
    <s v="Population ages 65+ share"/>
    <n v="1.9"/>
    <n v="212"/>
    <s v="212. Zambia"/>
  </r>
  <r>
    <x v="191"/>
    <s v="Population ages 65+ share"/>
    <n v="1.8"/>
    <n v="213"/>
    <s v="213. United Arab Emirates"/>
  </r>
  <r>
    <x v="189"/>
    <s v="Population ages 65+ share"/>
    <n v="1.7"/>
    <n v="214"/>
    <s v="214. Qatar"/>
  </r>
  <r>
    <x v="46"/>
    <s v="Publications"/>
    <n v="898.9"/>
    <n v="1"/>
    <s v="1. China"/>
  </r>
  <r>
    <x v="72"/>
    <s v="Publications"/>
    <n v="457.3"/>
    <n v="2"/>
    <s v="2. United States"/>
  </r>
  <r>
    <x v="38"/>
    <s v="Publications"/>
    <n v="207.4"/>
    <n v="3"/>
    <s v="3. India"/>
  </r>
  <r>
    <x v="67"/>
    <s v="Publications"/>
    <n v="114"/>
    <n v="4"/>
    <s v="4. Germany"/>
  </r>
  <r>
    <x v="20"/>
    <s v="Publications"/>
    <n v="105.6"/>
    <n v="5"/>
    <s v="5. United Kingdom"/>
  </r>
  <r>
    <x v="169"/>
    <s v="Publications"/>
    <n v="103.7"/>
    <n v="6"/>
    <s v="6. Japan"/>
  </r>
  <r>
    <x v="81"/>
    <s v="Publications"/>
    <n v="90.6"/>
    <n v="7"/>
    <s v="7. Italy"/>
  </r>
  <r>
    <x v="168"/>
    <s v="Publications"/>
    <n v="84.3"/>
    <n v="8"/>
    <s v="8. Russian Federation"/>
  </r>
  <r>
    <x v="161"/>
    <s v="Publications"/>
    <n v="76.900000000000006"/>
    <n v="9"/>
    <s v="9. Korea, Rep."/>
  </r>
  <r>
    <x v="188"/>
    <s v="Publications"/>
    <n v="69.099999999999994"/>
    <n v="10"/>
    <s v="10. Canada"/>
  </r>
  <r>
    <x v="61"/>
    <s v="Publications"/>
    <n v="67.099999999999994"/>
    <n v="11"/>
    <s v="11. Spain"/>
  </r>
  <r>
    <x v="128"/>
    <s v="Publications"/>
    <n v="67"/>
    <n v="12"/>
    <s v="12. Brazil"/>
  </r>
  <r>
    <x v="56"/>
    <s v="Publications"/>
    <n v="65.900000000000006"/>
    <n v="13"/>
    <s v="13. France"/>
  </r>
  <r>
    <x v="68"/>
    <s v="Publications"/>
    <n v="62.3"/>
    <n v="14"/>
    <s v="14. Australia"/>
  </r>
  <r>
    <x v="127"/>
    <s v="Publications"/>
    <n v="60.9"/>
    <n v="15"/>
    <s v="15. Iran, Islamic Rep."/>
  </r>
  <r>
    <x v="59"/>
    <s v="Publications"/>
    <n v="52.7"/>
    <n v="16"/>
    <s v="16. Turkiye"/>
  </r>
  <r>
    <x v="66"/>
    <s v="Publications"/>
    <n v="37.4"/>
    <n v="17"/>
    <s v="17. Poland"/>
  </r>
  <r>
    <x v="53"/>
    <s v="Publications"/>
    <n v="34.299999999999997"/>
    <n v="18"/>
    <s v="18. Netherlands"/>
  </r>
  <r>
    <x v="126"/>
    <s v="Publications"/>
    <n v="31.9"/>
    <n v="19"/>
    <s v="19. Indonesia"/>
  </r>
  <r>
    <x v="131"/>
    <s v="Publications"/>
    <n v="26.5"/>
    <n v="20"/>
    <s v="20. Malaysia"/>
  </r>
  <r>
    <x v="4"/>
    <s v="Publications"/>
    <n v="25.8"/>
    <n v="21"/>
    <s v="21. Saudi Arabia"/>
  </r>
  <r>
    <x v="104"/>
    <s v="Publications"/>
    <n v="24.2"/>
    <n v="22"/>
    <s v="22. Switzerland"/>
  </r>
  <r>
    <x v="193"/>
    <s v="Publications"/>
    <n v="24"/>
    <n v="23"/>
    <s v="23. Egypt, Arab Rep."/>
  </r>
  <r>
    <x v="70"/>
    <s v="Publications"/>
    <n v="22.6"/>
    <n v="24"/>
    <s v="24. Pakistan"/>
  </r>
  <r>
    <x v="186"/>
    <s v="Publications"/>
    <n v="22.4"/>
    <n v="25"/>
    <s v="25. Sweden"/>
  </r>
  <r>
    <x v="58"/>
    <s v="Publications"/>
    <n v="21"/>
    <n v="26"/>
    <s v="26. Mexico"/>
  </r>
  <r>
    <x v="83"/>
    <s v="Publications"/>
    <n v="19.600000000000001"/>
    <n v="27"/>
    <s v="27. Portugal"/>
  </r>
  <r>
    <x v="82"/>
    <s v="Publications"/>
    <n v="18.5"/>
    <n v="28"/>
    <s v="28. Thailand"/>
  </r>
  <r>
    <x v="79"/>
    <s v="Publications"/>
    <n v="17.600000000000001"/>
    <n v="29"/>
    <s v="29. Belgium"/>
  </r>
  <r>
    <x v="6"/>
    <s v="Publications"/>
    <n v="16.7"/>
    <n v="30"/>
    <s v="30. South Africa"/>
  </r>
  <r>
    <x v="28"/>
    <s v="Publications"/>
    <n v="16.100000000000001"/>
    <n v="31"/>
    <s v="31. Denmark"/>
  </r>
  <r>
    <x v="134"/>
    <s v="Publications"/>
    <n v="15.4"/>
    <n v="32"/>
    <s v="32. Israel"/>
  </r>
  <r>
    <x v="92"/>
    <s v="Publications"/>
    <n v="15.1"/>
    <n v="33"/>
    <s v="33. Greece"/>
  </r>
  <r>
    <x v="120"/>
    <s v="Publications"/>
    <n v="14.5"/>
    <n v="34"/>
    <s v="34. Austria"/>
  </r>
  <r>
    <x v="74"/>
    <s v="Publications"/>
    <n v="14.4"/>
    <n v="35"/>
    <s v="35. Czechia"/>
  </r>
  <r>
    <x v="200"/>
    <s v="Publications"/>
    <n v="14.1"/>
    <n v="36"/>
    <s v="36. Norway"/>
  </r>
  <r>
    <x v="141"/>
    <s v="Publications"/>
    <n v="13.4"/>
    <n v="37"/>
    <s v="37. Iraq"/>
  </r>
  <r>
    <x v="17"/>
    <s v="Publications"/>
    <n v="13.2"/>
    <n v="38"/>
    <s v="38. Ukraine"/>
  </r>
  <r>
    <x v="205"/>
    <s v="Publications"/>
    <n v="12.7"/>
    <n v="39"/>
    <s v="39. Singapore"/>
  </r>
  <r>
    <x v="185"/>
    <s v="Publications"/>
    <n v="12"/>
    <n v="40"/>
    <s v="40. Finland"/>
  </r>
  <r>
    <x v="49"/>
    <s v="Publications"/>
    <n v="11.7"/>
    <n v="41"/>
    <s v="41. Romania"/>
  </r>
  <r>
    <x v="97"/>
    <s v="Publications"/>
    <n v="10.5"/>
    <n v="42"/>
    <s v="42. Viet Nam"/>
  </r>
  <r>
    <x v="108"/>
    <s v="Publications"/>
    <n v="9.6999999999999993"/>
    <n v="43"/>
    <s v="43. Colombia"/>
  </r>
  <r>
    <x v="9"/>
    <s v="Publications"/>
    <n v="9.4"/>
    <n v="44"/>
    <s v="44. Nigeria"/>
  </r>
  <r>
    <x v="36"/>
    <s v="Publications"/>
    <n v="9.3000000000000007"/>
    <n v="45"/>
    <s v="45. Ireland"/>
  </r>
  <r>
    <x v="106"/>
    <s v="Publications"/>
    <n v="9.1999999999999993"/>
    <n v="46"/>
    <s v="46. New Zealand"/>
  </r>
  <r>
    <x v="87"/>
    <s v="Publications"/>
    <n v="9.1"/>
    <n v="47"/>
    <s v="47. Argentina"/>
  </r>
  <r>
    <x v="165"/>
    <s v="Publications"/>
    <n v="9.1"/>
    <n v="48"/>
    <s v="48. Chile"/>
  </r>
  <r>
    <x v="45"/>
    <s v="Publications"/>
    <n v="8.8000000000000007"/>
    <n v="49"/>
    <s v="49. Hungary"/>
  </r>
  <r>
    <x v="26"/>
    <s v="Publications"/>
    <n v="8.4"/>
    <n v="50"/>
    <s v="50. Morocco"/>
  </r>
  <r>
    <x v="157"/>
    <s v="Publications"/>
    <n v="7.6"/>
    <n v="51"/>
    <s v="51. Algeria"/>
  </r>
  <r>
    <x v="112"/>
    <s v="Publications"/>
    <n v="7.2"/>
    <n v="52"/>
    <s v="52. Ethiopia"/>
  </r>
  <r>
    <x v="14"/>
    <s v="Publications"/>
    <n v="7.1"/>
    <n v="53"/>
    <s v="53. Bangladesh"/>
  </r>
  <r>
    <x v="191"/>
    <s v="Publications"/>
    <n v="6.4"/>
    <n v="54"/>
    <s v="54. United Arab Emirates"/>
  </r>
  <r>
    <x v="130"/>
    <s v="Publications"/>
    <n v="5.7"/>
    <n v="55"/>
    <s v="55. Croatia"/>
  </r>
  <r>
    <x v="34"/>
    <s v="Publications"/>
    <n v="5.7"/>
    <n v="56"/>
    <s v="56. Tunisia"/>
  </r>
  <r>
    <x v="93"/>
    <s v="Publications"/>
    <n v="5.4"/>
    <n v="57"/>
    <s v="57. Serbia"/>
  </r>
  <r>
    <x v="103"/>
    <s v="Publications"/>
    <n v="5.4"/>
    <n v="58"/>
    <s v="58. Slovak Republic"/>
  </r>
  <r>
    <x v="170"/>
    <s v="Publications"/>
    <n v="5.2"/>
    <n v="59"/>
    <s v="59. Jordan"/>
  </r>
  <r>
    <x v="71"/>
    <s v="Publications"/>
    <n v="4.8"/>
    <n v="60"/>
    <s v="60. Bulgaria"/>
  </r>
  <r>
    <x v="153"/>
    <s v="Publications"/>
    <n v="4.5999999999999996"/>
    <n v="61"/>
    <s v="61. Peru"/>
  </r>
  <r>
    <x v="122"/>
    <s v="Publications"/>
    <n v="4.0999999999999996"/>
    <n v="62"/>
    <s v="62. Slovenia"/>
  </r>
  <r>
    <x v="86"/>
    <s v="Publications"/>
    <n v="4"/>
    <n v="63"/>
    <s v="63. Philippines"/>
  </r>
  <r>
    <x v="144"/>
    <s v="Publications"/>
    <n v="3.6"/>
    <n v="64"/>
    <s v="64. Ecuador"/>
  </r>
  <r>
    <x v="5"/>
    <s v="Publications"/>
    <n v="3.6"/>
    <n v="65"/>
    <s v="65. Kazakhstan"/>
  </r>
  <r>
    <x v="48"/>
    <s v="Publications"/>
    <n v="3.1"/>
    <n v="66"/>
    <s v="66. Ghana"/>
  </r>
  <r>
    <x v="73"/>
    <s v="Publications"/>
    <n v="3.1"/>
    <n v="67"/>
    <s v="67. Lithuania"/>
  </r>
  <r>
    <x v="189"/>
    <s v="Publications"/>
    <n v="2.6"/>
    <n v="68"/>
    <s v="68. Qatar"/>
  </r>
  <r>
    <x v="64"/>
    <s v="Publications"/>
    <n v="2.5"/>
    <n v="69"/>
    <s v="69. Sri Lanka"/>
  </r>
  <r>
    <x v="42"/>
    <s v="Publications"/>
    <n v="2.2000000000000002"/>
    <n v="70"/>
    <s v="70. Uzbekistan"/>
  </r>
  <r>
    <x v="27"/>
    <s v="Publications"/>
    <n v="2.1"/>
    <n v="71"/>
    <s v="71. Lebanon"/>
  </r>
  <r>
    <x v="62"/>
    <s v="Publications"/>
    <n v="2"/>
    <n v="72"/>
    <s v="72. Kenya"/>
  </r>
  <r>
    <x v="166"/>
    <s v="Publications"/>
    <n v="1.9"/>
    <n v="73"/>
    <s v="73. Cyprus"/>
  </r>
  <r>
    <x v="138"/>
    <s v="Publications"/>
    <n v="1.8"/>
    <n v="74"/>
    <s v="74. Estonia"/>
  </r>
  <r>
    <x v="119"/>
    <s v="Publications"/>
    <n v="1.7"/>
    <n v="75"/>
    <s v="75. Latvia"/>
  </r>
  <r>
    <x v="132"/>
    <s v="Publications"/>
    <n v="1.7"/>
    <n v="76"/>
    <s v="76. Nepal"/>
  </r>
  <r>
    <x v="192"/>
    <s v="Publications"/>
    <n v="1.6"/>
    <n v="77"/>
    <s v="77. Oman"/>
  </r>
  <r>
    <x v="96"/>
    <s v="Publications"/>
    <n v="1.5"/>
    <n v="78"/>
    <s v="78. Belarus"/>
  </r>
  <r>
    <x v="145"/>
    <s v="Publications"/>
    <n v="1.5"/>
    <n v="79"/>
    <s v="79. Cameroon"/>
  </r>
  <r>
    <x v="183"/>
    <s v="Publications"/>
    <n v="1.3"/>
    <n v="80"/>
    <s v="80. Kuwait"/>
  </r>
  <r>
    <x v="43"/>
    <s v="Publications"/>
    <n v="1.2"/>
    <n v="81"/>
    <s v="81. Azerbaijan"/>
  </r>
  <r>
    <x v="35"/>
    <s v="Publications"/>
    <n v="1.2"/>
    <n v="82"/>
    <s v="82. Cuba"/>
  </r>
  <r>
    <x v="57"/>
    <s v="Publications"/>
    <n v="1.2"/>
    <n v="83"/>
    <s v="83. Luxembourg"/>
  </r>
  <r>
    <x v="78"/>
    <s v="Publications"/>
    <n v="1.2"/>
    <n v="84"/>
    <s v="84. Tanzania"/>
  </r>
  <r>
    <x v="15"/>
    <s v="Publications"/>
    <n v="1.2"/>
    <n v="85"/>
    <s v="85. Uganda"/>
  </r>
  <r>
    <x v="3"/>
    <s v="Publications"/>
    <n v="1.1000000000000001"/>
    <n v="86"/>
    <s v="86. Uruguay"/>
  </r>
  <r>
    <x v="142"/>
    <s v="Publications"/>
    <n v="1"/>
    <n v="87"/>
    <s v="87. Bosnia and Herzegovina"/>
  </r>
  <r>
    <x v="160"/>
    <s v="Publications"/>
    <n v="0.8"/>
    <n v="88"/>
    <s v="88. Iceland"/>
  </r>
  <r>
    <x v="40"/>
    <s v="Publications"/>
    <n v="0.7"/>
    <n v="89"/>
    <s v="89. Armenia"/>
  </r>
  <r>
    <x v="174"/>
    <s v="Publications"/>
    <n v="0.7"/>
    <n v="90"/>
    <s v="90. Bahrain"/>
  </r>
  <r>
    <x v="115"/>
    <s v="Publications"/>
    <n v="0.7"/>
    <n v="91"/>
    <s v="91. Costa Rica"/>
  </r>
  <r>
    <x v="30"/>
    <s v="Publications"/>
    <n v="0.7"/>
    <n v="92"/>
    <s v="92. West Bank and Gaza"/>
  </r>
  <r>
    <x v="113"/>
    <s v="Publications"/>
    <n v="0.6"/>
    <n v="93"/>
    <s v="93. Georgia"/>
  </r>
  <r>
    <x v="133"/>
    <s v="Publications"/>
    <n v="0.6"/>
    <n v="94"/>
    <s v="94. Malta"/>
  </r>
  <r>
    <x v="154"/>
    <s v="Publications"/>
    <n v="0.6"/>
    <n v="95"/>
    <s v="95. Puerto Rico (US)"/>
  </r>
  <r>
    <x v="11"/>
    <s v="Publications"/>
    <n v="0.6"/>
    <n v="96"/>
    <s v="96. Syrian Arab Republic"/>
  </r>
  <r>
    <x v="91"/>
    <s v="Publications"/>
    <n v="0.6"/>
    <n v="97"/>
    <s v="97. Zimbabwe"/>
  </r>
  <r>
    <x v="60"/>
    <s v="Publications"/>
    <n v="0.5"/>
    <n v="98"/>
    <s v="98. North Macedonia"/>
  </r>
  <r>
    <x v="63"/>
    <s v="Publications"/>
    <n v="0.5"/>
    <n v="99"/>
    <s v="99. Senegal"/>
  </r>
  <r>
    <x v="37"/>
    <s v="Publications"/>
    <n v="0.5"/>
    <n v="100"/>
    <s v="100. Sudan"/>
  </r>
  <r>
    <x v="135"/>
    <s v="Publications"/>
    <n v="0.5"/>
    <n v="101"/>
    <s v="101. Venezuela, RB"/>
  </r>
  <r>
    <x v="90"/>
    <s v="Publications"/>
    <n v="0.4"/>
    <n v="102"/>
    <s v="102. Benin"/>
  </r>
  <r>
    <x v="75"/>
    <s v="Publications"/>
    <n v="0.4"/>
    <n v="103"/>
    <s v="103. Botswana"/>
  </r>
  <r>
    <x v="201"/>
    <s v="Publications"/>
    <n v="0.4"/>
    <n v="104"/>
    <s v="104. Brunei Darussalam"/>
  </r>
  <r>
    <x v="54"/>
    <s v="Publications"/>
    <n v="0.4"/>
    <n v="105"/>
    <s v="105. Burkina Faso"/>
  </r>
  <r>
    <x v="209"/>
    <s v="Publications"/>
    <n v="0.4"/>
    <n v="106"/>
    <s v="106. Kosovo"/>
  </r>
  <r>
    <x v="181"/>
    <s v="Publications"/>
    <n v="0.4"/>
    <n v="107"/>
    <s v="107. Libya"/>
  </r>
  <r>
    <x v="31"/>
    <s v="Publications"/>
    <n v="0.4"/>
    <n v="108"/>
    <s v="108. Malawi"/>
  </r>
  <r>
    <x v="125"/>
    <s v="Publications"/>
    <n v="0.4"/>
    <n v="109"/>
    <s v="109. Panama"/>
  </r>
  <r>
    <x v="8"/>
    <s v="Publications"/>
    <n v="0.4"/>
    <n v="110"/>
    <s v="110. Rwanda"/>
  </r>
  <r>
    <x v="80"/>
    <s v="Publications"/>
    <n v="0.4"/>
    <n v="111"/>
    <s v="111. Yemen, Rep."/>
  </r>
  <r>
    <x v="0"/>
    <s v="Publications"/>
    <n v="0.3"/>
    <n v="112"/>
    <s v="112. Cote d'Ivoire"/>
  </r>
  <r>
    <x v="143"/>
    <s v="Publications"/>
    <n v="0.3"/>
    <n v="113"/>
    <s v="113. Korea, Dem. People's Rep."/>
  </r>
  <r>
    <x v="10"/>
    <s v="Publications"/>
    <n v="0.3"/>
    <n v="114"/>
    <s v="114. Moldova"/>
  </r>
  <r>
    <x v="25"/>
    <s v="Publications"/>
    <n v="0.3"/>
    <n v="115"/>
    <s v="115. Mongolia"/>
  </r>
  <r>
    <x v="152"/>
    <s v="Publications"/>
    <n v="0.3"/>
    <n v="116"/>
    <s v="116. Montenegro"/>
  </r>
  <r>
    <x v="173"/>
    <s v="Publications"/>
    <n v="0.3"/>
    <n v="117"/>
    <s v="117. Trinidad and Tobago"/>
  </r>
  <r>
    <x v="117"/>
    <s v="Publications"/>
    <n v="0.3"/>
    <n v="118"/>
    <s v="118. Zambia"/>
  </r>
  <r>
    <x v="41"/>
    <s v="Publications"/>
    <n v="0.2"/>
    <n v="119"/>
    <s v="119. Afghanistan"/>
  </r>
  <r>
    <x v="102"/>
    <s v="Publications"/>
    <n v="0.2"/>
    <n v="120"/>
    <s v="120. Albania"/>
  </r>
  <r>
    <x v="109"/>
    <s v="Publications"/>
    <n v="0.2"/>
    <n v="121"/>
    <s v="121. Bolivia"/>
  </r>
  <r>
    <x v="111"/>
    <s v="Publications"/>
    <n v="0.2"/>
    <n v="122"/>
    <s v="122. Cambodia"/>
  </r>
  <r>
    <x v="162"/>
    <s v="Publications"/>
    <n v="0.2"/>
    <n v="123"/>
    <s v="123. Congo, Dem. Rep."/>
  </r>
  <r>
    <x v="158"/>
    <s v="Publications"/>
    <n v="0.2"/>
    <n v="124"/>
    <s v="124. Fiji"/>
  </r>
  <r>
    <x v="118"/>
    <s v="Publications"/>
    <n v="0.2"/>
    <n v="125"/>
    <s v="125. Honduras"/>
  </r>
  <r>
    <x v="99"/>
    <s v="Publications"/>
    <n v="0.2"/>
    <n v="126"/>
    <s v="126. Jamaica"/>
  </r>
  <r>
    <x v="52"/>
    <s v="Publications"/>
    <n v="0.2"/>
    <n v="127"/>
    <s v="127. Kyrgyz Republic"/>
  </r>
  <r>
    <x v="18"/>
    <s v="Publications"/>
    <n v="0.2"/>
    <n v="128"/>
    <s v="128. Madagascar"/>
  </r>
  <r>
    <x v="85"/>
    <s v="Publications"/>
    <n v="0.2"/>
    <n v="129"/>
    <s v="129. Mauritius"/>
  </r>
  <r>
    <x v="55"/>
    <s v="Publications"/>
    <n v="0.2"/>
    <n v="130"/>
    <s v="130. Mozambique"/>
  </r>
  <r>
    <x v="149"/>
    <s v="Publications"/>
    <n v="0.2"/>
    <n v="131"/>
    <s v="131. Myanmar"/>
  </r>
  <r>
    <x v="69"/>
    <s v="Publications"/>
    <n v="0.2"/>
    <n v="132"/>
    <s v="132. Namibia"/>
  </r>
  <r>
    <x v="51"/>
    <s v="Publications"/>
    <n v="0.2"/>
    <n v="133"/>
    <s v="133. Paraguay"/>
  </r>
  <r>
    <x v="137"/>
    <s v="Publications"/>
    <n v="0.1"/>
    <n v="134"/>
    <s v="134. Barbados"/>
  </r>
  <r>
    <x v="167"/>
    <s v="Publications"/>
    <n v="0.1"/>
    <n v="135"/>
    <s v="135. Bhutan"/>
  </r>
  <r>
    <x v="121"/>
    <s v="Publications"/>
    <n v="0.1"/>
    <n v="136"/>
    <s v="136. Congo, Rep."/>
  </r>
  <r>
    <x v="47"/>
    <s v="Publications"/>
    <n v="0.1"/>
    <n v="137"/>
    <s v="137. Dominican Republic"/>
  </r>
  <r>
    <x v="44"/>
    <s v="Publications"/>
    <n v="0.1"/>
    <n v="138"/>
    <s v="138. El Salvador"/>
  </r>
  <r>
    <x v="182"/>
    <s v="Publications"/>
    <n v="0.1"/>
    <n v="139"/>
    <s v="139. Gabon"/>
  </r>
  <r>
    <x v="33"/>
    <s v="Publications"/>
    <n v="0.1"/>
    <n v="140"/>
    <s v="140. Gambia, The"/>
  </r>
  <r>
    <x v="136"/>
    <s v="Publications"/>
    <n v="0.1"/>
    <n v="141"/>
    <s v="141. Grenada"/>
  </r>
  <r>
    <x v="84"/>
    <s v="Publications"/>
    <n v="0.1"/>
    <n v="142"/>
    <s v="142. Guatemala"/>
  </r>
  <r>
    <x v="176"/>
    <s v="Publications"/>
    <n v="0.1"/>
    <n v="143"/>
    <s v="143. Lao PDR"/>
  </r>
  <r>
    <x v="110"/>
    <s v="Publications"/>
    <n v="0.1"/>
    <n v="144"/>
    <s v="144. Mali"/>
  </r>
  <r>
    <x v="234"/>
    <s v="Publications"/>
    <n v="0.1"/>
    <n v="145"/>
    <s v="145. Monaco"/>
  </r>
  <r>
    <x v="107"/>
    <s v="Publications"/>
    <n v="0.1"/>
    <n v="146"/>
    <s v="146. Niger"/>
  </r>
  <r>
    <x v="199"/>
    <s v="Publications"/>
    <n v="0.1"/>
    <n v="147"/>
    <s v="147. Papua New Guinea"/>
  </r>
  <r>
    <x v="50"/>
    <s v="Publications"/>
    <n v="0.1"/>
    <n v="148"/>
    <s v="148. Sierra Leone"/>
  </r>
  <r>
    <x v="19"/>
    <s v="Publications"/>
    <n v="0.1"/>
    <n v="149"/>
    <s v="149. Somalia, Fed. Rep."/>
  </r>
  <r>
    <x v="129"/>
    <s v="Publications"/>
    <n v="0.1"/>
    <n v="150"/>
    <s v="150. Tajikistan"/>
  </r>
  <r>
    <x v="21"/>
    <s v="Publications"/>
    <n v="0.1"/>
    <n v="151"/>
    <s v="151. Togo"/>
  </r>
  <r>
    <x v="95"/>
    <s v="Publications"/>
    <n v="0"/>
    <n v="152"/>
    <s v="152. Andorra"/>
  </r>
  <r>
    <x v="105"/>
    <s v="Publications"/>
    <n v="0"/>
    <n v="153"/>
    <s v="153. Angola"/>
  </r>
  <r>
    <x v="146"/>
    <s v="Publications"/>
    <n v="0"/>
    <n v="154"/>
    <s v="154. Antigua and Barbuda"/>
  </r>
  <r>
    <x v="202"/>
    <s v="Publications"/>
    <n v="0"/>
    <n v="155"/>
    <s v="155. Bahamas, The"/>
  </r>
  <r>
    <x v="184"/>
    <s v="Publications"/>
    <n v="0"/>
    <n v="156"/>
    <s v="156. Belize"/>
  </r>
  <r>
    <x v="2"/>
    <s v="Publications"/>
    <n v="0"/>
    <n v="157"/>
    <s v="157. Burundi"/>
  </r>
  <r>
    <x v="151"/>
    <s v="Publications"/>
    <n v="0"/>
    <n v="158"/>
    <s v="158. Cabo Verde"/>
  </r>
  <r>
    <x v="179"/>
    <s v="Publications"/>
    <n v="0"/>
    <n v="159"/>
    <s v="159. Central African Republic"/>
  </r>
  <r>
    <x v="94"/>
    <s v="Publications"/>
    <n v="0"/>
    <n v="160"/>
    <s v="160. Chad"/>
  </r>
  <r>
    <x v="16"/>
    <s v="Publications"/>
    <n v="0"/>
    <n v="161"/>
    <s v="161. Comoros"/>
  </r>
  <r>
    <x v="12"/>
    <s v="Publications"/>
    <n v="0"/>
    <n v="162"/>
    <s v="162. Djibouti"/>
  </r>
  <r>
    <x v="114"/>
    <s v="Publications"/>
    <n v="0"/>
    <n v="163"/>
    <s v="163. Dominica"/>
  </r>
  <r>
    <x v="196"/>
    <s v="Publications"/>
    <n v="0"/>
    <n v="164"/>
    <s v="164. Equatorial Guinea"/>
  </r>
  <r>
    <x v="32"/>
    <s v="Publications"/>
    <n v="0"/>
    <n v="165"/>
    <s v="165. Eritrea"/>
  </r>
  <r>
    <x v="23"/>
    <s v="Publications"/>
    <n v="0"/>
    <n v="166"/>
    <s v="166. Eswatini"/>
  </r>
  <r>
    <x v="206"/>
    <s v="Publications"/>
    <n v="0"/>
    <n v="167"/>
    <s v="167. Greenland"/>
  </r>
  <r>
    <x v="13"/>
    <s v="Publications"/>
    <n v="0"/>
    <n v="168"/>
    <s v="168. Guinea"/>
  </r>
  <r>
    <x v="123"/>
    <s v="Publications"/>
    <n v="0"/>
    <n v="169"/>
    <s v="169. Guinea-Bissau"/>
  </r>
  <r>
    <x v="197"/>
    <s v="Publications"/>
    <n v="0"/>
    <n v="170"/>
    <s v="170. Guyana"/>
  </r>
  <r>
    <x v="29"/>
    <s v="Publications"/>
    <n v="0"/>
    <n v="171"/>
    <s v="171. Haiti"/>
  </r>
  <r>
    <x v="89"/>
    <s v="Publications"/>
    <n v="0"/>
    <n v="172"/>
    <s v="172. Kiribati"/>
  </r>
  <r>
    <x v="7"/>
    <s v="Publications"/>
    <n v="0"/>
    <n v="173"/>
    <s v="173. Lesotho"/>
  </r>
  <r>
    <x v="147"/>
    <s v="Publications"/>
    <n v="0"/>
    <n v="174"/>
    <s v="174. Liberia"/>
  </r>
  <r>
    <x v="116"/>
    <s v="Publications"/>
    <n v="0"/>
    <n v="175"/>
    <s v="175. Liechtenstein"/>
  </r>
  <r>
    <x v="150"/>
    <s v="Publications"/>
    <n v="0"/>
    <n v="176"/>
    <s v="176. Maldives"/>
  </r>
  <r>
    <x v="98"/>
    <s v="Publications"/>
    <n v="0"/>
    <n v="177"/>
    <s v="177. Marshall Islands"/>
  </r>
  <r>
    <x v="100"/>
    <s v="Publications"/>
    <n v="0"/>
    <n v="178"/>
    <s v="178. Mauritania"/>
  </r>
  <r>
    <x v="187"/>
    <s v="Publications"/>
    <n v="0"/>
    <n v="179"/>
    <s v="179. Micronesia, Fed. Sts."/>
  </r>
  <r>
    <x v="148"/>
    <s v="Publications"/>
    <n v="0"/>
    <n v="180"/>
    <s v="180. Nauru"/>
  </r>
  <r>
    <x v="88"/>
    <s v="Publications"/>
    <n v="0"/>
    <n v="181"/>
    <s v="181. Nicaragua"/>
  </r>
  <r>
    <x v="178"/>
    <s v="Publications"/>
    <n v="0"/>
    <n v="182"/>
    <s v="182. Palau"/>
  </r>
  <r>
    <x v="156"/>
    <s v="Publications"/>
    <n v="0"/>
    <n v="183"/>
    <s v="183. Samoa"/>
  </r>
  <r>
    <x v="101"/>
    <s v="Publications"/>
    <n v="0"/>
    <n v="184"/>
    <s v="184. San Marino"/>
  </r>
  <r>
    <x v="77"/>
    <s v="Publications"/>
    <n v="0"/>
    <n v="185"/>
    <s v="185. Sao Tome and Principe"/>
  </r>
  <r>
    <x v="198"/>
    <s v="Publications"/>
    <n v="0"/>
    <n v="186"/>
    <s v="186. Seychelles"/>
  </r>
  <r>
    <x v="194"/>
    <s v="Publications"/>
    <n v="0"/>
    <n v="187"/>
    <s v="187. Solomon Islands"/>
  </r>
  <r>
    <x v="76"/>
    <s v="Publications"/>
    <n v="0"/>
    <n v="188"/>
    <s v="188. South Sudan"/>
  </r>
  <r>
    <x v="139"/>
    <s v="Publications"/>
    <n v="0"/>
    <n v="189"/>
    <s v="189. St. Kitts and Nevis"/>
  </r>
  <r>
    <x v="159"/>
    <s v="Publications"/>
    <n v="0"/>
    <n v="190"/>
    <s v="190. St. Lucia"/>
  </r>
  <r>
    <x v="155"/>
    <s v="Publications"/>
    <n v="0"/>
    <n v="191"/>
    <s v="191. St. Vincent and the Grenadines"/>
  </r>
  <r>
    <x v="207"/>
    <s v="Publications"/>
    <n v="0"/>
    <n v="192"/>
    <s v="192. Suriname"/>
  </r>
  <r>
    <x v="140"/>
    <s v="Publications"/>
    <n v="0"/>
    <n v="193"/>
    <s v="193. Timor-Leste"/>
  </r>
  <r>
    <x v="65"/>
    <s v="Publications"/>
    <n v="0"/>
    <n v="194"/>
    <s v="194. Tonga"/>
  </r>
  <r>
    <x v="1"/>
    <s v="Publications"/>
    <n v="0"/>
    <n v="195"/>
    <s v="195. Turkmenistan"/>
  </r>
  <r>
    <x v="39"/>
    <s v="Publications"/>
    <n v="0"/>
    <n v="196"/>
    <s v="196. Tuvalu"/>
  </r>
  <r>
    <x v="163"/>
    <s v="Publications"/>
    <n v="0"/>
    <n v="197"/>
    <s v="197. Vanuatu"/>
  </r>
  <r>
    <x v="134"/>
    <s v="R&amp;D (% of GDP)"/>
    <n v="5.8"/>
    <n v="1"/>
    <s v="1. Israel"/>
  </r>
  <r>
    <x v="161"/>
    <s v="R&amp;D (% of GDP)"/>
    <n v="4.9000000000000004"/>
    <n v="2"/>
    <s v="2. Korea, Rep."/>
  </r>
  <r>
    <x v="72"/>
    <s v="R&amp;D (% of GDP)"/>
    <n v="3.5"/>
    <n v="3"/>
    <s v="3. United States"/>
  </r>
  <r>
    <x v="79"/>
    <s v="R&amp;D (% of GDP)"/>
    <n v="3.4"/>
    <n v="4"/>
    <s v="4. Belgium"/>
  </r>
  <r>
    <x v="186"/>
    <s v="R&amp;D (% of GDP)"/>
    <n v="3.4"/>
    <n v="5"/>
    <s v="5. Sweden"/>
  </r>
  <r>
    <x v="120"/>
    <s v="R&amp;D (% of GDP)"/>
    <n v="3.3"/>
    <n v="6"/>
    <s v="6. Austria"/>
  </r>
  <r>
    <x v="169"/>
    <s v="R&amp;D (% of GDP)"/>
    <n v="3.3"/>
    <n v="7"/>
    <s v="7. Japan"/>
  </r>
  <r>
    <x v="104"/>
    <s v="R&amp;D (% of GDP)"/>
    <n v="3.3"/>
    <n v="8"/>
    <s v="8. Switzerland"/>
  </r>
  <r>
    <x v="67"/>
    <s v="R&amp;D (% of GDP)"/>
    <n v="3.1"/>
    <n v="9"/>
    <s v="9. Germany"/>
  </r>
  <r>
    <x v="185"/>
    <s v="R&amp;D (% of GDP)"/>
    <n v="3"/>
    <n v="10"/>
    <s v="10. Finland"/>
  </r>
  <r>
    <x v="20"/>
    <s v="R&amp;D (% of GDP)"/>
    <n v="2.9"/>
    <n v="11"/>
    <s v="11. United Kingdom"/>
  </r>
  <r>
    <x v="28"/>
    <s v="R&amp;D (% of GDP)"/>
    <n v="2.8"/>
    <n v="12"/>
    <s v="12. Denmark"/>
  </r>
  <r>
    <x v="160"/>
    <s v="R&amp;D (% of GDP)"/>
    <n v="2.8"/>
    <n v="13"/>
    <s v="13. Iceland"/>
  </r>
  <r>
    <x v="46"/>
    <s v="R&amp;D (% of GDP)"/>
    <n v="2.4"/>
    <n v="14"/>
    <s v="14. China"/>
  </r>
  <r>
    <x v="53"/>
    <s v="R&amp;D (% of GDP)"/>
    <n v="2.2999999999999998"/>
    <n v="15"/>
    <s v="15. Netherlands"/>
  </r>
  <r>
    <x v="56"/>
    <s v="R&amp;D (% of GDP)"/>
    <n v="2.2000000000000002"/>
    <n v="16"/>
    <s v="16. France"/>
  </r>
  <r>
    <x v="122"/>
    <s v="R&amp;D (% of GDP)"/>
    <n v="2.1"/>
    <n v="17"/>
    <s v="17. Slovenia"/>
  </r>
  <r>
    <x v="74"/>
    <s v="R&amp;D (% of GDP)"/>
    <n v="2"/>
    <n v="18"/>
    <s v="18. Czechia"/>
  </r>
  <r>
    <x v="68"/>
    <s v="R&amp;D (% of GDP)"/>
    <n v="1.9"/>
    <n v="19"/>
    <s v="19. Australia"/>
  </r>
  <r>
    <x v="188"/>
    <s v="R&amp;D (% of GDP)"/>
    <n v="1.9"/>
    <n v="20"/>
    <s v="20. Canada"/>
  </r>
  <r>
    <x v="200"/>
    <s v="R&amp;D (% of GDP)"/>
    <n v="1.9"/>
    <n v="21"/>
    <s v="21. Norway"/>
  </r>
  <r>
    <x v="138"/>
    <s v="R&amp;D (% of GDP)"/>
    <n v="1.8"/>
    <n v="22"/>
    <s v="22. Estonia"/>
  </r>
  <r>
    <x v="83"/>
    <s v="R&amp;D (% of GDP)"/>
    <n v="1.7"/>
    <n v="23"/>
    <s v="23. Portugal"/>
  </r>
  <r>
    <x v="45"/>
    <s v="R&amp;D (% of GDP)"/>
    <n v="1.6"/>
    <n v="24"/>
    <s v="24. Hungary"/>
  </r>
  <r>
    <x v="92"/>
    <s v="R&amp;D (% of GDP)"/>
    <n v="1.5"/>
    <n v="25"/>
    <s v="25. Greece"/>
  </r>
  <r>
    <x v="106"/>
    <s v="R&amp;D (% of GDP)"/>
    <n v="1.5"/>
    <n v="26"/>
    <s v="26. New Zealand"/>
  </r>
  <r>
    <x v="191"/>
    <s v="R&amp;D (% of GDP)"/>
    <n v="1.5"/>
    <n v="27"/>
    <s v="27. United Arab Emirates"/>
  </r>
  <r>
    <x v="81"/>
    <s v="R&amp;D (% of GDP)"/>
    <n v="1.4"/>
    <n v="28"/>
    <s v="28. Italy"/>
  </r>
  <r>
    <x v="66"/>
    <s v="R&amp;D (% of GDP)"/>
    <n v="1.4"/>
    <n v="29"/>
    <s v="29. Poland"/>
  </r>
  <r>
    <x v="61"/>
    <s v="R&amp;D (% of GDP)"/>
    <n v="1.4"/>
    <n v="30"/>
    <s v="30. Spain"/>
  </r>
  <r>
    <x v="59"/>
    <s v="R&amp;D (% of GDP)"/>
    <n v="1.4"/>
    <n v="31"/>
    <s v="31. Turkiye"/>
  </r>
  <r>
    <x v="130"/>
    <s v="R&amp;D (% of GDP)"/>
    <n v="1.2"/>
    <n v="32"/>
    <s v="32. Croatia"/>
  </r>
  <r>
    <x v="82"/>
    <s v="R&amp;D (% of GDP)"/>
    <n v="1.2"/>
    <n v="33"/>
    <s v="33. Thailand"/>
  </r>
  <r>
    <x v="36"/>
    <s v="R&amp;D (% of GDP)"/>
    <n v="1.1000000000000001"/>
    <n v="34"/>
    <s v="34. Ireland"/>
  </r>
  <r>
    <x v="73"/>
    <s v="R&amp;D (% of GDP)"/>
    <n v="1.1000000000000001"/>
    <n v="35"/>
    <s v="35. Lithuania"/>
  </r>
  <r>
    <x v="195"/>
    <s v="R&amp;D (% of GDP)"/>
    <n v="1"/>
    <n v="36"/>
    <s v="36. Hong Kong SAR, China"/>
  </r>
  <r>
    <x v="57"/>
    <s v="R&amp;D (% of GDP)"/>
    <n v="1"/>
    <n v="37"/>
    <s v="37. Luxembourg"/>
  </r>
  <r>
    <x v="168"/>
    <s v="R&amp;D (% of GDP)"/>
    <n v="1"/>
    <n v="38"/>
    <s v="38. Russian Federation"/>
  </r>
  <r>
    <x v="93"/>
    <s v="R&amp;D (% of GDP)"/>
    <n v="1"/>
    <n v="39"/>
    <s v="39. Serbia"/>
  </r>
  <r>
    <x v="193"/>
    <s v="R&amp;D (% of GDP)"/>
    <n v="0.9"/>
    <n v="40"/>
    <s v="40. Egypt, Arab Rep."/>
  </r>
  <r>
    <x v="103"/>
    <s v="R&amp;D (% of GDP)"/>
    <n v="0.9"/>
    <n v="41"/>
    <s v="41. Slovak Republic"/>
  </r>
  <r>
    <x v="71"/>
    <s v="R&amp;D (% of GDP)"/>
    <n v="0.8"/>
    <n v="42"/>
    <s v="42. Bulgaria"/>
  </r>
  <r>
    <x v="166"/>
    <s v="R&amp;D (% of GDP)"/>
    <n v="0.8"/>
    <n v="43"/>
    <s v="43. Cyprus"/>
  </r>
  <r>
    <x v="127"/>
    <s v="R&amp;D (% of GDP)"/>
    <n v="0.7"/>
    <n v="44"/>
    <s v="44. Iran, Islamic Rep."/>
  </r>
  <r>
    <x v="119"/>
    <s v="R&amp;D (% of GDP)"/>
    <n v="0.7"/>
    <n v="45"/>
    <s v="45. Latvia"/>
  </r>
  <r>
    <x v="133"/>
    <s v="R&amp;D (% of GDP)"/>
    <n v="0.7"/>
    <n v="46"/>
    <s v="46. Malta"/>
  </r>
  <r>
    <x v="189"/>
    <s v="R&amp;D (% of GDP)"/>
    <n v="0.7"/>
    <n v="47"/>
    <s v="47. Qatar"/>
  </r>
  <r>
    <x v="6"/>
    <s v="R&amp;D (% of GDP)"/>
    <n v="0.6"/>
    <n v="48"/>
    <s v="48. South Africa"/>
  </r>
  <r>
    <x v="3"/>
    <s v="R&amp;D (% of GDP)"/>
    <n v="0.6"/>
    <n v="49"/>
    <s v="49. Uruguay"/>
  </r>
  <r>
    <x v="87"/>
    <s v="R&amp;D (% of GDP)"/>
    <n v="0.5"/>
    <n v="50"/>
    <s v="50. Argentina"/>
  </r>
  <r>
    <x v="96"/>
    <s v="R&amp;D (% of GDP)"/>
    <n v="0.5"/>
    <n v="51"/>
    <s v="51. Belarus"/>
  </r>
  <r>
    <x v="49"/>
    <s v="R&amp;D (% of GDP)"/>
    <n v="0.5"/>
    <n v="52"/>
    <s v="52. Romania"/>
  </r>
  <r>
    <x v="165"/>
    <s v="R&amp;D (% of GDP)"/>
    <n v="0.4"/>
    <n v="53"/>
    <s v="53. Chile"/>
  </r>
  <r>
    <x v="208"/>
    <s v="R&amp;D (% of GDP)"/>
    <n v="0.4"/>
    <n v="54"/>
    <s v="54. Macao SAR, China"/>
  </r>
  <r>
    <x v="85"/>
    <s v="R&amp;D (% of GDP)"/>
    <n v="0.4"/>
    <n v="55"/>
    <s v="55. Mauritius"/>
  </r>
  <r>
    <x v="60"/>
    <s v="R&amp;D (% of GDP)"/>
    <n v="0.4"/>
    <n v="56"/>
    <s v="56. North Macedonia"/>
  </r>
  <r>
    <x v="4"/>
    <s v="R&amp;D (% of GDP)"/>
    <n v="0.4"/>
    <n v="57"/>
    <s v="57. Saudi Arabia"/>
  </r>
  <r>
    <x v="17"/>
    <s v="R&amp;D (% of GDP)"/>
    <n v="0.4"/>
    <n v="58"/>
    <s v="58. Ukraine"/>
  </r>
  <r>
    <x v="97"/>
    <s v="R&amp;D (% of GDP)"/>
    <n v="0.4"/>
    <n v="59"/>
    <s v="59. Viet Nam"/>
  </r>
  <r>
    <x v="54"/>
    <s v="R&amp;D (% of GDP)"/>
    <n v="0.3"/>
    <n v="60"/>
    <s v="60. Burkina Faso"/>
  </r>
  <r>
    <x v="115"/>
    <s v="R&amp;D (% of GDP)"/>
    <n v="0.3"/>
    <n v="61"/>
    <s v="61. Costa Rica"/>
  </r>
  <r>
    <x v="35"/>
    <s v="R&amp;D (% of GDP)"/>
    <n v="0.3"/>
    <n v="62"/>
    <s v="62. Cuba"/>
  </r>
  <r>
    <x v="58"/>
    <s v="R&amp;D (% of GDP)"/>
    <n v="0.3"/>
    <n v="63"/>
    <s v="63. Mexico"/>
  </r>
  <r>
    <x v="192"/>
    <s v="R&amp;D (% of GDP)"/>
    <n v="0.3"/>
    <n v="64"/>
    <s v="64. Oman"/>
  </r>
  <r>
    <x v="40"/>
    <s v="R&amp;D (% of GDP)"/>
    <n v="0.2"/>
    <n v="65"/>
    <s v="65. Armenia"/>
  </r>
  <r>
    <x v="43"/>
    <s v="R&amp;D (% of GDP)"/>
    <n v="0.2"/>
    <n v="66"/>
    <s v="66. Azerbaijan"/>
  </r>
  <r>
    <x v="142"/>
    <s v="R&amp;D (% of GDP)"/>
    <n v="0.2"/>
    <n v="67"/>
    <s v="67. Bosnia and Herzegovina"/>
  </r>
  <r>
    <x v="44"/>
    <s v="R&amp;D (% of GDP)"/>
    <n v="0.2"/>
    <n v="68"/>
    <s v="68. El Salvador"/>
  </r>
  <r>
    <x v="113"/>
    <s v="R&amp;D (% of GDP)"/>
    <n v="0.2"/>
    <n v="69"/>
    <s v="69. Georgia"/>
  </r>
  <r>
    <x v="110"/>
    <s v="R&amp;D (% of GDP)"/>
    <n v="0.2"/>
    <n v="70"/>
    <s v="70. Mali"/>
  </r>
  <r>
    <x v="10"/>
    <s v="R&amp;D (% of GDP)"/>
    <n v="0.2"/>
    <n v="71"/>
    <s v="71. Moldova"/>
  </r>
  <r>
    <x v="70"/>
    <s v="R&amp;D (% of GDP)"/>
    <n v="0.2"/>
    <n v="72"/>
    <s v="72. Pakistan"/>
  </r>
  <r>
    <x v="125"/>
    <s v="R&amp;D (% of GDP)"/>
    <n v="0.2"/>
    <n v="73"/>
    <s v="73. Panama"/>
  </r>
  <r>
    <x v="84"/>
    <s v="R&amp;D (% of GDP)"/>
    <n v="0.1"/>
    <n v="74"/>
    <s v="74. Guatemala"/>
  </r>
  <r>
    <x v="5"/>
    <s v="R&amp;D (% of GDP)"/>
    <n v="0.1"/>
    <n v="75"/>
    <s v="75. Kazakhstan"/>
  </r>
  <r>
    <x v="52"/>
    <s v="R&amp;D (% of GDP)"/>
    <n v="0.1"/>
    <n v="76"/>
    <s v="76. Kyrgyz Republic"/>
  </r>
  <r>
    <x v="25"/>
    <s v="R&amp;D (% of GDP)"/>
    <n v="0.1"/>
    <n v="77"/>
    <s v="77. Mongolia"/>
  </r>
  <r>
    <x v="149"/>
    <s v="R&amp;D (% of GDP)"/>
    <n v="0.1"/>
    <n v="78"/>
    <s v="78. Myanmar"/>
  </r>
  <r>
    <x v="51"/>
    <s v="R&amp;D (% of GDP)"/>
    <n v="0.1"/>
    <n v="79"/>
    <s v="79. Paraguay"/>
  </r>
  <r>
    <x v="153"/>
    <s v="R&amp;D (% of GDP)"/>
    <n v="0.1"/>
    <n v="80"/>
    <s v="80. Peru"/>
  </r>
  <r>
    <x v="173"/>
    <s v="R&amp;D (% of GDP)"/>
    <n v="0.1"/>
    <n v="81"/>
    <s v="81. Trinidad and Tobago"/>
  </r>
  <r>
    <x v="1"/>
    <s v="R&amp;D (% of GDP)"/>
    <n v="0.1"/>
    <n v="82"/>
    <s v="82. Turkmenistan"/>
  </r>
  <r>
    <x v="42"/>
    <s v="R&amp;D (% of GDP)"/>
    <n v="0.1"/>
    <n v="83"/>
    <s v="83. Uzbekistan"/>
  </r>
  <r>
    <x v="141"/>
    <s v="R&amp;D (% of GDP)"/>
    <n v="0"/>
    <n v="84"/>
    <s v="84. Iraq"/>
  </r>
  <r>
    <x v="168"/>
    <s v="Surface area"/>
    <n v="17125.2"/>
    <n v="1"/>
    <s v="1. Russian Federation"/>
  </r>
  <r>
    <x v="188"/>
    <s v="Surface area"/>
    <n v="15634.4"/>
    <n v="2"/>
    <s v="2. Canada"/>
  </r>
  <r>
    <x v="72"/>
    <s v="Surface area"/>
    <n v="9831.5"/>
    <n v="3"/>
    <s v="3. United States"/>
  </r>
  <r>
    <x v="46"/>
    <s v="Surface area"/>
    <n v="9562.9"/>
    <n v="4"/>
    <s v="4. China"/>
  </r>
  <r>
    <x v="128"/>
    <s v="Surface area"/>
    <n v="8510.4"/>
    <n v="5"/>
    <s v="5. Brazil"/>
  </r>
  <r>
    <x v="68"/>
    <s v="Surface area"/>
    <n v="7741.2"/>
    <n v="6"/>
    <s v="6. Australia"/>
  </r>
  <r>
    <x v="38"/>
    <s v="Surface area"/>
    <n v="3287.3"/>
    <n v="7"/>
    <s v="7. India"/>
  </r>
  <r>
    <x v="87"/>
    <s v="Surface area"/>
    <n v="2780.4"/>
    <n v="8"/>
    <s v="8. Argentina"/>
  </r>
  <r>
    <x v="5"/>
    <s v="Surface area"/>
    <n v="2724.9"/>
    <n v="9"/>
    <s v="9. Kazakhstan"/>
  </r>
  <r>
    <x v="157"/>
    <s v="Surface area"/>
    <n v="2381.6999999999998"/>
    <n v="10"/>
    <s v="10. Algeria"/>
  </r>
  <r>
    <x v="162"/>
    <s v="Surface area"/>
    <n v="2344.9"/>
    <n v="11"/>
    <s v="11. Congo, Dem. Rep."/>
  </r>
  <r>
    <x v="4"/>
    <s v="Surface area"/>
    <n v="2149.6999999999998"/>
    <n v="12"/>
    <s v="12. Saudi Arabia"/>
  </r>
  <r>
    <x v="58"/>
    <s v="Surface area"/>
    <n v="1957.2"/>
    <n v="13"/>
    <s v="13. Mexico"/>
  </r>
  <r>
    <x v="126"/>
    <s v="Surface area"/>
    <n v="1916.9"/>
    <n v="14"/>
    <s v="14. Indonesia"/>
  </r>
  <r>
    <x v="37"/>
    <s v="Surface area"/>
    <n v="1878"/>
    <n v="15"/>
    <s v="15. Sudan"/>
  </r>
  <r>
    <x v="181"/>
    <s v="Surface area"/>
    <n v="1759.5"/>
    <n v="16"/>
    <s v="16. Libya"/>
  </r>
  <r>
    <x v="127"/>
    <s v="Surface area"/>
    <n v="1745.2"/>
    <n v="17"/>
    <s v="17. Iran, Islamic Rep."/>
  </r>
  <r>
    <x v="25"/>
    <s v="Surface area"/>
    <n v="1564.1"/>
    <n v="18"/>
    <s v="18. Mongolia"/>
  </r>
  <r>
    <x v="153"/>
    <s v="Surface area"/>
    <n v="1285.2"/>
    <n v="19"/>
    <s v="19. Peru"/>
  </r>
  <r>
    <x v="94"/>
    <s v="Surface area"/>
    <n v="1284"/>
    <n v="20"/>
    <s v="20. Chad"/>
  </r>
  <r>
    <x v="107"/>
    <s v="Surface area"/>
    <n v="1267"/>
    <n v="21"/>
    <s v="21. Niger"/>
  </r>
  <r>
    <x v="105"/>
    <s v="Surface area"/>
    <n v="1246.7"/>
    <n v="22"/>
    <s v="22. Angola"/>
  </r>
  <r>
    <x v="110"/>
    <s v="Surface area"/>
    <n v="1240.2"/>
    <n v="23"/>
    <s v="23. Mali"/>
  </r>
  <r>
    <x v="6"/>
    <s v="Surface area"/>
    <n v="1219.0999999999999"/>
    <n v="24"/>
    <s v="24. South Africa"/>
  </r>
  <r>
    <x v="108"/>
    <s v="Surface area"/>
    <n v="1140.5999999999999"/>
    <n v="25"/>
    <s v="25. Colombia"/>
  </r>
  <r>
    <x v="112"/>
    <s v="Surface area"/>
    <n v="1136.2"/>
    <n v="26"/>
    <s v="26. Ethiopia"/>
  </r>
  <r>
    <x v="109"/>
    <s v="Surface area"/>
    <n v="1098.5999999999999"/>
    <n v="27"/>
    <s v="27. Bolivia"/>
  </r>
  <r>
    <x v="100"/>
    <s v="Surface area"/>
    <n v="1030.7"/>
    <n v="28"/>
    <s v="28. Mauritania"/>
  </r>
  <r>
    <x v="193"/>
    <s v="Surface area"/>
    <n v="1001.5"/>
    <n v="29"/>
    <s v="29. Egypt, Arab Rep."/>
  </r>
  <r>
    <x v="78"/>
    <s v="Surface area"/>
    <n v="947.3"/>
    <n v="30"/>
    <s v="30. Tanzania"/>
  </r>
  <r>
    <x v="9"/>
    <s v="Surface area"/>
    <n v="923.8"/>
    <n v="31"/>
    <s v="31. Nigeria"/>
  </r>
  <r>
    <x v="135"/>
    <s v="Surface area"/>
    <n v="912.1"/>
    <n v="32"/>
    <s v="32. Venezuela, RB"/>
  </r>
  <r>
    <x v="69"/>
    <s v="Surface area"/>
    <n v="824.3"/>
    <n v="33"/>
    <s v="33. Namibia"/>
  </r>
  <r>
    <x v="55"/>
    <s v="Surface area"/>
    <n v="799.4"/>
    <n v="34"/>
    <s v="34. Mozambique"/>
  </r>
  <r>
    <x v="70"/>
    <s v="Surface area"/>
    <n v="796.1"/>
    <n v="35"/>
    <s v="35. Pakistan"/>
  </r>
  <r>
    <x v="59"/>
    <s v="Surface area"/>
    <n v="785.4"/>
    <n v="36"/>
    <s v="36. Turkiye"/>
  </r>
  <r>
    <x v="165"/>
    <s v="Surface area"/>
    <n v="757.2"/>
    <n v="37"/>
    <s v="37. Chile"/>
  </r>
  <r>
    <x v="117"/>
    <s v="Surface area"/>
    <n v="752.6"/>
    <n v="38"/>
    <s v="38. Zambia"/>
  </r>
  <r>
    <x v="149"/>
    <s v="Surface area"/>
    <n v="676.6"/>
    <n v="39"/>
    <s v="39. Myanmar"/>
  </r>
  <r>
    <x v="41"/>
    <s v="Surface area"/>
    <n v="652.9"/>
    <n v="40"/>
    <s v="40. Afghanistan"/>
  </r>
  <r>
    <x v="76"/>
    <s v="Surface area"/>
    <n v="646.9"/>
    <n v="41"/>
    <s v="41. South Sudan"/>
  </r>
  <r>
    <x v="19"/>
    <s v="Surface area"/>
    <n v="637.70000000000005"/>
    <n v="42"/>
    <s v="42. Somalia, Fed. Rep."/>
  </r>
  <r>
    <x v="200"/>
    <s v="Surface area"/>
    <n v="624.5"/>
    <n v="43"/>
    <s v="43. Norway"/>
  </r>
  <r>
    <x v="179"/>
    <s v="Surface area"/>
    <n v="623"/>
    <n v="44"/>
    <s v="44. Central African Republic"/>
  </r>
  <r>
    <x v="56"/>
    <s v="Surface area"/>
    <n v="606.4"/>
    <n v="45"/>
    <s v="45. France"/>
  </r>
  <r>
    <x v="17"/>
    <s v="Surface area"/>
    <n v="603.6"/>
    <n v="46"/>
    <s v="46. Ukraine"/>
  </r>
  <r>
    <x v="62"/>
    <s v="Surface area"/>
    <n v="592"/>
    <n v="47"/>
    <s v="47. Kenya"/>
  </r>
  <r>
    <x v="18"/>
    <s v="Surface area"/>
    <n v="587.29999999999995"/>
    <n v="48"/>
    <s v="48. Madagascar"/>
  </r>
  <r>
    <x v="75"/>
    <s v="Surface area"/>
    <n v="581.70000000000005"/>
    <n v="49"/>
    <s v="49. Botswana"/>
  </r>
  <r>
    <x v="186"/>
    <s v="Surface area"/>
    <n v="528.70000000000005"/>
    <n v="50"/>
    <s v="50. Sweden"/>
  </r>
  <r>
    <x v="80"/>
    <s v="Surface area"/>
    <n v="528"/>
    <n v="51"/>
    <s v="51. Yemen, Rep."/>
  </r>
  <r>
    <x v="82"/>
    <s v="Surface area"/>
    <n v="513.1"/>
    <n v="52"/>
    <s v="52. Thailand"/>
  </r>
  <r>
    <x v="61"/>
    <s v="Surface area"/>
    <n v="506"/>
    <n v="53"/>
    <s v="53. Spain"/>
  </r>
  <r>
    <x v="1"/>
    <s v="Surface area"/>
    <n v="491.2"/>
    <n v="54"/>
    <s v="54. Turkmenistan"/>
  </r>
  <r>
    <x v="145"/>
    <s v="Surface area"/>
    <n v="475.4"/>
    <n v="55"/>
    <s v="55. Cameroon"/>
  </r>
  <r>
    <x v="199"/>
    <s v="Surface area"/>
    <n v="462.8"/>
    <n v="56"/>
    <s v="56. Papua New Guinea"/>
  </r>
  <r>
    <x v="42"/>
    <s v="Surface area"/>
    <n v="448.9"/>
    <n v="57"/>
    <s v="57. Uzbekistan"/>
  </r>
  <r>
    <x v="26"/>
    <s v="Surface area"/>
    <n v="446.6"/>
    <n v="58"/>
    <s v="58. Morocco"/>
  </r>
  <r>
    <x v="141"/>
    <s v="Surface area"/>
    <n v="435.1"/>
    <n v="59"/>
    <s v="59. Iraq"/>
  </r>
  <r>
    <x v="206"/>
    <s v="Surface area"/>
    <n v="410.5"/>
    <n v="60"/>
    <s v="60. Greenland"/>
  </r>
  <r>
    <x v="51"/>
    <s v="Surface area"/>
    <n v="406.8"/>
    <n v="61"/>
    <s v="61. Paraguay"/>
  </r>
  <r>
    <x v="91"/>
    <s v="Surface area"/>
    <n v="390.8"/>
    <n v="62"/>
    <s v="62. Zimbabwe"/>
  </r>
  <r>
    <x v="169"/>
    <s v="Surface area"/>
    <n v="378"/>
    <n v="63"/>
    <s v="63. Japan"/>
  </r>
  <r>
    <x v="67"/>
    <s v="Surface area"/>
    <n v="357.7"/>
    <n v="64"/>
    <s v="64. Germany"/>
  </r>
  <r>
    <x v="121"/>
    <s v="Surface area"/>
    <n v="342"/>
    <n v="65"/>
    <s v="65. Congo, Rep."/>
  </r>
  <r>
    <x v="185"/>
    <s v="Surface area"/>
    <n v="338.5"/>
    <n v="66"/>
    <s v="66. Finland"/>
  </r>
  <r>
    <x v="97"/>
    <s v="Surface area"/>
    <n v="331.3"/>
    <n v="67"/>
    <s v="67. Viet Nam"/>
  </r>
  <r>
    <x v="131"/>
    <s v="Surface area"/>
    <n v="330.4"/>
    <n v="68"/>
    <s v="68. Malaysia"/>
  </r>
  <r>
    <x v="0"/>
    <s v="Surface area"/>
    <n v="322.5"/>
    <n v="69"/>
    <s v="69. Cote d'Ivoire"/>
  </r>
  <r>
    <x v="66"/>
    <s v="Surface area"/>
    <n v="313.89999999999998"/>
    <n v="70"/>
    <s v="70. Poland"/>
  </r>
  <r>
    <x v="192"/>
    <s v="Surface area"/>
    <n v="309.5"/>
    <n v="71"/>
    <s v="71. Oman"/>
  </r>
  <r>
    <x v="81"/>
    <s v="Surface area"/>
    <n v="302.10000000000002"/>
    <n v="72"/>
    <s v="72. Italy"/>
  </r>
  <r>
    <x v="86"/>
    <s v="Surface area"/>
    <n v="300"/>
    <n v="73"/>
    <s v="73. Philippines"/>
  </r>
  <r>
    <x v="54"/>
    <s v="Surface area"/>
    <n v="274.2"/>
    <n v="74"/>
    <s v="74. Burkina Faso"/>
  </r>
  <r>
    <x v="182"/>
    <s v="Surface area"/>
    <n v="267.7"/>
    <n v="75"/>
    <s v="75. Gabon"/>
  </r>
  <r>
    <x v="106"/>
    <s v="Surface area"/>
    <n v="267.7"/>
    <n v="76"/>
    <s v="76. New Zealand"/>
  </r>
  <r>
    <x v="144"/>
    <s v="Surface area"/>
    <n v="256.39999999999998"/>
    <n v="77"/>
    <s v="77. Ecuador"/>
  </r>
  <r>
    <x v="13"/>
    <s v="Surface area"/>
    <n v="245.9"/>
    <n v="78"/>
    <s v="78. Guinea"/>
  </r>
  <r>
    <x v="20"/>
    <s v="Surface area"/>
    <n v="243.6"/>
    <n v="79"/>
    <s v="79. United Kingdom"/>
  </r>
  <r>
    <x v="15"/>
    <s v="Surface area"/>
    <n v="241.6"/>
    <n v="80"/>
    <s v="80. Uganda"/>
  </r>
  <r>
    <x v="48"/>
    <s v="Surface area"/>
    <n v="238.5"/>
    <n v="81"/>
    <s v="81. Ghana"/>
  </r>
  <r>
    <x v="49"/>
    <s v="Surface area"/>
    <n v="238.4"/>
    <n v="82"/>
    <s v="82. Romania"/>
  </r>
  <r>
    <x v="176"/>
    <s v="Surface area"/>
    <n v="236.8"/>
    <n v="83"/>
    <s v="83. Lao PDR"/>
  </r>
  <r>
    <x v="197"/>
    <s v="Surface area"/>
    <n v="215"/>
    <n v="84"/>
    <s v="84. Guyana"/>
  </r>
  <r>
    <x v="96"/>
    <s v="Surface area"/>
    <n v="207.6"/>
    <n v="85"/>
    <s v="85. Belarus"/>
  </r>
  <r>
    <x v="52"/>
    <s v="Surface area"/>
    <n v="200"/>
    <n v="86"/>
    <s v="86. Kyrgyz Republic"/>
  </r>
  <r>
    <x v="63"/>
    <s v="Surface area"/>
    <n v="196.7"/>
    <n v="87"/>
    <s v="87. Senegal"/>
  </r>
  <r>
    <x v="11"/>
    <s v="Surface area"/>
    <n v="185.2"/>
    <n v="88"/>
    <s v="88. Syrian Arab Republic"/>
  </r>
  <r>
    <x v="111"/>
    <s v="Surface area"/>
    <n v="181"/>
    <n v="89"/>
    <s v="89. Cambodia"/>
  </r>
  <r>
    <x v="3"/>
    <s v="Surface area"/>
    <n v="176.2"/>
    <n v="90"/>
    <s v="90. Uruguay"/>
  </r>
  <r>
    <x v="207"/>
    <s v="Surface area"/>
    <n v="163.80000000000001"/>
    <n v="91"/>
    <s v="91. Suriname"/>
  </r>
  <r>
    <x v="34"/>
    <s v="Surface area"/>
    <n v="163.6"/>
    <n v="92"/>
    <s v="92. Tunisia"/>
  </r>
  <r>
    <x v="14"/>
    <s v="Surface area"/>
    <n v="147.6"/>
    <n v="93"/>
    <s v="93. Bangladesh"/>
  </r>
  <r>
    <x v="132"/>
    <s v="Surface area"/>
    <n v="147.19999999999999"/>
    <n v="94"/>
    <s v="94. Nepal"/>
  </r>
  <r>
    <x v="47"/>
    <s v="Surface area"/>
    <n v="146.80000000000001"/>
    <n v="95"/>
    <s v="95. Dominican Republic"/>
  </r>
  <r>
    <x v="129"/>
    <s v="Surface area"/>
    <n v="141.4"/>
    <n v="96"/>
    <s v="96. Tajikistan"/>
  </r>
  <r>
    <x v="92"/>
    <s v="Surface area"/>
    <n v="132"/>
    <n v="97"/>
    <s v="97. Greece"/>
  </r>
  <r>
    <x v="88"/>
    <s v="Surface area"/>
    <n v="130.4"/>
    <n v="98"/>
    <s v="98. Nicaragua"/>
  </r>
  <r>
    <x v="32"/>
    <s v="Surface area"/>
    <n v="121.8"/>
    <n v="99"/>
    <s v="99. Eritrea"/>
  </r>
  <r>
    <x v="143"/>
    <s v="Surface area"/>
    <n v="120.5"/>
    <n v="100"/>
    <s v="100. Korea, Dem. People's Rep."/>
  </r>
  <r>
    <x v="31"/>
    <s v="Surface area"/>
    <n v="118.5"/>
    <n v="101"/>
    <s v="101. Malawi"/>
  </r>
  <r>
    <x v="90"/>
    <s v="Surface area"/>
    <n v="114.8"/>
    <n v="102"/>
    <s v="102. Benin"/>
  </r>
  <r>
    <x v="118"/>
    <s v="Surface area"/>
    <n v="112.5"/>
    <n v="103"/>
    <s v="103. Honduras"/>
  </r>
  <r>
    <x v="147"/>
    <s v="Surface area"/>
    <n v="111.4"/>
    <n v="104"/>
    <s v="104. Liberia"/>
  </r>
  <r>
    <x v="71"/>
    <s v="Surface area"/>
    <n v="111"/>
    <n v="105"/>
    <s v="105. Bulgaria"/>
  </r>
  <r>
    <x v="35"/>
    <s v="Surface area"/>
    <n v="109.9"/>
    <n v="106"/>
    <s v="106. Cuba"/>
  </r>
  <r>
    <x v="84"/>
    <s v="Surface area"/>
    <n v="108.9"/>
    <n v="107"/>
    <s v="107. Guatemala"/>
  </r>
  <r>
    <x v="160"/>
    <s v="Surface area"/>
    <n v="103"/>
    <n v="108"/>
    <s v="108. Iceland"/>
  </r>
  <r>
    <x v="161"/>
    <s v="Surface area"/>
    <n v="100.5"/>
    <n v="109"/>
    <s v="109. Korea, Rep."/>
  </r>
  <r>
    <x v="191"/>
    <s v="Surface area"/>
    <n v="98.6"/>
    <n v="110"/>
    <s v="110. United Arab Emirates"/>
  </r>
  <r>
    <x v="45"/>
    <s v="Surface area"/>
    <n v="93"/>
    <n v="111"/>
    <s v="111. Hungary"/>
  </r>
  <r>
    <x v="83"/>
    <s v="Surface area"/>
    <n v="92.2"/>
    <n v="112"/>
    <s v="112. Portugal"/>
  </r>
  <r>
    <x v="170"/>
    <s v="Surface area"/>
    <n v="89.3"/>
    <n v="113"/>
    <s v="113. Jordan"/>
  </r>
  <r>
    <x v="130"/>
    <s v="Surface area"/>
    <n v="88.1"/>
    <n v="114"/>
    <s v="114. Croatia"/>
  </r>
  <r>
    <x v="43"/>
    <s v="Surface area"/>
    <n v="86.6"/>
    <n v="115"/>
    <s v="115. Azerbaijan"/>
  </r>
  <r>
    <x v="93"/>
    <s v="Surface area"/>
    <n v="85"/>
    <n v="116"/>
    <s v="116. Serbia"/>
  </r>
  <r>
    <x v="120"/>
    <s v="Surface area"/>
    <n v="83.9"/>
    <n v="117"/>
    <s v="117. Austria"/>
  </r>
  <r>
    <x v="74"/>
    <s v="Surface area"/>
    <n v="78.900000000000006"/>
    <n v="118"/>
    <s v="118. Czechia"/>
  </r>
  <r>
    <x v="125"/>
    <s v="Surface area"/>
    <n v="75.3"/>
    <n v="119"/>
    <s v="119. Panama"/>
  </r>
  <r>
    <x v="50"/>
    <s v="Surface area"/>
    <n v="72.3"/>
    <n v="120"/>
    <s v="120. Sierra Leone"/>
  </r>
  <r>
    <x v="36"/>
    <s v="Surface area"/>
    <n v="70.3"/>
    <n v="121"/>
    <s v="121. Ireland"/>
  </r>
  <r>
    <x v="113"/>
    <s v="Surface area"/>
    <n v="69.7"/>
    <n v="122"/>
    <s v="122. Georgia"/>
  </r>
  <r>
    <x v="64"/>
    <s v="Surface area"/>
    <n v="65.599999999999994"/>
    <n v="123"/>
    <s v="123. Sri Lanka"/>
  </r>
  <r>
    <x v="73"/>
    <s v="Surface area"/>
    <n v="65.3"/>
    <n v="124"/>
    <s v="124. Lithuania"/>
  </r>
  <r>
    <x v="119"/>
    <s v="Surface area"/>
    <n v="64.599999999999994"/>
    <n v="125"/>
    <s v="125. Latvia"/>
  </r>
  <r>
    <x v="21"/>
    <s v="Surface area"/>
    <n v="56.8"/>
    <n v="126"/>
    <s v="126. Togo"/>
  </r>
  <r>
    <x v="142"/>
    <s v="Surface area"/>
    <n v="51.2"/>
    <n v="127"/>
    <s v="127. Bosnia and Herzegovina"/>
  </r>
  <r>
    <x v="115"/>
    <s v="Surface area"/>
    <n v="51.1"/>
    <n v="128"/>
    <s v="128. Costa Rica"/>
  </r>
  <r>
    <x v="103"/>
    <s v="Surface area"/>
    <n v="49"/>
    <n v="129"/>
    <s v="129. Slovak Republic"/>
  </r>
  <r>
    <x v="138"/>
    <s v="Surface area"/>
    <n v="45.3"/>
    <n v="130"/>
    <s v="130. Estonia"/>
  </r>
  <r>
    <x v="28"/>
    <s v="Surface area"/>
    <n v="42.9"/>
    <n v="131"/>
    <s v="131. Denmark"/>
  </r>
  <r>
    <x v="53"/>
    <s v="Surface area"/>
    <n v="41.5"/>
    <n v="132"/>
    <s v="132. Netherlands"/>
  </r>
  <r>
    <x v="104"/>
    <s v="Surface area"/>
    <n v="41.3"/>
    <n v="133"/>
    <s v="133. Switzerland"/>
  </r>
  <r>
    <x v="167"/>
    <s v="Surface area"/>
    <n v="38.4"/>
    <n v="134"/>
    <s v="134. Bhutan"/>
  </r>
  <r>
    <x v="123"/>
    <s v="Surface area"/>
    <n v="36.1"/>
    <n v="135"/>
    <s v="135. Guinea-Bissau"/>
  </r>
  <r>
    <x v="10"/>
    <s v="Surface area"/>
    <n v="33.9"/>
    <n v="136"/>
    <s v="136. Moldova"/>
  </r>
  <r>
    <x v="79"/>
    <s v="Surface area"/>
    <n v="30.7"/>
    <n v="137"/>
    <s v="137. Belgium"/>
  </r>
  <r>
    <x v="7"/>
    <s v="Surface area"/>
    <n v="30.4"/>
    <n v="138"/>
    <s v="138. Lesotho"/>
  </r>
  <r>
    <x v="40"/>
    <s v="Surface area"/>
    <n v="29.7"/>
    <n v="139"/>
    <s v="139. Armenia"/>
  </r>
  <r>
    <x v="194"/>
    <s v="Surface area"/>
    <n v="28.9"/>
    <n v="140"/>
    <s v="140. Solomon Islands"/>
  </r>
  <r>
    <x v="102"/>
    <s v="Surface area"/>
    <n v="28.8"/>
    <n v="141"/>
    <s v="141. Albania"/>
  </r>
  <r>
    <x v="196"/>
    <s v="Surface area"/>
    <n v="28.1"/>
    <n v="142"/>
    <s v="142. Equatorial Guinea"/>
  </r>
  <r>
    <x v="2"/>
    <s v="Surface area"/>
    <n v="27.8"/>
    <n v="143"/>
    <s v="143. Burundi"/>
  </r>
  <r>
    <x v="29"/>
    <s v="Surface area"/>
    <n v="27.8"/>
    <n v="144"/>
    <s v="144. Haiti"/>
  </r>
  <r>
    <x v="8"/>
    <s v="Surface area"/>
    <n v="26.3"/>
    <n v="145"/>
    <s v="145. Rwanda"/>
  </r>
  <r>
    <x v="60"/>
    <s v="Surface area"/>
    <n v="25.7"/>
    <n v="146"/>
    <s v="146. North Macedonia"/>
  </r>
  <r>
    <x v="12"/>
    <s v="Surface area"/>
    <n v="23.2"/>
    <n v="147"/>
    <s v="147. Djibouti"/>
  </r>
  <r>
    <x v="184"/>
    <s v="Surface area"/>
    <n v="23"/>
    <n v="148"/>
    <s v="148. Belize"/>
  </r>
  <r>
    <x v="134"/>
    <s v="Surface area"/>
    <n v="22.1"/>
    <n v="149"/>
    <s v="149. Israel"/>
  </r>
  <r>
    <x v="44"/>
    <s v="Surface area"/>
    <n v="21"/>
    <n v="150"/>
    <s v="150. El Salvador"/>
  </r>
  <r>
    <x v="122"/>
    <s v="Surface area"/>
    <n v="20.5"/>
    <n v="151"/>
    <s v="151. Slovenia"/>
  </r>
  <r>
    <x v="175"/>
    <s v="Surface area"/>
    <n v="18.600000000000001"/>
    <n v="152"/>
    <s v="152. New Caledonia"/>
  </r>
  <r>
    <x v="158"/>
    <s v="Surface area"/>
    <n v="18.3"/>
    <n v="153"/>
    <s v="153. Fiji"/>
  </r>
  <r>
    <x v="183"/>
    <s v="Surface area"/>
    <n v="17.8"/>
    <n v="154"/>
    <s v="154. Kuwait"/>
  </r>
  <r>
    <x v="23"/>
    <s v="Surface area"/>
    <n v="17.399999999999999"/>
    <n v="155"/>
    <s v="155. Eswatini"/>
  </r>
  <r>
    <x v="140"/>
    <s v="Surface area"/>
    <n v="14.9"/>
    <n v="156"/>
    <s v="156. Timor-Leste"/>
  </r>
  <r>
    <x v="202"/>
    <s v="Surface area"/>
    <n v="13.9"/>
    <n v="157"/>
    <s v="157. Bahamas, The"/>
  </r>
  <r>
    <x v="152"/>
    <s v="Surface area"/>
    <n v="13.9"/>
    <n v="158"/>
    <s v="158. Montenegro"/>
  </r>
  <r>
    <x v="22"/>
    <s v="Surface area"/>
    <n v="13"/>
    <n v="159"/>
    <s v="159. Faroe Islands"/>
  </r>
  <r>
    <x v="163"/>
    <s v="Surface area"/>
    <n v="12.2"/>
    <n v="160"/>
    <s v="160. Vanuatu"/>
  </r>
  <r>
    <x v="189"/>
    <s v="Surface area"/>
    <n v="11.5"/>
    <n v="161"/>
    <s v="161. Qatar"/>
  </r>
  <r>
    <x v="33"/>
    <s v="Surface area"/>
    <n v="11.3"/>
    <n v="162"/>
    <s v="162. Gambia, The"/>
  </r>
  <r>
    <x v="99"/>
    <s v="Surface area"/>
    <n v="11"/>
    <n v="163"/>
    <s v="163. Jamaica"/>
  </r>
  <r>
    <x v="27"/>
    <s v="Surface area"/>
    <n v="10.5"/>
    <n v="164"/>
    <s v="164. Lebanon"/>
  </r>
  <r>
    <x v="166"/>
    <s v="Surface area"/>
    <n v="9.3000000000000007"/>
    <n v="165"/>
    <s v="165. Cyprus"/>
  </r>
  <r>
    <x v="154"/>
    <s v="Surface area"/>
    <n v="8.9"/>
    <n v="166"/>
    <s v="166. Puerto Rico (US)"/>
  </r>
  <r>
    <x v="30"/>
    <s v="Surface area"/>
    <n v="6"/>
    <n v="167"/>
    <s v="167. West Bank and Gaza"/>
  </r>
  <r>
    <x v="201"/>
    <s v="Surface area"/>
    <n v="5.8"/>
    <n v="168"/>
    <s v="168. Brunei Darussalam"/>
  </r>
  <r>
    <x v="173"/>
    <s v="Surface area"/>
    <n v="5.0999999999999996"/>
    <n v="169"/>
    <s v="169. Trinidad and Tobago"/>
  </r>
  <r>
    <x v="190"/>
    <s v="Surface area"/>
    <n v="4.3"/>
    <n v="170"/>
    <s v="170. Bermuda"/>
  </r>
  <r>
    <x v="151"/>
    <s v="Surface area"/>
    <n v="4"/>
    <n v="171"/>
    <s v="171. Cabo Verde"/>
  </r>
  <r>
    <x v="180"/>
    <s v="Surface area"/>
    <n v="3.5"/>
    <n v="172"/>
    <s v="172. French Polynesia"/>
  </r>
  <r>
    <x v="156"/>
    <s v="Surface area"/>
    <n v="2.8"/>
    <n v="173"/>
    <s v="173. Samoa"/>
  </r>
  <r>
    <x v="57"/>
    <s v="Surface area"/>
    <n v="2.6"/>
    <n v="174"/>
    <s v="174. Luxembourg"/>
  </r>
  <r>
    <x v="85"/>
    <s v="Surface area"/>
    <n v="2"/>
    <n v="175"/>
    <s v="175. Mauritius"/>
  </r>
  <r>
    <x v="16"/>
    <s v="Surface area"/>
    <n v="1.9"/>
    <n v="176"/>
    <s v="176. Comoros"/>
  </r>
  <r>
    <x v="195"/>
    <s v="Surface area"/>
    <n v="1.1000000000000001"/>
    <n v="177"/>
    <s v="177. Hong Kong SAR, China"/>
  </r>
  <r>
    <x v="77"/>
    <s v="Surface area"/>
    <n v="1"/>
    <n v="178"/>
    <s v="178. Sao Tome and Principe"/>
  </r>
  <r>
    <x v="204"/>
    <s v="Surface area"/>
    <n v="1"/>
    <n v="179"/>
    <s v="179. Turks and Caicos Islands"/>
  </r>
  <r>
    <x v="174"/>
    <s v="Surface area"/>
    <n v="0.8"/>
    <n v="180"/>
    <s v="180. Bahrain"/>
  </r>
  <r>
    <x v="114"/>
    <s v="Surface area"/>
    <n v="0.8"/>
    <n v="181"/>
    <s v="181. Dominica"/>
  </r>
  <r>
    <x v="89"/>
    <s v="Surface area"/>
    <n v="0.8"/>
    <n v="182"/>
    <s v="182. Kiribati"/>
  </r>
  <r>
    <x v="65"/>
    <s v="Surface area"/>
    <n v="0.8"/>
    <n v="183"/>
    <s v="183. Tonga"/>
  </r>
  <r>
    <x v="187"/>
    <s v="Surface area"/>
    <n v="0.7"/>
    <n v="184"/>
    <s v="184. Micronesia, Fed. Sts."/>
  </r>
  <r>
    <x v="205"/>
    <s v="Surface area"/>
    <n v="0.7"/>
    <n v="185"/>
    <s v="185. Singapore"/>
  </r>
  <r>
    <x v="24"/>
    <s v="Surface area"/>
    <n v="0.6"/>
    <n v="186"/>
    <s v="186. Isle of Man"/>
  </r>
  <r>
    <x v="159"/>
    <s v="Surface area"/>
    <n v="0.6"/>
    <n v="187"/>
    <s v="187. St. Lucia"/>
  </r>
  <r>
    <x v="95"/>
    <s v="Surface area"/>
    <n v="0.5"/>
    <n v="188"/>
    <s v="188. Andorra"/>
  </r>
  <r>
    <x v="124"/>
    <s v="Surface area"/>
    <n v="0.5"/>
    <n v="189"/>
    <s v="189. Guam"/>
  </r>
  <r>
    <x v="203"/>
    <s v="Surface area"/>
    <n v="0.5"/>
    <n v="190"/>
    <s v="190. Northern Mariana Islands"/>
  </r>
  <r>
    <x v="178"/>
    <s v="Surface area"/>
    <n v="0.5"/>
    <n v="191"/>
    <s v="191. Palau"/>
  </r>
  <r>
    <x v="198"/>
    <s v="Surface area"/>
    <n v="0.5"/>
    <n v="192"/>
    <s v="192. Seychelles"/>
  </r>
  <r>
    <x v="146"/>
    <s v="Surface area"/>
    <n v="0.4"/>
    <n v="193"/>
    <s v="193. Antigua and Barbuda"/>
  </r>
  <r>
    <x v="137"/>
    <s v="Surface area"/>
    <n v="0.4"/>
    <n v="194"/>
    <s v="194. Barbados"/>
  </r>
  <r>
    <x v="237"/>
    <s v="Surface area"/>
    <n v="0.4"/>
    <n v="195"/>
    <s v="195. Curacao"/>
  </r>
  <r>
    <x v="155"/>
    <s v="Surface area"/>
    <n v="0.4"/>
    <n v="196"/>
    <s v="196. St. Vincent and the Grenadines"/>
  </r>
  <r>
    <x v="177"/>
    <s v="Surface area"/>
    <n v="0.4"/>
    <n v="197"/>
    <s v="197. Virgin Islands (U.S.)"/>
  </r>
  <r>
    <x v="171"/>
    <s v="Surface area"/>
    <n v="0.3"/>
    <n v="198"/>
    <s v="198. Cayman Islands"/>
  </r>
  <r>
    <x v="136"/>
    <s v="Surface area"/>
    <n v="0.3"/>
    <n v="199"/>
    <s v="199. Grenada"/>
  </r>
  <r>
    <x v="150"/>
    <s v="Surface area"/>
    <n v="0.3"/>
    <n v="200"/>
    <s v="200. Maldives"/>
  </r>
  <r>
    <x v="133"/>
    <s v="Surface area"/>
    <n v="0.3"/>
    <n v="201"/>
    <s v="201. Malta"/>
  </r>
  <r>
    <x v="139"/>
    <s v="Surface area"/>
    <n v="0.3"/>
    <n v="202"/>
    <s v="202. St. Kitts and Nevis"/>
  </r>
  <r>
    <x v="164"/>
    <s v="Surface area"/>
    <n v="0.2"/>
    <n v="203"/>
    <s v="203. American Samoa"/>
  </r>
  <r>
    <x v="172"/>
    <s v="Surface area"/>
    <n v="0.2"/>
    <n v="204"/>
    <s v="204. Aruba"/>
  </r>
  <r>
    <x v="116"/>
    <s v="Surface area"/>
    <n v="0.2"/>
    <n v="205"/>
    <s v="205. Liechtenstein"/>
  </r>
  <r>
    <x v="98"/>
    <s v="Surface area"/>
    <n v="0.2"/>
    <n v="206"/>
    <s v="206. Marshall Islands"/>
  </r>
  <r>
    <x v="234"/>
    <s v="Surface area"/>
    <n v="0.1"/>
    <n v="207"/>
    <s v="207. Monaco"/>
  </r>
  <r>
    <x v="101"/>
    <s v="Surface area"/>
    <n v="0.1"/>
    <n v="208"/>
    <s v="208. San Marino"/>
  </r>
  <r>
    <x v="236"/>
    <s v="Surface area"/>
    <n v="0.1"/>
    <n v="209"/>
    <s v="209. St. Martin (French part)"/>
  </r>
  <r>
    <x v="208"/>
    <s v="Surface area"/>
    <n v="0"/>
    <n v="210"/>
    <s v="210. Macao SAR, China"/>
  </r>
  <r>
    <x v="148"/>
    <s v="Surface area"/>
    <n v="0"/>
    <n v="211"/>
    <s v="211. Nauru"/>
  </r>
  <r>
    <x v="235"/>
    <s v="Surface area"/>
    <n v="0"/>
    <n v="212"/>
    <s v="212. Sint Maarten (Dutch part)"/>
  </r>
  <r>
    <x v="39"/>
    <s v="Surface area"/>
    <n v="0"/>
    <n v="213"/>
    <s v="213. Tuvalu"/>
  </r>
  <r>
    <x v="23"/>
    <s v="Unemployment"/>
    <n v="34.4"/>
    <n v="1"/>
    <s v="1. Eswatini"/>
  </r>
  <r>
    <x v="6"/>
    <s v="Unemployment"/>
    <n v="33.200000000000003"/>
    <n v="2"/>
    <s v="2. South Africa"/>
  </r>
  <r>
    <x v="12"/>
    <s v="Unemployment"/>
    <n v="25.9"/>
    <n v="3"/>
    <s v="3. Djibouti"/>
  </r>
  <r>
    <x v="75"/>
    <s v="Unemployment"/>
    <n v="23.1"/>
    <n v="4"/>
    <s v="4. Botswana"/>
  </r>
  <r>
    <x v="182"/>
    <s v="Unemployment"/>
    <n v="20.100000000000001"/>
    <n v="5"/>
    <s v="5. Gabon"/>
  </r>
  <r>
    <x v="121"/>
    <s v="Unemployment"/>
    <n v="19.7"/>
    <n v="6"/>
    <s v="6. Congo, Rep."/>
  </r>
  <r>
    <x v="69"/>
    <s v="Unemployment"/>
    <n v="19.100000000000001"/>
    <n v="7"/>
    <s v="7. Namibia"/>
  </r>
  <r>
    <x v="19"/>
    <s v="Unemployment"/>
    <n v="18.899999999999999"/>
    <n v="8"/>
    <s v="8. Somalia, Fed. Rep."/>
  </r>
  <r>
    <x v="181"/>
    <s v="Unemployment"/>
    <n v="18.600000000000001"/>
    <n v="9"/>
    <s v="9. Libya"/>
  </r>
  <r>
    <x v="155"/>
    <s v="Unemployment"/>
    <n v="18.100000000000001"/>
    <n v="10"/>
    <s v="10. St. Vincent and the Grenadines"/>
  </r>
  <r>
    <x v="170"/>
    <s v="Unemployment"/>
    <n v="18"/>
    <n v="11"/>
    <s v="11. Jordan"/>
  </r>
  <r>
    <x v="80"/>
    <s v="Unemployment"/>
    <n v="17.100000000000001"/>
    <n v="12"/>
    <s v="12. Yemen, Rep."/>
  </r>
  <r>
    <x v="34"/>
    <s v="Unemployment"/>
    <n v="16.2"/>
    <n v="13"/>
    <s v="13. Tunisia"/>
  </r>
  <r>
    <x v="7"/>
    <s v="Unemployment"/>
    <n v="16.100000000000001"/>
    <n v="14"/>
    <s v="14. Lesotho"/>
  </r>
  <r>
    <x v="141"/>
    <s v="Unemployment"/>
    <n v="15.5"/>
    <n v="15"/>
    <s v="15. Iraq"/>
  </r>
  <r>
    <x v="29"/>
    <s v="Unemployment"/>
    <n v="15.1"/>
    <n v="16"/>
    <s v="16. Haiti"/>
  </r>
  <r>
    <x v="105"/>
    <s v="Unemployment"/>
    <n v="14.5"/>
    <n v="17"/>
    <s v="17. Angola"/>
  </r>
  <r>
    <x v="152"/>
    <s v="Unemployment"/>
    <n v="14.1"/>
    <n v="18"/>
    <s v="18. Montenegro"/>
  </r>
  <r>
    <x v="60"/>
    <s v="Unemployment"/>
    <n v="13.4"/>
    <n v="19"/>
    <s v="19. North Macedonia"/>
  </r>
  <r>
    <x v="41"/>
    <s v="Unemployment"/>
    <n v="13.3"/>
    <n v="20"/>
    <s v="20. Afghanistan"/>
  </r>
  <r>
    <x v="40"/>
    <s v="Unemployment"/>
    <n v="13.3"/>
    <n v="21"/>
    <s v="21. Armenia"/>
  </r>
  <r>
    <x v="11"/>
    <s v="Unemployment"/>
    <n v="13"/>
    <n v="22"/>
    <s v="22. Syrian Arab Republic"/>
  </r>
  <r>
    <x v="8"/>
    <s v="Unemployment"/>
    <n v="12"/>
    <n v="23"/>
    <s v="23. Rwanda"/>
  </r>
  <r>
    <x v="177"/>
    <s v="Unemployment"/>
    <n v="12"/>
    <n v="24"/>
    <s v="24. Virgin Islands (U.S.)"/>
  </r>
  <r>
    <x v="151"/>
    <s v="Unemployment"/>
    <n v="11.9"/>
    <n v="25"/>
    <s v="25. Cabo Verde"/>
  </r>
  <r>
    <x v="180"/>
    <s v="Unemployment"/>
    <n v="11.8"/>
    <n v="26"/>
    <s v="26. French Polynesia"/>
  </r>
  <r>
    <x v="129"/>
    <s v="Unemployment"/>
    <n v="11.6"/>
    <n v="27"/>
    <s v="27. Tajikistan"/>
  </r>
  <r>
    <x v="113"/>
    <s v="Unemployment"/>
    <n v="11.5"/>
    <n v="28"/>
    <s v="28. Georgia"/>
  </r>
  <r>
    <x v="157"/>
    <s v="Unemployment"/>
    <n v="11.4"/>
    <n v="29"/>
    <s v="29. Algeria"/>
  </r>
  <r>
    <x v="61"/>
    <s v="Unemployment"/>
    <n v="11.4"/>
    <n v="30"/>
    <s v="30. Spain"/>
  </r>
  <r>
    <x v="175"/>
    <s v="Unemployment"/>
    <n v="11.2"/>
    <n v="31"/>
    <s v="31. New Caledonia"/>
  </r>
  <r>
    <x v="159"/>
    <s v="Unemployment"/>
    <n v="10.9"/>
    <n v="32"/>
    <s v="32. St. Lucia"/>
  </r>
  <r>
    <x v="142"/>
    <s v="Unemployment"/>
    <n v="10.7"/>
    <n v="33"/>
    <s v="33. Bosnia and Herzegovina"/>
  </r>
  <r>
    <x v="132"/>
    <s v="Unemployment"/>
    <n v="10.7"/>
    <n v="34"/>
    <s v="34. Nepal"/>
  </r>
  <r>
    <x v="100"/>
    <s v="Unemployment"/>
    <n v="10.4"/>
    <n v="35"/>
    <s v="35. Mauritania"/>
  </r>
  <r>
    <x v="102"/>
    <s v="Unemployment"/>
    <n v="10.3"/>
    <n v="36"/>
    <s v="36. Albania"/>
  </r>
  <r>
    <x v="197"/>
    <s v="Unemployment"/>
    <n v="10.199999999999999"/>
    <n v="37"/>
    <s v="37. Guyana"/>
  </r>
  <r>
    <x v="92"/>
    <s v="Unemployment"/>
    <n v="10.1"/>
    <n v="38"/>
    <s v="38. Greece"/>
  </r>
  <r>
    <x v="108"/>
    <s v="Unemployment"/>
    <n v="9.6"/>
    <n v="39"/>
    <s v="39. Colombia"/>
  </r>
  <r>
    <x v="127"/>
    <s v="Unemployment"/>
    <n v="9.1999999999999993"/>
    <n v="40"/>
    <s v="40. Iran, Islamic Rep."/>
  </r>
  <r>
    <x v="77"/>
    <s v="Unemployment"/>
    <n v="9.1999999999999993"/>
    <n v="41"/>
    <s v="41. Sao Tome and Principe"/>
  </r>
  <r>
    <x v="165"/>
    <s v="Unemployment"/>
    <n v="9.1"/>
    <n v="42"/>
    <s v="42. Chile"/>
  </r>
  <r>
    <x v="26"/>
    <s v="Unemployment"/>
    <n v="8.9"/>
    <n v="43"/>
    <s v="43. Morocco"/>
  </r>
  <r>
    <x v="91"/>
    <s v="Unemployment"/>
    <n v="8.6"/>
    <n v="44"/>
    <s v="44. Zimbabwe"/>
  </r>
  <r>
    <x v="202"/>
    <s v="Unemployment"/>
    <n v="8.5"/>
    <n v="45"/>
    <s v="45. Bahamas, The"/>
  </r>
  <r>
    <x v="186"/>
    <s v="Unemployment"/>
    <n v="8.5"/>
    <n v="46"/>
    <s v="46. Sweden"/>
  </r>
  <r>
    <x v="59"/>
    <s v="Unemployment"/>
    <n v="8.4"/>
    <n v="47"/>
    <s v="47. Turkiye"/>
  </r>
  <r>
    <x v="3"/>
    <s v="Unemployment"/>
    <n v="8.4"/>
    <n v="48"/>
    <s v="48. Uruguay"/>
  </r>
  <r>
    <x v="185"/>
    <s v="Unemployment"/>
    <n v="8.3000000000000007"/>
    <n v="49"/>
    <s v="49. Finland"/>
  </r>
  <r>
    <x v="87"/>
    <s v="Unemployment"/>
    <n v="7.9"/>
    <n v="50"/>
    <s v="50. Argentina"/>
  </r>
  <r>
    <x v="115"/>
    <s v="Unemployment"/>
    <n v="7.8"/>
    <n v="51"/>
    <s v="51. Costa Rica"/>
  </r>
  <r>
    <x v="196"/>
    <s v="Unemployment"/>
    <n v="7.8"/>
    <n v="52"/>
    <s v="52. Equatorial Guinea"/>
  </r>
  <r>
    <x v="138"/>
    <s v="Unemployment"/>
    <n v="7.8"/>
    <n v="53"/>
    <s v="53. Estonia"/>
  </r>
  <r>
    <x v="128"/>
    <s v="Unemployment"/>
    <n v="7.6"/>
    <n v="54"/>
    <s v="54. Brazil"/>
  </r>
  <r>
    <x v="137"/>
    <s v="Unemployment"/>
    <n v="7.5"/>
    <n v="55"/>
    <s v="55. Barbados"/>
  </r>
  <r>
    <x v="73"/>
    <s v="Unemployment"/>
    <n v="7.5"/>
    <n v="56"/>
    <s v="56. Lithuania"/>
  </r>
  <r>
    <x v="56"/>
    <s v="Unemployment"/>
    <n v="7.4"/>
    <n v="57"/>
    <s v="57. France"/>
  </r>
  <r>
    <x v="93"/>
    <s v="Unemployment"/>
    <n v="7.4"/>
    <n v="58"/>
    <s v="58. Serbia"/>
  </r>
  <r>
    <x v="207"/>
    <s v="Unemployment"/>
    <n v="7.3"/>
    <n v="59"/>
    <s v="59. Suriname"/>
  </r>
  <r>
    <x v="193"/>
    <s v="Unemployment"/>
    <n v="7.2"/>
    <n v="60"/>
    <s v="60. Egypt, Arab Rep."/>
  </r>
  <r>
    <x v="184"/>
    <s v="Unemployment"/>
    <n v="7"/>
    <n v="61"/>
    <s v="61. Belize"/>
  </r>
  <r>
    <x v="81"/>
    <s v="Unemployment"/>
    <n v="6.8"/>
    <n v="62"/>
    <s v="62. Italy"/>
  </r>
  <r>
    <x v="119"/>
    <s v="Unemployment"/>
    <n v="6.7"/>
    <n v="63"/>
    <s v="63. Latvia"/>
  </r>
  <r>
    <x v="188"/>
    <s v="Unemployment"/>
    <n v="6.5"/>
    <n v="64"/>
    <s v="64. Canada"/>
  </r>
  <r>
    <x v="33"/>
    <s v="Unemployment"/>
    <n v="6.5"/>
    <n v="65"/>
    <s v="65. Gambia, The"/>
  </r>
  <r>
    <x v="125"/>
    <s v="Unemployment"/>
    <n v="6.5"/>
    <n v="66"/>
    <s v="66. Panama"/>
  </r>
  <r>
    <x v="83"/>
    <s v="Unemployment"/>
    <n v="6.4"/>
    <n v="67"/>
    <s v="67. Portugal"/>
  </r>
  <r>
    <x v="238"/>
    <s v="Unemployment"/>
    <n v="6.3"/>
    <n v="68"/>
    <s v="68. Channel Islands"/>
  </r>
  <r>
    <x v="118"/>
    <s v="Unemployment"/>
    <n v="6.1"/>
    <n v="69"/>
    <s v="69. Honduras"/>
  </r>
  <r>
    <x v="51"/>
    <s v="Unemployment"/>
    <n v="6.1"/>
    <n v="70"/>
    <s v="70. Paraguay"/>
  </r>
  <r>
    <x v="117"/>
    <s v="Unemployment"/>
    <n v="6"/>
    <n v="71"/>
    <s v="71. Zambia"/>
  </r>
  <r>
    <x v="179"/>
    <s v="Unemployment"/>
    <n v="5.9"/>
    <n v="72"/>
    <s v="72. Central African Republic"/>
  </r>
  <r>
    <x v="57"/>
    <s v="Unemployment"/>
    <n v="5.9"/>
    <n v="73"/>
    <s v="73. Luxembourg"/>
  </r>
  <r>
    <x v="43"/>
    <s v="Unemployment"/>
    <n v="5.6"/>
    <n v="74"/>
    <s v="74. Azerbaijan"/>
  </r>
  <r>
    <x v="166"/>
    <s v="Unemployment"/>
    <n v="5.6"/>
    <n v="75"/>
    <s v="75. Cyprus"/>
  </r>
  <r>
    <x v="28"/>
    <s v="Unemployment"/>
    <n v="5.6"/>
    <n v="76"/>
    <s v="76. Denmark"/>
  </r>
  <r>
    <x v="32"/>
    <s v="Unemployment"/>
    <n v="5.6"/>
    <n v="77"/>
    <s v="77. Eritrea"/>
  </r>
  <r>
    <x v="124"/>
    <s v="Unemployment"/>
    <n v="5.6"/>
    <n v="78"/>
    <s v="78. Guam"/>
  </r>
  <r>
    <x v="79"/>
    <s v="Unemployment"/>
    <n v="5.5"/>
    <n v="79"/>
    <s v="79. Belgium"/>
  </r>
  <r>
    <x v="47"/>
    <s v="Unemployment"/>
    <n v="5.5"/>
    <n v="80"/>
    <s v="80. Dominican Republic"/>
  </r>
  <r>
    <x v="85"/>
    <s v="Unemployment"/>
    <n v="5.5"/>
    <n v="81"/>
    <s v="81. Mauritius"/>
  </r>
  <r>
    <x v="70"/>
    <s v="Unemployment"/>
    <n v="5.5"/>
    <n v="82"/>
    <s v="82. Pakistan"/>
  </r>
  <r>
    <x v="154"/>
    <s v="Unemployment"/>
    <n v="5.5"/>
    <n v="83"/>
    <s v="83. Puerto Rico (US)"/>
  </r>
  <r>
    <x v="135"/>
    <s v="Unemployment"/>
    <n v="5.5"/>
    <n v="84"/>
    <s v="84. Venezuela, RB"/>
  </r>
  <r>
    <x v="120"/>
    <s v="Unemployment"/>
    <n v="5.4"/>
    <n v="85"/>
    <s v="85. Austria"/>
  </r>
  <r>
    <x v="62"/>
    <s v="Unemployment"/>
    <n v="5.4"/>
    <n v="86"/>
    <s v="86. Kenya"/>
  </r>
  <r>
    <x v="25"/>
    <s v="Unemployment"/>
    <n v="5.4"/>
    <n v="87"/>
    <s v="87. Mongolia"/>
  </r>
  <r>
    <x v="49"/>
    <s v="Unemployment"/>
    <n v="5.4"/>
    <n v="88"/>
    <s v="88. Romania"/>
  </r>
  <r>
    <x v="54"/>
    <s v="Unemployment"/>
    <n v="5.2"/>
    <n v="89"/>
    <s v="89. Burkina Faso"/>
  </r>
  <r>
    <x v="130"/>
    <s v="Unemployment"/>
    <n v="5.2"/>
    <n v="90"/>
    <s v="90. Croatia"/>
  </r>
  <r>
    <x v="13"/>
    <s v="Unemployment"/>
    <n v="5.2"/>
    <n v="91"/>
    <s v="91. Guinea"/>
  </r>
  <r>
    <x v="103"/>
    <s v="Unemployment"/>
    <n v="5.2"/>
    <n v="92"/>
    <s v="92. Slovak Republic"/>
  </r>
  <r>
    <x v="201"/>
    <s v="Unemployment"/>
    <n v="5.0999999999999996"/>
    <n v="93"/>
    <s v="93. Brunei Darussalam"/>
  </r>
  <r>
    <x v="163"/>
    <s v="Unemployment"/>
    <n v="5.0999999999999996"/>
    <n v="94"/>
    <s v="94. Vanuatu"/>
  </r>
  <r>
    <x v="31"/>
    <s v="Unemployment"/>
    <n v="5"/>
    <n v="95"/>
    <s v="95. Malawi"/>
  </r>
  <r>
    <x v="64"/>
    <s v="Unemployment"/>
    <n v="5"/>
    <n v="96"/>
    <s v="96. Sri Lanka"/>
  </r>
  <r>
    <x v="99"/>
    <s v="Unemployment"/>
    <n v="4.9000000000000004"/>
    <n v="97"/>
    <s v="97. Jamaica"/>
  </r>
  <r>
    <x v="106"/>
    <s v="Unemployment"/>
    <n v="4.9000000000000004"/>
    <n v="98"/>
    <s v="98. New Zealand"/>
  </r>
  <r>
    <x v="144"/>
    <s v="Unemployment"/>
    <n v="4.8"/>
    <n v="99"/>
    <s v="99. Ecuador"/>
  </r>
  <r>
    <x v="5"/>
    <s v="Unemployment"/>
    <n v="4.8"/>
    <n v="100"/>
    <s v="100. Kazakhstan"/>
  </r>
  <r>
    <x v="153"/>
    <s v="Unemployment"/>
    <n v="4.8"/>
    <n v="101"/>
    <s v="101. Peru"/>
  </r>
  <r>
    <x v="14"/>
    <s v="Unemployment"/>
    <n v="4.7"/>
    <n v="102"/>
    <s v="102. Bangladesh"/>
  </r>
  <r>
    <x v="46"/>
    <s v="Unemployment"/>
    <n v="4.5999999999999996"/>
    <n v="103"/>
    <s v="103. China"/>
  </r>
  <r>
    <x v="162"/>
    <s v="Unemployment"/>
    <n v="4.5999999999999996"/>
    <n v="104"/>
    <s v="104. Congo, Dem. Rep."/>
  </r>
  <r>
    <x v="150"/>
    <s v="Unemployment"/>
    <n v="4.5999999999999996"/>
    <n v="105"/>
    <s v="105. Maldives"/>
  </r>
  <r>
    <x v="88"/>
    <s v="Unemployment"/>
    <n v="4.5999999999999996"/>
    <n v="106"/>
    <s v="106. Nicaragua"/>
  </r>
  <r>
    <x v="156"/>
    <s v="Unemployment"/>
    <n v="4.5999999999999996"/>
    <n v="107"/>
    <s v="107. Samoa"/>
  </r>
  <r>
    <x v="173"/>
    <s v="Unemployment"/>
    <n v="4.5"/>
    <n v="108"/>
    <s v="108. Trinidad and Tobago"/>
  </r>
  <r>
    <x v="42"/>
    <s v="Unemployment"/>
    <n v="4.5"/>
    <n v="109"/>
    <s v="109. Uzbekistan"/>
  </r>
  <r>
    <x v="45"/>
    <s v="Unemployment"/>
    <n v="4.4000000000000004"/>
    <n v="110"/>
    <s v="110. Hungary"/>
  </r>
  <r>
    <x v="36"/>
    <s v="Unemployment"/>
    <n v="4.4000000000000004"/>
    <n v="111"/>
    <s v="111. Ireland"/>
  </r>
  <r>
    <x v="158"/>
    <s v="Unemployment"/>
    <n v="4.3"/>
    <n v="112"/>
    <s v="112. Fiji"/>
  </r>
  <r>
    <x v="1"/>
    <s v="Unemployment"/>
    <n v="4.3"/>
    <n v="113"/>
    <s v="113. Turkmenistan"/>
  </r>
  <r>
    <x v="38"/>
    <s v="Unemployment"/>
    <n v="4.2"/>
    <n v="114"/>
    <s v="114. India"/>
  </r>
  <r>
    <x v="68"/>
    <s v="Unemployment"/>
    <n v="4.0999999999999996"/>
    <n v="115"/>
    <s v="115. Australia"/>
  </r>
  <r>
    <x v="71"/>
    <s v="Unemployment"/>
    <n v="4.0999999999999996"/>
    <n v="116"/>
    <s v="116. Bulgaria"/>
  </r>
  <r>
    <x v="104"/>
    <s v="Unemployment"/>
    <n v="4.0999999999999996"/>
    <n v="117"/>
    <s v="117. Switzerland"/>
  </r>
  <r>
    <x v="20"/>
    <s v="Unemployment"/>
    <n v="4.0999999999999996"/>
    <n v="118"/>
    <s v="118. United Kingdom"/>
  </r>
  <r>
    <x v="72"/>
    <s v="Unemployment"/>
    <n v="4.0999999999999996"/>
    <n v="119"/>
    <s v="119. United States"/>
  </r>
  <r>
    <x v="200"/>
    <s v="Unemployment"/>
    <n v="4"/>
    <n v="120"/>
    <s v="120. Norway"/>
  </r>
  <r>
    <x v="16"/>
    <s v="Unemployment"/>
    <n v="3.9"/>
    <n v="121"/>
    <s v="121. Comoros"/>
  </r>
  <r>
    <x v="4"/>
    <s v="Unemployment"/>
    <n v="3.9"/>
    <n v="122"/>
    <s v="122. Saudi Arabia"/>
  </r>
  <r>
    <x v="131"/>
    <s v="Unemployment"/>
    <n v="3.8"/>
    <n v="123"/>
    <s v="123. Malaysia"/>
  </r>
  <r>
    <x v="53"/>
    <s v="Unemployment"/>
    <n v="3.6"/>
    <n v="124"/>
    <s v="124. Netherlands"/>
  </r>
  <r>
    <x v="145"/>
    <s v="Unemployment"/>
    <n v="3.5"/>
    <n v="125"/>
    <s v="125. Cameroon"/>
  </r>
  <r>
    <x v="55"/>
    <s v="Unemployment"/>
    <n v="3.5"/>
    <n v="126"/>
    <s v="126. Mozambique"/>
  </r>
  <r>
    <x v="96"/>
    <s v="Unemployment"/>
    <n v="3.4"/>
    <n v="127"/>
    <s v="127. Belarus"/>
  </r>
  <r>
    <x v="112"/>
    <s v="Unemployment"/>
    <n v="3.4"/>
    <n v="128"/>
    <s v="128. Ethiopia"/>
  </r>
  <r>
    <x v="67"/>
    <s v="Unemployment"/>
    <n v="3.4"/>
    <n v="129"/>
    <s v="129. Germany"/>
  </r>
  <r>
    <x v="122"/>
    <s v="Unemployment"/>
    <n v="3.4"/>
    <n v="130"/>
    <s v="130. Slovenia"/>
  </r>
  <r>
    <x v="126"/>
    <s v="Unemployment"/>
    <n v="3.3"/>
    <n v="131"/>
    <s v="131. Indonesia"/>
  </r>
  <r>
    <x v="52"/>
    <s v="Unemployment"/>
    <n v="3.3"/>
    <n v="132"/>
    <s v="132. Kyrgyz Republic"/>
  </r>
  <r>
    <x v="134"/>
    <s v="Unemployment"/>
    <n v="3.2"/>
    <n v="133"/>
    <s v="133. Israel"/>
  </r>
  <r>
    <x v="192"/>
    <s v="Unemployment"/>
    <n v="3.2"/>
    <n v="134"/>
    <s v="134. Oman"/>
  </r>
  <r>
    <x v="205"/>
    <s v="Unemployment"/>
    <n v="3.2"/>
    <n v="135"/>
    <s v="135. Singapore"/>
  </r>
  <r>
    <x v="109"/>
    <s v="Unemployment"/>
    <n v="3.1"/>
    <n v="136"/>
    <s v="136. Bolivia"/>
  </r>
  <r>
    <x v="160"/>
    <s v="Unemployment"/>
    <n v="3.1"/>
    <n v="137"/>
    <s v="137. Iceland"/>
  </r>
  <r>
    <x v="110"/>
    <s v="Unemployment"/>
    <n v="3.1"/>
    <n v="138"/>
    <s v="138. Mali"/>
  </r>
  <r>
    <x v="50"/>
    <s v="Unemployment"/>
    <n v="3.1"/>
    <n v="139"/>
    <s v="139. Sierra Leone"/>
  </r>
  <r>
    <x v="48"/>
    <s v="Unemployment"/>
    <n v="3"/>
    <n v="140"/>
    <s v="140. Ghana"/>
  </r>
  <r>
    <x v="18"/>
    <s v="Unemployment"/>
    <n v="3"/>
    <n v="141"/>
    <s v="141. Madagascar"/>
  </r>
  <r>
    <x v="149"/>
    <s v="Unemployment"/>
    <n v="3"/>
    <n v="142"/>
    <s v="142. Myanmar"/>
  </r>
  <r>
    <x v="9"/>
    <s v="Unemployment"/>
    <n v="3"/>
    <n v="143"/>
    <s v="143. Nigeria"/>
  </r>
  <r>
    <x v="63"/>
    <s v="Unemployment"/>
    <n v="3"/>
    <n v="144"/>
    <s v="144. Senegal"/>
  </r>
  <r>
    <x v="167"/>
    <s v="Unemployment"/>
    <n v="2.9"/>
    <n v="145"/>
    <s v="145. Bhutan"/>
  </r>
  <r>
    <x v="147"/>
    <s v="Unemployment"/>
    <n v="2.9"/>
    <n v="146"/>
    <s v="146. Liberia"/>
  </r>
  <r>
    <x v="15"/>
    <s v="Unemployment"/>
    <n v="2.9"/>
    <n v="147"/>
    <s v="147. Uganda"/>
  </r>
  <r>
    <x v="44"/>
    <s v="Unemployment"/>
    <n v="2.8"/>
    <n v="148"/>
    <s v="148. El Salvador"/>
  </r>
  <r>
    <x v="195"/>
    <s v="Unemployment"/>
    <n v="2.8"/>
    <n v="149"/>
    <s v="149. Hong Kong SAR, China"/>
  </r>
  <r>
    <x v="133"/>
    <s v="Unemployment"/>
    <n v="2.7"/>
    <n v="150"/>
    <s v="150. Malta"/>
  </r>
  <r>
    <x v="58"/>
    <s v="Unemployment"/>
    <n v="2.7"/>
    <n v="151"/>
    <s v="151. Mexico"/>
  </r>
  <r>
    <x v="199"/>
    <s v="Unemployment"/>
    <n v="2.7"/>
    <n v="152"/>
    <s v="152. Papua New Guinea"/>
  </r>
  <r>
    <x v="123"/>
    <s v="Unemployment"/>
    <n v="2.6"/>
    <n v="153"/>
    <s v="153. Guinea-Bissau"/>
  </r>
  <r>
    <x v="169"/>
    <s v="Unemployment"/>
    <n v="2.6"/>
    <n v="154"/>
    <s v="154. Japan"/>
  </r>
  <r>
    <x v="161"/>
    <s v="Unemployment"/>
    <n v="2.6"/>
    <n v="155"/>
    <s v="155. Korea, Rep."/>
  </r>
  <r>
    <x v="78"/>
    <s v="Unemployment"/>
    <n v="2.6"/>
    <n v="156"/>
    <s v="156. Tanzania"/>
  </r>
  <r>
    <x v="74"/>
    <s v="Unemployment"/>
    <n v="2.5"/>
    <n v="157"/>
    <s v="157. Czechia"/>
  </r>
  <r>
    <x v="66"/>
    <s v="Unemployment"/>
    <n v="2.5"/>
    <n v="158"/>
    <s v="158. Poland"/>
  </r>
  <r>
    <x v="168"/>
    <s v="Unemployment"/>
    <n v="2.5"/>
    <n v="159"/>
    <s v="159. Russian Federation"/>
  </r>
  <r>
    <x v="208"/>
    <s v="Unemployment"/>
    <n v="2.4"/>
    <n v="160"/>
    <s v="160. Macao SAR, China"/>
  </r>
  <r>
    <x v="0"/>
    <s v="Unemployment"/>
    <n v="2.2999999999999998"/>
    <n v="161"/>
    <s v="161. Cote d'Ivoire"/>
  </r>
  <r>
    <x v="84"/>
    <s v="Unemployment"/>
    <n v="2.2000000000000002"/>
    <n v="162"/>
    <s v="162. Guatemala"/>
  </r>
  <r>
    <x v="86"/>
    <s v="Unemployment"/>
    <n v="2.2000000000000002"/>
    <n v="163"/>
    <s v="163. Philippines"/>
  </r>
  <r>
    <x v="65"/>
    <s v="Unemployment"/>
    <n v="2.2000000000000002"/>
    <n v="164"/>
    <s v="164. Tonga"/>
  </r>
  <r>
    <x v="183"/>
    <s v="Unemployment"/>
    <n v="2.1"/>
    <n v="165"/>
    <s v="165. Kuwait"/>
  </r>
  <r>
    <x v="191"/>
    <s v="Unemployment"/>
    <n v="2.1"/>
    <n v="166"/>
    <s v="166. United Arab Emirates"/>
  </r>
  <r>
    <x v="21"/>
    <s v="Unemployment"/>
    <n v="1.9"/>
    <n v="167"/>
    <s v="167. Togo"/>
  </r>
  <r>
    <x v="90"/>
    <s v="Unemployment"/>
    <n v="1.7"/>
    <n v="168"/>
    <s v="168. Benin"/>
  </r>
  <r>
    <x v="140"/>
    <s v="Unemployment"/>
    <n v="1.6"/>
    <n v="169"/>
    <s v="169. Timor-Leste"/>
  </r>
  <r>
    <x v="35"/>
    <s v="Unemployment"/>
    <n v="1.5"/>
    <n v="170"/>
    <s v="170. Cuba"/>
  </r>
  <r>
    <x v="194"/>
    <s v="Unemployment"/>
    <n v="1.5"/>
    <n v="171"/>
    <s v="171. Solomon Islands"/>
  </r>
  <r>
    <x v="10"/>
    <s v="Unemployment"/>
    <n v="1.4"/>
    <n v="172"/>
    <s v="172. Moldova"/>
  </r>
  <r>
    <x v="97"/>
    <s v="Unemployment"/>
    <n v="1.4"/>
    <n v="173"/>
    <s v="173. Viet Nam"/>
  </r>
  <r>
    <x v="176"/>
    <s v="Unemployment"/>
    <n v="1.2"/>
    <n v="174"/>
    <s v="174. Lao PDR"/>
  </r>
  <r>
    <x v="174"/>
    <s v="Unemployment"/>
    <n v="1.1000000000000001"/>
    <n v="175"/>
    <s v="175. Bahrain"/>
  </r>
  <r>
    <x v="94"/>
    <s v="Unemployment"/>
    <n v="1.1000000000000001"/>
    <n v="176"/>
    <s v="176. Chad"/>
  </r>
  <r>
    <x v="2"/>
    <s v="Unemployment"/>
    <n v="0.9"/>
    <n v="177"/>
    <s v="177. Burundi"/>
  </r>
  <r>
    <x v="82"/>
    <s v="Unemployment"/>
    <n v="0.7"/>
    <n v="178"/>
    <s v="178. Thailand"/>
  </r>
  <r>
    <x v="107"/>
    <s v="Unemployment"/>
    <n v="0.4"/>
    <n v="179"/>
    <s v="179. Niger"/>
  </r>
  <r>
    <x v="111"/>
    <s v="Unemployment"/>
    <n v="0.3"/>
    <n v="180"/>
    <s v="180. Cambodia"/>
  </r>
  <r>
    <x v="189"/>
    <s v="Unemployment"/>
    <n v="0.1"/>
    <n v="181"/>
    <s v="181. Qatar"/>
  </r>
  <r>
    <x v="190"/>
    <s v="Urban population share"/>
    <n v="100"/>
    <n v="1"/>
    <s v="1. Bermuda"/>
  </r>
  <r>
    <x v="171"/>
    <s v="Urban population share"/>
    <n v="100"/>
    <n v="2"/>
    <s v="2. Cayman Islands"/>
  </r>
  <r>
    <x v="195"/>
    <s v="Urban population share"/>
    <n v="100"/>
    <n v="3"/>
    <s v="3. Hong Kong SAR, China"/>
  </r>
  <r>
    <x v="183"/>
    <s v="Urban population share"/>
    <n v="100"/>
    <n v="4"/>
    <s v="4. Kuwait"/>
  </r>
  <r>
    <x v="208"/>
    <s v="Urban population share"/>
    <n v="100"/>
    <n v="5"/>
    <s v="5. Macao SAR, China"/>
  </r>
  <r>
    <x v="234"/>
    <s v="Urban population share"/>
    <n v="100"/>
    <n v="6"/>
    <s v="6. Monaco"/>
  </r>
  <r>
    <x v="148"/>
    <s v="Urban population share"/>
    <n v="100"/>
    <n v="7"/>
    <s v="7. Nauru"/>
  </r>
  <r>
    <x v="205"/>
    <s v="Urban population share"/>
    <n v="100"/>
    <n v="8"/>
    <s v="8. Singapore"/>
  </r>
  <r>
    <x v="235"/>
    <s v="Urban population share"/>
    <n v="100"/>
    <n v="9"/>
    <s v="9. Sint Maarten (Dutch part)"/>
  </r>
  <r>
    <x v="189"/>
    <s v="Urban population share"/>
    <n v="99.4"/>
    <n v="10"/>
    <s v="10. Qatar"/>
  </r>
  <r>
    <x v="79"/>
    <s v="Urban population share"/>
    <n v="98.2"/>
    <n v="11"/>
    <s v="11. Belgium"/>
  </r>
  <r>
    <x v="101"/>
    <s v="Urban population share"/>
    <n v="97.9"/>
    <n v="12"/>
    <s v="12. San Marino"/>
  </r>
  <r>
    <x v="177"/>
    <s v="Urban population share"/>
    <n v="96.3"/>
    <n v="13"/>
    <s v="13. Virgin Islands (U.S.)"/>
  </r>
  <r>
    <x v="3"/>
    <s v="Urban population share"/>
    <n v="95.9"/>
    <n v="14"/>
    <s v="14. Uruguay"/>
  </r>
  <r>
    <x v="124"/>
    <s v="Urban population share"/>
    <n v="95.2"/>
    <n v="15"/>
    <s v="15. Guam"/>
  </r>
  <r>
    <x v="133"/>
    <s v="Urban population share"/>
    <n v="95"/>
    <n v="16"/>
    <s v="16. Malta"/>
  </r>
  <r>
    <x v="204"/>
    <s v="Urban population share"/>
    <n v="94.4"/>
    <n v="17"/>
    <s v="17. Turks and Caicos Islands"/>
  </r>
  <r>
    <x v="160"/>
    <s v="Urban population share"/>
    <n v="94.1"/>
    <n v="18"/>
    <s v="18. Iceland"/>
  </r>
  <r>
    <x v="154"/>
    <s v="Urban population share"/>
    <n v="93.7"/>
    <n v="19"/>
    <s v="19. Puerto Rico (US)"/>
  </r>
  <r>
    <x v="53"/>
    <s v="Urban population share"/>
    <n v="93.5"/>
    <n v="20"/>
    <s v="20. Netherlands"/>
  </r>
  <r>
    <x v="134"/>
    <s v="Urban population share"/>
    <n v="92.9"/>
    <n v="21"/>
    <s v="21. Israel"/>
  </r>
  <r>
    <x v="87"/>
    <s v="Urban population share"/>
    <n v="92.6"/>
    <n v="22"/>
    <s v="22. Argentina"/>
  </r>
  <r>
    <x v="57"/>
    <s v="Urban population share"/>
    <n v="92.3"/>
    <n v="23"/>
    <s v="23. Luxembourg"/>
  </r>
  <r>
    <x v="170"/>
    <s v="Urban population share"/>
    <n v="92.2"/>
    <n v="24"/>
    <s v="24. Jordan"/>
  </r>
  <r>
    <x v="203"/>
    <s v="Urban population share"/>
    <n v="92.2"/>
    <n v="25"/>
    <s v="25. Northern Mariana Islands"/>
  </r>
  <r>
    <x v="169"/>
    <s v="Urban population share"/>
    <n v="92.1"/>
    <n v="26"/>
    <s v="26. Japan"/>
  </r>
  <r>
    <x v="182"/>
    <s v="Urban population share"/>
    <n v="91.3"/>
    <n v="27"/>
    <s v="27. Gabon"/>
  </r>
  <r>
    <x v="174"/>
    <s v="Urban population share"/>
    <n v="90"/>
    <n v="28"/>
    <s v="28. Bahrain"/>
  </r>
  <r>
    <x v="27"/>
    <s v="Urban population share"/>
    <n v="89.6"/>
    <n v="29"/>
    <s v="29. Lebanon"/>
  </r>
  <r>
    <x v="237"/>
    <s v="Urban population share"/>
    <n v="89"/>
    <n v="30"/>
    <s v="30. Curacao"/>
  </r>
  <r>
    <x v="192"/>
    <s v="Urban population share"/>
    <n v="89"/>
    <n v="31"/>
    <s v="31. Oman"/>
  </r>
  <r>
    <x v="186"/>
    <s v="Urban population share"/>
    <n v="89"/>
    <n v="32"/>
    <s v="32. Sweden"/>
  </r>
  <r>
    <x v="28"/>
    <s v="Urban population share"/>
    <n v="88.6"/>
    <n v="33"/>
    <s v="33. Denmark"/>
  </r>
  <r>
    <x v="135"/>
    <s v="Urban population share"/>
    <n v="88.5"/>
    <n v="34"/>
    <s v="34. Venezuela, RB"/>
  </r>
  <r>
    <x v="165"/>
    <s v="Urban population share"/>
    <n v="88.1"/>
    <n v="35"/>
    <s v="35. Chile"/>
  </r>
  <r>
    <x v="206"/>
    <s v="Urban population share"/>
    <n v="88.1"/>
    <n v="36"/>
    <s v="36. Greenland"/>
  </r>
  <r>
    <x v="128"/>
    <s v="Urban population share"/>
    <n v="88"/>
    <n v="37"/>
    <s v="37. Brazil"/>
  </r>
  <r>
    <x v="191"/>
    <s v="Urban population share"/>
    <n v="88"/>
    <n v="38"/>
    <s v="38. United Arab Emirates"/>
  </r>
  <r>
    <x v="95"/>
    <s v="Urban population share"/>
    <n v="87.7"/>
    <n v="39"/>
    <s v="39. Andorra"/>
  </r>
  <r>
    <x v="164"/>
    <s v="Urban population share"/>
    <n v="87.3"/>
    <n v="40"/>
    <s v="40. American Samoa"/>
  </r>
  <r>
    <x v="106"/>
    <s v="Urban population share"/>
    <n v="87.1"/>
    <n v="41"/>
    <s v="41. New Zealand"/>
  </r>
  <r>
    <x v="68"/>
    <s v="Urban population share"/>
    <n v="86.8"/>
    <n v="42"/>
    <s v="42. Australia"/>
  </r>
  <r>
    <x v="185"/>
    <s v="Urban population share"/>
    <n v="85.9"/>
    <n v="43"/>
    <s v="43. Finland"/>
  </r>
  <r>
    <x v="4"/>
    <s v="Urban population share"/>
    <n v="85.2"/>
    <n v="44"/>
    <s v="44. Saudi Arabia"/>
  </r>
  <r>
    <x v="47"/>
    <s v="Urban population share"/>
    <n v="85"/>
    <n v="45"/>
    <s v="45. Dominican Republic"/>
  </r>
  <r>
    <x v="20"/>
    <s v="Urban population share"/>
    <n v="84.9"/>
    <n v="46"/>
    <s v="46. United Kingdom"/>
  </r>
  <r>
    <x v="200"/>
    <s v="Urban population share"/>
    <n v="84.3"/>
    <n v="47"/>
    <s v="47. Norway"/>
  </r>
  <r>
    <x v="202"/>
    <s v="Urban population share"/>
    <n v="83.8"/>
    <n v="48"/>
    <s v="48. Bahamas, The"/>
  </r>
  <r>
    <x v="72"/>
    <s v="Urban population share"/>
    <n v="83.5"/>
    <n v="49"/>
    <s v="49. United States"/>
  </r>
  <r>
    <x v="115"/>
    <s v="Urban population share"/>
    <n v="83.2"/>
    <n v="50"/>
    <s v="50. Costa Rica"/>
  </r>
  <r>
    <x v="178"/>
    <s v="Urban population share"/>
    <n v="82.8"/>
    <n v="51"/>
    <s v="51. Palau"/>
  </r>
  <r>
    <x v="108"/>
    <s v="Urban population share"/>
    <n v="82.7"/>
    <n v="52"/>
    <s v="52. Colombia"/>
  </r>
  <r>
    <x v="188"/>
    <s v="Urban population share"/>
    <n v="82"/>
    <n v="53"/>
    <s v="53. Canada"/>
  </r>
  <r>
    <x v="56"/>
    <s v="Urban population share"/>
    <n v="82"/>
    <n v="54"/>
    <s v="54. France"/>
  </r>
  <r>
    <x v="181"/>
    <s v="Urban population share"/>
    <n v="81.900000000000006"/>
    <n v="55"/>
    <s v="55. Libya"/>
  </r>
  <r>
    <x v="58"/>
    <s v="Urban population share"/>
    <n v="81.900000000000006"/>
    <n v="56"/>
    <s v="56. Mexico"/>
  </r>
  <r>
    <x v="61"/>
    <s v="Urban population share"/>
    <n v="81.8"/>
    <n v="57"/>
    <s v="57. Spain"/>
  </r>
  <r>
    <x v="161"/>
    <s v="Urban population share"/>
    <n v="81.5"/>
    <n v="58"/>
    <s v="58. Korea, Rep."/>
  </r>
  <r>
    <x v="96"/>
    <s v="Urban population share"/>
    <n v="81.099999999999994"/>
    <n v="59"/>
    <s v="59. Belarus"/>
  </r>
  <r>
    <x v="92"/>
    <s v="Urban population share"/>
    <n v="81"/>
    <n v="60"/>
    <s v="60. Greece"/>
  </r>
  <r>
    <x v="201"/>
    <s v="Urban population share"/>
    <n v="79.400000000000006"/>
    <n v="61"/>
    <s v="61. Brunei Darussalam"/>
  </r>
  <r>
    <x v="131"/>
    <s v="Urban population share"/>
    <n v="79.2"/>
    <n v="62"/>
    <s v="62. Malaysia"/>
  </r>
  <r>
    <x v="98"/>
    <s v="Urban population share"/>
    <n v="79.2"/>
    <n v="63"/>
    <s v="63. Marshall Islands"/>
  </r>
  <r>
    <x v="153"/>
    <s v="Urban population share"/>
    <n v="79.099999999999994"/>
    <n v="64"/>
    <s v="64. Peru"/>
  </r>
  <r>
    <x v="12"/>
    <s v="Urban population share"/>
    <n v="78.7"/>
    <n v="65"/>
    <s v="65. Djibouti"/>
  </r>
  <r>
    <x v="67"/>
    <s v="Urban population share"/>
    <n v="77.900000000000006"/>
    <n v="66"/>
    <s v="66. Germany"/>
  </r>
  <r>
    <x v="59"/>
    <s v="Urban population share"/>
    <n v="77.900000000000006"/>
    <n v="67"/>
    <s v="67. Turkiye"/>
  </r>
  <r>
    <x v="30"/>
    <s v="Urban population share"/>
    <n v="77.900000000000006"/>
    <n v="68"/>
    <s v="68. West Bank and Gaza"/>
  </r>
  <r>
    <x v="35"/>
    <s v="Urban population share"/>
    <n v="77.7"/>
    <n v="69"/>
    <s v="69. Cuba"/>
  </r>
  <r>
    <x v="127"/>
    <s v="Urban population share"/>
    <n v="77.7"/>
    <n v="70"/>
    <s v="70. Iran, Islamic Rep."/>
  </r>
  <r>
    <x v="71"/>
    <s v="Urban population share"/>
    <n v="77"/>
    <n v="71"/>
    <s v="71. Bulgaria"/>
  </r>
  <r>
    <x v="77"/>
    <s v="Urban population share"/>
    <n v="77"/>
    <n v="72"/>
    <s v="72. Sao Tome and Principe"/>
  </r>
  <r>
    <x v="44"/>
    <s v="Urban population share"/>
    <n v="76"/>
    <n v="73"/>
    <s v="73. El Salvador"/>
  </r>
  <r>
    <x v="157"/>
    <s v="Urban population share"/>
    <n v="75.7"/>
    <n v="74"/>
    <s v="74. Algeria"/>
  </r>
  <r>
    <x v="168"/>
    <s v="Urban population share"/>
    <n v="75.5"/>
    <n v="75"/>
    <s v="75. Russian Federation"/>
  </r>
  <r>
    <x v="196"/>
    <s v="Urban population share"/>
    <n v="74.900000000000006"/>
    <n v="76"/>
    <s v="76. Equatorial Guinea"/>
  </r>
  <r>
    <x v="74"/>
    <s v="Urban population share"/>
    <n v="74.7"/>
    <n v="77"/>
    <s v="77. Czechia"/>
  </r>
  <r>
    <x v="104"/>
    <s v="Urban population share"/>
    <n v="74.3"/>
    <n v="78"/>
    <s v="78. Switzerland"/>
  </r>
  <r>
    <x v="75"/>
    <s v="Urban population share"/>
    <n v="73.5"/>
    <n v="79"/>
    <s v="79. Botswana"/>
  </r>
  <r>
    <x v="45"/>
    <s v="Urban population share"/>
    <n v="73.2"/>
    <n v="80"/>
    <s v="80. Hungary"/>
  </r>
  <r>
    <x v="175"/>
    <s v="Urban population share"/>
    <n v="73.099999999999994"/>
    <n v="81"/>
    <s v="81. New Caledonia"/>
  </r>
  <r>
    <x v="114"/>
    <s v="Urban population share"/>
    <n v="72.3"/>
    <n v="82"/>
    <s v="82. Dominica"/>
  </r>
  <r>
    <x v="81"/>
    <s v="Urban population share"/>
    <n v="72.3"/>
    <n v="83"/>
    <s v="83. Italy"/>
  </r>
  <r>
    <x v="141"/>
    <s v="Urban population share"/>
    <n v="71.900000000000006"/>
    <n v="84"/>
    <s v="84. Iraq"/>
  </r>
  <r>
    <x v="109"/>
    <s v="Urban population share"/>
    <n v="71.5"/>
    <n v="85"/>
    <s v="85. Bolivia"/>
  </r>
  <r>
    <x v="34"/>
    <s v="Urban population share"/>
    <n v="70.900000000000006"/>
    <n v="86"/>
    <s v="86. Tunisia"/>
  </r>
  <r>
    <x v="17"/>
    <s v="Urban population share"/>
    <n v="70.3"/>
    <n v="87"/>
    <s v="87. Ukraine"/>
  </r>
  <r>
    <x v="138"/>
    <s v="Urban population share"/>
    <n v="70"/>
    <n v="88"/>
    <s v="88. Estonia"/>
  </r>
  <r>
    <x v="125"/>
    <s v="Urban population share"/>
    <n v="69.900000000000006"/>
    <n v="89"/>
    <s v="89. Panama"/>
  </r>
  <r>
    <x v="121"/>
    <s v="Urban population share"/>
    <n v="69.599999999999994"/>
    <n v="90"/>
    <s v="90. Congo, Rep."/>
  </r>
  <r>
    <x v="105"/>
    <s v="Urban population share"/>
    <n v="69.3"/>
    <n v="91"/>
    <s v="91. Angola"/>
  </r>
  <r>
    <x v="25"/>
    <s v="Urban population share"/>
    <n v="69.3"/>
    <n v="92"/>
    <s v="92. Mongolia"/>
  </r>
  <r>
    <x v="6"/>
    <s v="Urban population share"/>
    <n v="69.3"/>
    <n v="93"/>
    <s v="93. South Africa"/>
  </r>
  <r>
    <x v="73"/>
    <s v="Urban population share"/>
    <n v="68.900000000000006"/>
    <n v="94"/>
    <s v="94. Lithuania"/>
  </r>
  <r>
    <x v="119"/>
    <s v="Urban population share"/>
    <n v="68.8"/>
    <n v="95"/>
    <s v="95. Latvia"/>
  </r>
  <r>
    <x v="152"/>
    <s v="Urban population share"/>
    <n v="68.8"/>
    <n v="96"/>
    <s v="96. Montenegro"/>
  </r>
  <r>
    <x v="151"/>
    <s v="Urban population share"/>
    <n v="68.400000000000006"/>
    <n v="97"/>
    <s v="97. Cabo Verde"/>
  </r>
  <r>
    <x v="83"/>
    <s v="Urban population share"/>
    <n v="68.400000000000006"/>
    <n v="98"/>
    <s v="98. Portugal"/>
  </r>
  <r>
    <x v="166"/>
    <s v="Urban population share"/>
    <n v="67.099999999999994"/>
    <n v="99"/>
    <s v="99. Cyprus"/>
  </r>
  <r>
    <x v="39"/>
    <s v="Urban population share"/>
    <n v="66.900000000000006"/>
    <n v="100"/>
    <s v="100. Tuvalu"/>
  </r>
  <r>
    <x v="207"/>
    <s v="Urban population share"/>
    <n v="66.5"/>
    <n v="101"/>
    <s v="101. Suriname"/>
  </r>
  <r>
    <x v="26"/>
    <s v="Urban population share"/>
    <n v="65.599999999999994"/>
    <n v="102"/>
    <s v="102. Morocco"/>
  </r>
  <r>
    <x v="46"/>
    <s v="Urban population share"/>
    <n v="65.5"/>
    <n v="103"/>
    <s v="103. China"/>
  </r>
  <r>
    <x v="102"/>
    <s v="Urban population share"/>
    <n v="65.400000000000006"/>
    <n v="104"/>
    <s v="104. Albania"/>
  </r>
  <r>
    <x v="33"/>
    <s v="Urban population share"/>
    <n v="65.099999999999994"/>
    <n v="105"/>
    <s v="105. Gambia, The"/>
  </r>
  <r>
    <x v="144"/>
    <s v="Urban population share"/>
    <n v="65"/>
    <n v="106"/>
    <s v="106. Ecuador"/>
  </r>
  <r>
    <x v="36"/>
    <s v="Urban population share"/>
    <n v="64.8"/>
    <n v="107"/>
    <s v="107. Ireland"/>
  </r>
  <r>
    <x v="40"/>
    <s v="Urban population share"/>
    <n v="63.9"/>
    <n v="108"/>
    <s v="108. Armenia"/>
  </r>
  <r>
    <x v="51"/>
    <s v="Urban population share"/>
    <n v="63.5"/>
    <n v="109"/>
    <s v="109. Paraguay"/>
  </r>
  <r>
    <x v="180"/>
    <s v="Urban population share"/>
    <n v="62.4"/>
    <n v="110"/>
    <s v="110. French Polynesia"/>
  </r>
  <r>
    <x v="113"/>
    <s v="Urban population share"/>
    <n v="61.2"/>
    <n v="111"/>
    <s v="111. Georgia"/>
  </r>
  <r>
    <x v="118"/>
    <s v="Urban population share"/>
    <n v="60.8"/>
    <n v="112"/>
    <s v="112. Honduras"/>
  </r>
  <r>
    <x v="29"/>
    <s v="Urban population share"/>
    <n v="60.5"/>
    <n v="113"/>
    <s v="113. Haiti"/>
  </r>
  <r>
    <x v="66"/>
    <s v="Urban population share"/>
    <n v="60.3"/>
    <n v="114"/>
    <s v="114. Poland"/>
  </r>
  <r>
    <x v="88"/>
    <s v="Urban population share"/>
    <n v="60.2"/>
    <n v="115"/>
    <s v="115. Nicaragua"/>
  </r>
  <r>
    <x v="145"/>
    <s v="Urban population share"/>
    <n v="59.9"/>
    <n v="116"/>
    <s v="116. Cameroon"/>
  </r>
  <r>
    <x v="48"/>
    <s v="Urban population share"/>
    <n v="59.9"/>
    <n v="117"/>
    <s v="117. Ghana"/>
  </r>
  <r>
    <x v="60"/>
    <s v="Urban population share"/>
    <n v="59.9"/>
    <n v="118"/>
    <s v="118. North Macedonia"/>
  </r>
  <r>
    <x v="120"/>
    <s v="Urban population share"/>
    <n v="59.8"/>
    <n v="119"/>
    <s v="119. Austria"/>
  </r>
  <r>
    <x v="158"/>
    <s v="Urban population share"/>
    <n v="59.2"/>
    <n v="120"/>
    <s v="120. Fiji"/>
  </r>
  <r>
    <x v="126"/>
    <s v="Urban population share"/>
    <n v="59.2"/>
    <n v="121"/>
    <s v="121. Indonesia"/>
  </r>
  <r>
    <x v="198"/>
    <s v="Urban population share"/>
    <n v="59.2"/>
    <n v="122"/>
    <s v="122. Seychelles"/>
  </r>
  <r>
    <x v="130"/>
    <s v="Urban population share"/>
    <n v="58.9"/>
    <n v="123"/>
    <s v="123. Croatia"/>
  </r>
  <r>
    <x v="100"/>
    <s v="Urban population share"/>
    <n v="58.5"/>
    <n v="124"/>
    <s v="124. Mauritania"/>
  </r>
  <r>
    <x v="5"/>
    <s v="Urban population share"/>
    <n v="58.4"/>
    <n v="125"/>
    <s v="125. Kazakhstan"/>
  </r>
  <r>
    <x v="89"/>
    <s v="Urban population share"/>
    <n v="58.4"/>
    <n v="126"/>
    <s v="126. Kiribati"/>
  </r>
  <r>
    <x v="43"/>
    <s v="Urban population share"/>
    <n v="58"/>
    <n v="127"/>
    <s v="127. Azerbaijan"/>
  </r>
  <r>
    <x v="11"/>
    <s v="Urban population share"/>
    <n v="58"/>
    <n v="128"/>
    <s v="128. Syrian Arab Republic"/>
  </r>
  <r>
    <x v="99"/>
    <s v="Urban population share"/>
    <n v="57.8"/>
    <n v="129"/>
    <s v="129. Jamaica"/>
  </r>
  <r>
    <x v="93"/>
    <s v="Urban population share"/>
    <n v="57.4"/>
    <n v="130"/>
    <s v="130. Serbia"/>
  </r>
  <r>
    <x v="122"/>
    <s v="Urban population share"/>
    <n v="56.4"/>
    <n v="131"/>
    <s v="131. Slovenia"/>
  </r>
  <r>
    <x v="69"/>
    <s v="Urban population share"/>
    <n v="55.8"/>
    <n v="132"/>
    <s v="132. Namibia"/>
  </r>
  <r>
    <x v="9"/>
    <s v="Urban population share"/>
    <n v="55"/>
    <n v="133"/>
    <s v="133. Nigeria"/>
  </r>
  <r>
    <x v="49"/>
    <s v="Urban population share"/>
    <n v="54.9"/>
    <n v="134"/>
    <s v="134. Romania"/>
  </r>
  <r>
    <x v="155"/>
    <s v="Urban population share"/>
    <n v="54.7"/>
    <n v="135"/>
    <s v="135. St. Vincent and the Grenadines"/>
  </r>
  <r>
    <x v="1"/>
    <s v="Urban population share"/>
    <n v="54.5"/>
    <n v="136"/>
    <s v="136. Turkmenistan"/>
  </r>
  <r>
    <x v="82"/>
    <s v="Urban population share"/>
    <n v="54.3"/>
    <n v="137"/>
    <s v="137. Thailand"/>
  </r>
  <r>
    <x v="103"/>
    <s v="Urban population share"/>
    <n v="54.2"/>
    <n v="138"/>
    <s v="138. Slovak Republic"/>
  </r>
  <r>
    <x v="147"/>
    <s v="Urban population share"/>
    <n v="54.1"/>
    <n v="139"/>
    <s v="139. Liberia"/>
  </r>
  <r>
    <x v="24"/>
    <s v="Urban population share"/>
    <n v="53.7"/>
    <n v="140"/>
    <s v="140. Isle of Man"/>
  </r>
  <r>
    <x v="0"/>
    <s v="Urban population share"/>
    <n v="53.6"/>
    <n v="141"/>
    <s v="141. Cote d'Ivoire"/>
  </r>
  <r>
    <x v="173"/>
    <s v="Urban population share"/>
    <n v="53.6"/>
    <n v="142"/>
    <s v="142. Trinidad and Tobago"/>
  </r>
  <r>
    <x v="84"/>
    <s v="Urban population share"/>
    <n v="53.5"/>
    <n v="143"/>
    <s v="143. Guatemala"/>
  </r>
  <r>
    <x v="90"/>
    <s v="Urban population share"/>
    <n v="50.7"/>
    <n v="144"/>
    <s v="144. Benin"/>
  </r>
  <r>
    <x v="142"/>
    <s v="Urban population share"/>
    <n v="50.7"/>
    <n v="145"/>
    <s v="145. Bosnia and Herzegovina"/>
  </r>
  <r>
    <x v="42"/>
    <s v="Urban population share"/>
    <n v="50.6"/>
    <n v="146"/>
    <s v="146. Uzbekistan"/>
  </r>
  <r>
    <x v="63"/>
    <s v="Urban population share"/>
    <n v="50.1"/>
    <n v="147"/>
    <s v="147. Senegal"/>
  </r>
  <r>
    <x v="86"/>
    <s v="Urban population share"/>
    <n v="48.6"/>
    <n v="148"/>
    <s v="148. Philippines"/>
  </r>
  <r>
    <x v="19"/>
    <s v="Urban population share"/>
    <n v="48.5"/>
    <n v="149"/>
    <s v="149. Somalia, Fed. Rep."/>
  </r>
  <r>
    <x v="162"/>
    <s v="Urban population share"/>
    <n v="48.1"/>
    <n v="150"/>
    <s v="150. Congo, Dem. Rep."/>
  </r>
  <r>
    <x v="110"/>
    <s v="Urban population share"/>
    <n v="46.9"/>
    <n v="151"/>
    <s v="151. Mali"/>
  </r>
  <r>
    <x v="117"/>
    <s v="Urban population share"/>
    <n v="46.9"/>
    <n v="152"/>
    <s v="152. Zambia"/>
  </r>
  <r>
    <x v="184"/>
    <s v="Urban population share"/>
    <n v="46.8"/>
    <n v="153"/>
    <s v="153. Belize"/>
  </r>
  <r>
    <x v="123"/>
    <s v="Urban population share"/>
    <n v="45.9"/>
    <n v="154"/>
    <s v="154. Guinea-Bissau"/>
  </r>
  <r>
    <x v="21"/>
    <s v="Urban population share"/>
    <n v="45.1"/>
    <n v="155"/>
    <s v="155. Togo"/>
  </r>
  <r>
    <x v="167"/>
    <s v="Urban population share"/>
    <n v="45"/>
    <n v="156"/>
    <s v="156. Bhutan"/>
  </r>
  <r>
    <x v="50"/>
    <s v="Urban population share"/>
    <n v="44.8"/>
    <n v="157"/>
    <s v="157. Sierra Leone"/>
  </r>
  <r>
    <x v="172"/>
    <s v="Urban population share"/>
    <n v="44.5"/>
    <n v="158"/>
    <s v="158. Aruba"/>
  </r>
  <r>
    <x v="179"/>
    <s v="Urban population share"/>
    <n v="44.1"/>
    <n v="159"/>
    <s v="159. Central African Republic"/>
  </r>
  <r>
    <x v="32"/>
    <s v="Urban population share"/>
    <n v="43.9"/>
    <n v="160"/>
    <s v="160. Eritrea"/>
  </r>
  <r>
    <x v="10"/>
    <s v="Urban population share"/>
    <n v="43.6"/>
    <n v="161"/>
    <s v="161. Moldova"/>
  </r>
  <r>
    <x v="193"/>
    <s v="Urban population share"/>
    <n v="43.3"/>
    <n v="162"/>
    <s v="162. Egypt, Arab Rep."/>
  </r>
  <r>
    <x v="22"/>
    <s v="Urban population share"/>
    <n v="43.2"/>
    <n v="163"/>
    <s v="163. Faroe Islands"/>
  </r>
  <r>
    <x v="150"/>
    <s v="Urban population share"/>
    <n v="42.4"/>
    <n v="164"/>
    <s v="164. Maldives"/>
  </r>
  <r>
    <x v="14"/>
    <s v="Urban population share"/>
    <n v="41.2"/>
    <n v="165"/>
    <s v="165. Bangladesh"/>
  </r>
  <r>
    <x v="18"/>
    <s v="Urban population share"/>
    <n v="41.2"/>
    <n v="166"/>
    <s v="166. Madagascar"/>
  </r>
  <r>
    <x v="85"/>
    <s v="Urban population share"/>
    <n v="40.9"/>
    <n v="167"/>
    <s v="167. Mauritius"/>
  </r>
  <r>
    <x v="80"/>
    <s v="Urban population share"/>
    <n v="40.5"/>
    <n v="168"/>
    <s v="168. Yemen, Rep."/>
  </r>
  <r>
    <x v="97"/>
    <s v="Urban population share"/>
    <n v="40.200000000000003"/>
    <n v="169"/>
    <s v="169. Viet Nam"/>
  </r>
  <r>
    <x v="55"/>
    <s v="Urban population share"/>
    <n v="39.299999999999997"/>
    <n v="170"/>
    <s v="170. Mozambique"/>
  </r>
  <r>
    <x v="176"/>
    <s v="Urban population share"/>
    <n v="38.9"/>
    <n v="171"/>
    <s v="171. Lao PDR"/>
  </r>
  <r>
    <x v="13"/>
    <s v="Urban population share"/>
    <n v="38.5"/>
    <n v="172"/>
    <s v="172. Guinea"/>
  </r>
  <r>
    <x v="70"/>
    <s v="Urban population share"/>
    <n v="38.4"/>
    <n v="173"/>
    <s v="173. Pakistan"/>
  </r>
  <r>
    <x v="52"/>
    <s v="Urban population share"/>
    <n v="38.200000000000003"/>
    <n v="174"/>
    <s v="174. Kyrgyz Republic"/>
  </r>
  <r>
    <x v="78"/>
    <s v="Urban population share"/>
    <n v="38.1"/>
    <n v="175"/>
    <s v="175. Tanzania"/>
  </r>
  <r>
    <x v="136"/>
    <s v="Urban population share"/>
    <n v="37.299999999999997"/>
    <n v="176"/>
    <s v="176. Grenada"/>
  </r>
  <r>
    <x v="38"/>
    <s v="Urban population share"/>
    <n v="36.9"/>
    <n v="177"/>
    <s v="177. India"/>
  </r>
  <r>
    <x v="37"/>
    <s v="Urban population share"/>
    <n v="36.799999999999997"/>
    <n v="178"/>
    <s v="178. Sudan"/>
  </r>
  <r>
    <x v="54"/>
    <s v="Urban population share"/>
    <n v="33.200000000000003"/>
    <n v="179"/>
    <s v="179. Burkina Faso"/>
  </r>
  <r>
    <x v="140"/>
    <s v="Urban population share"/>
    <n v="32.799999999999997"/>
    <n v="180"/>
    <s v="180. Timor-Leste"/>
  </r>
  <r>
    <x v="91"/>
    <s v="Urban population share"/>
    <n v="32.700000000000003"/>
    <n v="181"/>
    <s v="181. Zimbabwe"/>
  </r>
  <r>
    <x v="149"/>
    <s v="Urban population share"/>
    <n v="32.5"/>
    <n v="182"/>
    <s v="182. Myanmar"/>
  </r>
  <r>
    <x v="137"/>
    <s v="Urban population share"/>
    <n v="31.5"/>
    <n v="183"/>
    <s v="183. Barbados"/>
  </r>
  <r>
    <x v="238"/>
    <s v="Urban population share"/>
    <n v="31.3"/>
    <n v="184"/>
    <s v="184. Channel Islands"/>
  </r>
  <r>
    <x v="139"/>
    <s v="Urban population share"/>
    <n v="31.2"/>
    <n v="185"/>
    <s v="185. St. Kitts and Nevis"/>
  </r>
  <r>
    <x v="7"/>
    <s v="Urban population share"/>
    <n v="30.9"/>
    <n v="186"/>
    <s v="186. Lesotho"/>
  </r>
  <r>
    <x v="16"/>
    <s v="Urban population share"/>
    <n v="30.4"/>
    <n v="187"/>
    <s v="187. Comoros"/>
  </r>
  <r>
    <x v="62"/>
    <s v="Urban population share"/>
    <n v="30"/>
    <n v="188"/>
    <s v="188. Kenya"/>
  </r>
  <r>
    <x v="129"/>
    <s v="Urban population share"/>
    <n v="28.5"/>
    <n v="189"/>
    <s v="189. Tajikistan"/>
  </r>
  <r>
    <x v="15"/>
    <s v="Urban population share"/>
    <n v="27.4"/>
    <n v="190"/>
    <s v="190. Uganda"/>
  </r>
  <r>
    <x v="41"/>
    <s v="Urban population share"/>
    <n v="27.3"/>
    <n v="191"/>
    <s v="191. Afghanistan"/>
  </r>
  <r>
    <x v="197"/>
    <s v="Urban population share"/>
    <n v="27.3"/>
    <n v="192"/>
    <s v="192. Guyana"/>
  </r>
  <r>
    <x v="194"/>
    <s v="Urban population share"/>
    <n v="26.5"/>
    <n v="193"/>
    <s v="193. Solomon Islands"/>
  </r>
  <r>
    <x v="163"/>
    <s v="Urban population share"/>
    <n v="26.1"/>
    <n v="194"/>
    <s v="194. Vanuatu"/>
  </r>
  <r>
    <x v="111"/>
    <s v="Urban population share"/>
    <n v="26"/>
    <n v="195"/>
    <s v="195. Cambodia"/>
  </r>
  <r>
    <x v="23"/>
    <s v="Urban population share"/>
    <n v="25"/>
    <n v="196"/>
    <s v="196. Eswatini"/>
  </r>
  <r>
    <x v="94"/>
    <s v="Urban population share"/>
    <n v="24.7"/>
    <n v="197"/>
    <s v="197. Chad"/>
  </r>
  <r>
    <x v="146"/>
    <s v="Urban population share"/>
    <n v="24.3"/>
    <n v="198"/>
    <s v="198. Antigua and Barbuda"/>
  </r>
  <r>
    <x v="112"/>
    <s v="Urban population share"/>
    <n v="23.7"/>
    <n v="199"/>
    <s v="199. Ethiopia"/>
  </r>
  <r>
    <x v="187"/>
    <s v="Urban population share"/>
    <n v="23.6"/>
    <n v="200"/>
    <s v="200. Micronesia, Fed. Sts."/>
  </r>
  <r>
    <x v="65"/>
    <s v="Urban population share"/>
    <n v="23.2"/>
    <n v="201"/>
    <s v="201. Tonga"/>
  </r>
  <r>
    <x v="132"/>
    <s v="Urban population share"/>
    <n v="22.4"/>
    <n v="202"/>
    <s v="202. Nepal"/>
  </r>
  <r>
    <x v="76"/>
    <s v="Urban population share"/>
    <n v="21.6"/>
    <n v="203"/>
    <s v="203. South Sudan"/>
  </r>
  <r>
    <x v="64"/>
    <s v="Urban population share"/>
    <n v="19.399999999999999"/>
    <n v="204"/>
    <s v="204. Sri Lanka"/>
  </r>
  <r>
    <x v="159"/>
    <s v="Urban population share"/>
    <n v="19.3"/>
    <n v="205"/>
    <s v="205. St. Lucia"/>
  </r>
  <r>
    <x v="31"/>
    <s v="Urban population share"/>
    <n v="18.600000000000001"/>
    <n v="206"/>
    <s v="206. Malawi"/>
  </r>
  <r>
    <x v="8"/>
    <s v="Urban population share"/>
    <n v="18.100000000000001"/>
    <n v="207"/>
    <s v="207. Rwanda"/>
  </r>
  <r>
    <x v="156"/>
    <s v="Urban population share"/>
    <n v="17.399999999999999"/>
    <n v="208"/>
    <s v="208. Samoa"/>
  </r>
  <r>
    <x v="107"/>
    <s v="Urban population share"/>
    <n v="17.2"/>
    <n v="209"/>
    <s v="209. Niger"/>
  </r>
  <r>
    <x v="2"/>
    <s v="Urban population share"/>
    <n v="15.2"/>
    <n v="210"/>
    <s v="210. Burundi"/>
  </r>
  <r>
    <x v="116"/>
    <s v="Urban population share"/>
    <n v="14.7"/>
    <n v="211"/>
    <s v="211. Liechtenstein"/>
  </r>
  <r>
    <x v="199"/>
    <s v="Urban population share"/>
    <n v="13.9"/>
    <n v="212"/>
    <s v="212. Papua New Guinea"/>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7545606-4328-45E1-9AE7-23891DF88208}" name="PivotTable2" cacheId="5"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rowHeaderCaption="Country">
  <location ref="A1:A241" firstHeaderRow="1" firstDataRow="1" firstDataCol="1"/>
  <pivotFields count="5">
    <pivotField axis="axisRow" showAll="0">
      <items count="255">
        <item x="41"/>
        <item x="102"/>
        <item x="157"/>
        <item x="164"/>
        <item x="95"/>
        <item x="105"/>
        <item x="230"/>
        <item x="146"/>
        <item x="87"/>
        <item x="40"/>
        <item x="172"/>
        <item x="68"/>
        <item x="120"/>
        <item x="43"/>
        <item m="1" x="250"/>
        <item x="202"/>
        <item x="174"/>
        <item x="14"/>
        <item x="137"/>
        <item x="96"/>
        <item x="79"/>
        <item x="184"/>
        <item x="90"/>
        <item x="190"/>
        <item x="167"/>
        <item x="109"/>
        <item x="142"/>
        <item x="75"/>
        <item x="128"/>
        <item m="1" x="251"/>
        <item x="201"/>
        <item x="71"/>
        <item x="54"/>
        <item x="2"/>
        <item x="151"/>
        <item x="111"/>
        <item x="145"/>
        <item x="188"/>
        <item x="171"/>
        <item x="179"/>
        <item x="94"/>
        <item x="238"/>
        <item x="165"/>
        <item x="46"/>
        <item x="222"/>
        <item x="108"/>
        <item x="16"/>
        <item x="162"/>
        <item x="231"/>
        <item x="121"/>
        <item x="214"/>
        <item m="1" x="252"/>
        <item x="115"/>
        <item x="0"/>
        <item x="221"/>
        <item x="130"/>
        <item x="35"/>
        <item x="237"/>
        <item x="166"/>
        <item x="224"/>
        <item x="74"/>
        <item m="1" x="249"/>
        <item x="28"/>
        <item x="12"/>
        <item x="114"/>
        <item x="47"/>
        <item x="144"/>
        <item x="210"/>
        <item x="193"/>
        <item x="44"/>
        <item x="196"/>
        <item x="32"/>
        <item x="138"/>
        <item x="23"/>
        <item x="112"/>
        <item x="22"/>
        <item x="158"/>
        <item x="185"/>
        <item x="56"/>
        <item x="180"/>
        <item x="182"/>
        <item x="33"/>
        <item x="113"/>
        <item x="67"/>
        <item x="48"/>
        <item x="92"/>
        <item x="206"/>
        <item x="136"/>
        <item x="124"/>
        <item x="84"/>
        <item x="13"/>
        <item x="123"/>
        <item x="197"/>
        <item x="29"/>
        <item m="1" x="248"/>
        <item x="118"/>
        <item x="233"/>
        <item x="195"/>
        <item x="45"/>
        <item x="160"/>
        <item x="38"/>
        <item x="126"/>
        <item x="232"/>
        <item m="1" x="242"/>
        <item x="127"/>
        <item x="141"/>
        <item x="36"/>
        <item x="24"/>
        <item x="134"/>
        <item x="81"/>
        <item x="99"/>
        <item x="169"/>
        <item x="170"/>
        <item x="5"/>
        <item x="62"/>
        <item x="89"/>
        <item x="143"/>
        <item x="161"/>
        <item x="226"/>
        <item x="209"/>
        <item x="183"/>
        <item x="52"/>
        <item x="218"/>
        <item x="176"/>
        <item x="119"/>
        <item x="27"/>
        <item x="7"/>
        <item x="147"/>
        <item x="181"/>
        <item x="116"/>
        <item x="73"/>
        <item x="57"/>
        <item x="208"/>
        <item x="18"/>
        <item x="31"/>
        <item x="131"/>
        <item x="150"/>
        <item x="110"/>
        <item x="133"/>
        <item x="98"/>
        <item x="100"/>
        <item x="85"/>
        <item x="58"/>
        <item x="229"/>
        <item x="187"/>
        <item x="10"/>
        <item x="234"/>
        <item x="25"/>
        <item x="152"/>
        <item x="26"/>
        <item x="55"/>
        <item x="149"/>
        <item x="69"/>
        <item x="148"/>
        <item x="132"/>
        <item x="53"/>
        <item x="175"/>
        <item x="106"/>
        <item m="1" x="244"/>
        <item x="88"/>
        <item x="107"/>
        <item x="9"/>
        <item m="1" x="253"/>
        <item x="60"/>
        <item x="225"/>
        <item x="203"/>
        <item x="200"/>
        <item x="192"/>
        <item x="70"/>
        <item x="178"/>
        <item m="1" x="247"/>
        <item x="125"/>
        <item x="199"/>
        <item x="51"/>
        <item x="153"/>
        <item x="86"/>
        <item x="66"/>
        <item x="83"/>
        <item x="220"/>
        <item x="154"/>
        <item x="189"/>
        <item m="1" x="241"/>
        <item m="1" x="246"/>
        <item x="49"/>
        <item x="168"/>
        <item x="8"/>
        <item x="215"/>
        <item x="213"/>
        <item x="212"/>
        <item x="156"/>
        <item x="101"/>
        <item x="77"/>
        <item x="211"/>
        <item x="4"/>
        <item x="63"/>
        <item x="93"/>
        <item x="198"/>
        <item x="50"/>
        <item x="205"/>
        <item x="235"/>
        <item x="103"/>
        <item m="1" x="245"/>
        <item x="122"/>
        <item x="194"/>
        <item x="239"/>
        <item x="19"/>
        <item x="6"/>
        <item x="76"/>
        <item x="217"/>
        <item x="61"/>
        <item x="64"/>
        <item x="139"/>
        <item x="159"/>
        <item x="236"/>
        <item x="155"/>
        <item x="37"/>
        <item x="207"/>
        <item x="186"/>
        <item x="104"/>
        <item x="11"/>
        <item x="227"/>
        <item x="129"/>
        <item x="78"/>
        <item x="82"/>
        <item x="140"/>
        <item x="21"/>
        <item x="65"/>
        <item x="173"/>
        <item x="34"/>
        <item m="1" x="243"/>
        <item x="59"/>
        <item x="228"/>
        <item x="1"/>
        <item x="204"/>
        <item x="39"/>
        <item x="15"/>
        <item x="17"/>
        <item x="191"/>
        <item x="20"/>
        <item x="72"/>
        <item m="1" x="240"/>
        <item x="3"/>
        <item x="42"/>
        <item x="163"/>
        <item x="223"/>
        <item x="135"/>
        <item x="97"/>
        <item x="219"/>
        <item x="177"/>
        <item x="30"/>
        <item x="216"/>
        <item x="80"/>
        <item x="117"/>
        <item x="91"/>
        <item t="default"/>
      </items>
    </pivotField>
    <pivotField showAll="0"/>
    <pivotField showAll="0"/>
    <pivotField showAll="0"/>
    <pivotField showAll="0"/>
  </pivotFields>
  <rowFields count="1">
    <field x="0"/>
  </rowFields>
  <rowItems count="240">
    <i>
      <x/>
    </i>
    <i>
      <x v="1"/>
    </i>
    <i>
      <x v="2"/>
    </i>
    <i>
      <x v="3"/>
    </i>
    <i>
      <x v="4"/>
    </i>
    <i>
      <x v="5"/>
    </i>
    <i>
      <x v="6"/>
    </i>
    <i>
      <x v="7"/>
    </i>
    <i>
      <x v="8"/>
    </i>
    <i>
      <x v="9"/>
    </i>
    <i>
      <x v="10"/>
    </i>
    <i>
      <x v="11"/>
    </i>
    <i>
      <x v="12"/>
    </i>
    <i>
      <x v="13"/>
    </i>
    <i>
      <x v="15"/>
    </i>
    <i>
      <x v="16"/>
    </i>
    <i>
      <x v="17"/>
    </i>
    <i>
      <x v="18"/>
    </i>
    <i>
      <x v="19"/>
    </i>
    <i>
      <x v="20"/>
    </i>
    <i>
      <x v="21"/>
    </i>
    <i>
      <x v="22"/>
    </i>
    <i>
      <x v="23"/>
    </i>
    <i>
      <x v="24"/>
    </i>
    <i>
      <x v="25"/>
    </i>
    <i>
      <x v="26"/>
    </i>
    <i>
      <x v="27"/>
    </i>
    <i>
      <x v="28"/>
    </i>
    <i>
      <x v="30"/>
    </i>
    <i>
      <x v="31"/>
    </i>
    <i>
      <x v="32"/>
    </i>
    <i>
      <x v="33"/>
    </i>
    <i>
      <x v="34"/>
    </i>
    <i>
      <x v="35"/>
    </i>
    <i>
      <x v="36"/>
    </i>
    <i>
      <x v="37"/>
    </i>
    <i>
      <x v="38"/>
    </i>
    <i>
      <x v="39"/>
    </i>
    <i>
      <x v="40"/>
    </i>
    <i>
      <x v="41"/>
    </i>
    <i>
      <x v="42"/>
    </i>
    <i>
      <x v="43"/>
    </i>
    <i>
      <x v="44"/>
    </i>
    <i>
      <x v="45"/>
    </i>
    <i>
      <x v="46"/>
    </i>
    <i>
      <x v="47"/>
    </i>
    <i>
      <x v="48"/>
    </i>
    <i>
      <x v="49"/>
    </i>
    <i>
      <x v="50"/>
    </i>
    <i>
      <x v="52"/>
    </i>
    <i>
      <x v="53"/>
    </i>
    <i>
      <x v="54"/>
    </i>
    <i>
      <x v="55"/>
    </i>
    <i>
      <x v="56"/>
    </i>
    <i>
      <x v="57"/>
    </i>
    <i>
      <x v="58"/>
    </i>
    <i>
      <x v="59"/>
    </i>
    <i>
      <x v="60"/>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5"/>
    </i>
    <i>
      <x v="96"/>
    </i>
    <i>
      <x v="97"/>
    </i>
    <i>
      <x v="98"/>
    </i>
    <i>
      <x v="99"/>
    </i>
    <i>
      <x v="100"/>
    </i>
    <i>
      <x v="101"/>
    </i>
    <i>
      <x v="102"/>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9"/>
    </i>
    <i>
      <x v="160"/>
    </i>
    <i>
      <x v="161"/>
    </i>
    <i>
      <x v="163"/>
    </i>
    <i>
      <x v="164"/>
    </i>
    <i>
      <x v="165"/>
    </i>
    <i>
      <x v="166"/>
    </i>
    <i>
      <x v="167"/>
    </i>
    <i>
      <x v="168"/>
    </i>
    <i>
      <x v="169"/>
    </i>
    <i>
      <x v="171"/>
    </i>
    <i>
      <x v="172"/>
    </i>
    <i>
      <x v="173"/>
    </i>
    <i>
      <x v="174"/>
    </i>
    <i>
      <x v="175"/>
    </i>
    <i>
      <x v="176"/>
    </i>
    <i>
      <x v="177"/>
    </i>
    <i>
      <x v="178"/>
    </i>
    <i>
      <x v="179"/>
    </i>
    <i>
      <x v="180"/>
    </i>
    <i>
      <x v="183"/>
    </i>
    <i>
      <x v="184"/>
    </i>
    <i>
      <x v="185"/>
    </i>
    <i>
      <x v="186"/>
    </i>
    <i>
      <x v="187"/>
    </i>
    <i>
      <x v="188"/>
    </i>
    <i>
      <x v="189"/>
    </i>
    <i>
      <x v="190"/>
    </i>
    <i>
      <x v="191"/>
    </i>
    <i>
      <x v="192"/>
    </i>
    <i>
      <x v="193"/>
    </i>
    <i>
      <x v="194"/>
    </i>
    <i>
      <x v="195"/>
    </i>
    <i>
      <x v="196"/>
    </i>
    <i>
      <x v="197"/>
    </i>
    <i>
      <x v="198"/>
    </i>
    <i>
      <x v="199"/>
    </i>
    <i>
      <x v="200"/>
    </i>
    <i>
      <x v="202"/>
    </i>
    <i>
      <x v="203"/>
    </i>
    <i>
      <x v="204"/>
    </i>
    <i>
      <x v="205"/>
    </i>
    <i>
      <x v="206"/>
    </i>
    <i>
      <x v="207"/>
    </i>
    <i>
      <x v="208"/>
    </i>
    <i>
      <x v="209"/>
    </i>
    <i>
      <x v="210"/>
    </i>
    <i>
      <x v="211"/>
    </i>
    <i>
      <x v="212"/>
    </i>
    <i>
      <x v="213"/>
    </i>
    <i>
      <x v="214"/>
    </i>
    <i>
      <x v="215"/>
    </i>
    <i>
      <x v="216"/>
    </i>
    <i>
      <x v="217"/>
    </i>
    <i>
      <x v="218"/>
    </i>
    <i>
      <x v="219"/>
    </i>
    <i>
      <x v="220"/>
    </i>
    <i>
      <x v="221"/>
    </i>
    <i>
      <x v="222"/>
    </i>
    <i>
      <x v="223"/>
    </i>
    <i>
      <x v="224"/>
    </i>
    <i>
      <x v="225"/>
    </i>
    <i>
      <x v="226"/>
    </i>
    <i>
      <x v="227"/>
    </i>
    <i>
      <x v="228"/>
    </i>
    <i>
      <x v="230"/>
    </i>
    <i>
      <x v="231"/>
    </i>
    <i>
      <x v="232"/>
    </i>
    <i>
      <x v="233"/>
    </i>
    <i>
      <x v="234"/>
    </i>
    <i>
      <x v="235"/>
    </i>
    <i>
      <x v="236"/>
    </i>
    <i>
      <x v="237"/>
    </i>
    <i>
      <x v="238"/>
    </i>
    <i>
      <x v="239"/>
    </i>
    <i>
      <x v="241"/>
    </i>
    <i>
      <x v="242"/>
    </i>
    <i>
      <x v="243"/>
    </i>
    <i>
      <x v="244"/>
    </i>
    <i>
      <x v="245"/>
    </i>
    <i>
      <x v="246"/>
    </i>
    <i>
      <x v="247"/>
    </i>
    <i>
      <x v="248"/>
    </i>
    <i>
      <x v="249"/>
    </i>
    <i>
      <x v="250"/>
    </i>
    <i>
      <x v="251"/>
    </i>
    <i>
      <x v="252"/>
    </i>
    <i>
      <x v="253"/>
    </i>
  </rowItems>
  <colItems count="1">
    <i/>
  </colItem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8" Type="http://schemas.openxmlformats.org/officeDocument/2006/relationships/hyperlink" Target="https://data.worldbank.org/indicator/BX.KLT.DINV.CD.WD" TargetMode="External"/><Relationship Id="rId13" Type="http://schemas.openxmlformats.org/officeDocument/2006/relationships/hyperlink" Target="https://data.worldbank.org/indicator/SP.DYN.LE00.IN" TargetMode="External"/><Relationship Id="rId18" Type="http://schemas.openxmlformats.org/officeDocument/2006/relationships/hyperlink" Target="https://data.worldbank.org/indicator/AG.LND.FRST.ZS" TargetMode="External"/><Relationship Id="rId26" Type="http://schemas.openxmlformats.org/officeDocument/2006/relationships/hyperlink" Target="https://data.worldbank.org/indicator/SM.POP.TOTL" TargetMode="External"/><Relationship Id="rId3" Type="http://schemas.openxmlformats.org/officeDocument/2006/relationships/hyperlink" Target="https://data.worldbank.org/indicator/NY.GDP.PCAP.CD" TargetMode="External"/><Relationship Id="rId21" Type="http://schemas.openxmlformats.org/officeDocument/2006/relationships/hyperlink" Target="https://data.worldbank.org/indicator/IP.PAT.RESD" TargetMode="External"/><Relationship Id="rId7" Type="http://schemas.openxmlformats.org/officeDocument/2006/relationships/hyperlink" Target="https://www.imf.org/external/datamapper/DEBT1@DEBT/FAD_G20Adv/FAD_G20Emg/FAD_LIC/CAN" TargetMode="External"/><Relationship Id="rId12" Type="http://schemas.openxmlformats.org/officeDocument/2006/relationships/hyperlink" Target="https://data.worldbank.org/indicator/EN.POP.DNST" TargetMode="External"/><Relationship Id="rId17" Type="http://schemas.openxmlformats.org/officeDocument/2006/relationships/hyperlink" Target="https://data.worldbank.org/indicator/AG.LND.ARBL.ZS" TargetMode="External"/><Relationship Id="rId25" Type="http://schemas.openxmlformats.org/officeDocument/2006/relationships/hyperlink" Target="https://data.worldbank.org/indicator/SM.POP.NETM" TargetMode="External"/><Relationship Id="rId2" Type="http://schemas.openxmlformats.org/officeDocument/2006/relationships/hyperlink" Target="https://data.worldbank.org/indicator/NY.GDP.MKTP.CD" TargetMode="External"/><Relationship Id="rId16" Type="http://schemas.openxmlformats.org/officeDocument/2006/relationships/hyperlink" Target="https://data.worldbank.org/indicator/AG.LND.AGRI.ZS" TargetMode="External"/><Relationship Id="rId20" Type="http://schemas.openxmlformats.org/officeDocument/2006/relationships/hyperlink" Target="https://data.worldbank.org/indicator/IP.JRN.ARTC.SC" TargetMode="External"/><Relationship Id="rId1" Type="http://schemas.openxmlformats.org/officeDocument/2006/relationships/hyperlink" Target="https://data.worldbank.org/indicator/NE.CON.GOVT.CD" TargetMode="External"/><Relationship Id="rId6" Type="http://schemas.openxmlformats.org/officeDocument/2006/relationships/hyperlink" Target="https://data.worldbank.org/indicator/SL.UEM.TOTL.ZS" TargetMode="External"/><Relationship Id="rId11" Type="http://schemas.openxmlformats.org/officeDocument/2006/relationships/hyperlink" Target="https://data.worldbank.org/indicator/SP.POP.65UP.TO.ZS" TargetMode="External"/><Relationship Id="rId24" Type="http://schemas.openxmlformats.org/officeDocument/2006/relationships/hyperlink" Target="https://data.worldbank.org/indicator/GB.XPD.RSDV.GD.ZS" TargetMode="External"/><Relationship Id="rId5" Type="http://schemas.openxmlformats.org/officeDocument/2006/relationships/hyperlink" Target="https://data.worldbank.org/indicator/FP.CPI.TOTL.ZG" TargetMode="External"/><Relationship Id="rId15" Type="http://schemas.openxmlformats.org/officeDocument/2006/relationships/hyperlink" Target="https://data.worldbank.org/indicator/AG.SRF.TOTL.K2" TargetMode="External"/><Relationship Id="rId23" Type="http://schemas.openxmlformats.org/officeDocument/2006/relationships/hyperlink" Target="https://data.worldbank.org/indicator/TX.VAL.TECH.CD" TargetMode="External"/><Relationship Id="rId10" Type="http://schemas.openxmlformats.org/officeDocument/2006/relationships/hyperlink" Target="https://data.worldbank.org/indicator/SP.POP.TOTL.FE.ZS" TargetMode="External"/><Relationship Id="rId19" Type="http://schemas.openxmlformats.org/officeDocument/2006/relationships/hyperlink" Target="https://data.worldbank.org/indicator/AG.LND.TOTL.K2" TargetMode="External"/><Relationship Id="rId4" Type="http://schemas.openxmlformats.org/officeDocument/2006/relationships/hyperlink" Target="https://data.worldbank.org/indicator/NY.GDP.MKTP.PP.CD" TargetMode="External"/><Relationship Id="rId9" Type="http://schemas.openxmlformats.org/officeDocument/2006/relationships/hyperlink" Target="https://data.worldbank.org/indicator/SP.POP.TOTL" TargetMode="External"/><Relationship Id="rId14" Type="http://schemas.openxmlformats.org/officeDocument/2006/relationships/hyperlink" Target="https://data.worldbank.org/indicator/SP.URB.TOTL.IN.ZS" TargetMode="External"/><Relationship Id="rId22" Type="http://schemas.openxmlformats.org/officeDocument/2006/relationships/hyperlink" Target="https://data.worldbank.org/indicator/IP.PAT.NRES" TargetMode="External"/></Relationships>
</file>

<file path=xl/worksheets/_rels/sheet3.xml.rels><?xml version="1.0" encoding="UTF-8" standalone="yes"?>
<Relationships xmlns="http://schemas.openxmlformats.org/package/2006/relationships"><Relationship Id="rId8" Type="http://schemas.openxmlformats.org/officeDocument/2006/relationships/hyperlink" Target="https://data.worldbank.org/indicator/SL.UEM.TOTL.ZS" TargetMode="External"/><Relationship Id="rId13" Type="http://schemas.openxmlformats.org/officeDocument/2006/relationships/hyperlink" Target="https://data.worldbank.org/indicator/SP.POP.65UP.TO.ZS" TargetMode="External"/><Relationship Id="rId18" Type="http://schemas.openxmlformats.org/officeDocument/2006/relationships/hyperlink" Target="https://data.worldbank.org/indicator/AG.SRF.TOTL.K2" TargetMode="External"/><Relationship Id="rId26" Type="http://schemas.openxmlformats.org/officeDocument/2006/relationships/hyperlink" Target="https://data.worldbank.org/indicator/TX.VAL.TECH.CD" TargetMode="External"/><Relationship Id="rId3" Type="http://schemas.openxmlformats.org/officeDocument/2006/relationships/hyperlink" Target="https://data.worldbank.org/indicator/NY.GDP.MKTP.CD" TargetMode="External"/><Relationship Id="rId21" Type="http://schemas.openxmlformats.org/officeDocument/2006/relationships/hyperlink" Target="https://data.worldbank.org/indicator/AG.LND.FRST.ZS" TargetMode="External"/><Relationship Id="rId7" Type="http://schemas.openxmlformats.org/officeDocument/2006/relationships/hyperlink" Target="https://data.worldbank.org/indicator/FP.CPI.TOTL.ZG" TargetMode="External"/><Relationship Id="rId12" Type="http://schemas.openxmlformats.org/officeDocument/2006/relationships/hyperlink" Target="https://data.worldbank.org/indicator/SP.POP.TOTL.FE.ZS" TargetMode="External"/><Relationship Id="rId17" Type="http://schemas.openxmlformats.org/officeDocument/2006/relationships/hyperlink" Target="https://data.worldbank.org/indicator/SE.ADT.LITR.ZS" TargetMode="External"/><Relationship Id="rId25" Type="http://schemas.openxmlformats.org/officeDocument/2006/relationships/hyperlink" Target="https://data.worldbank.org/indicator/IP.PAT.NRES" TargetMode="External"/><Relationship Id="rId2" Type="http://schemas.openxmlformats.org/officeDocument/2006/relationships/hyperlink" Target="https://data.worldbank.org/indicator/NE.CON.GOVT.ZS" TargetMode="External"/><Relationship Id="rId16" Type="http://schemas.openxmlformats.org/officeDocument/2006/relationships/hyperlink" Target="https://data.worldbank.org/indicator/SP.URB.TOTL.IN.ZS" TargetMode="External"/><Relationship Id="rId20" Type="http://schemas.openxmlformats.org/officeDocument/2006/relationships/hyperlink" Target="https://data.worldbank.org/indicator/AG.LND.ARBL.ZS" TargetMode="External"/><Relationship Id="rId29" Type="http://schemas.openxmlformats.org/officeDocument/2006/relationships/hyperlink" Target="https://data.worldbank.org/indicator/SM.POP.NETM" TargetMode="External"/><Relationship Id="rId1" Type="http://schemas.openxmlformats.org/officeDocument/2006/relationships/hyperlink" Target="https://data.worldbank.org/indicator/NE.CON.GOVT.CD" TargetMode="External"/><Relationship Id="rId6" Type="http://schemas.openxmlformats.org/officeDocument/2006/relationships/hyperlink" Target="https://data.worldbank.org/indicator/NY.GDP.PCAP.PP.CD" TargetMode="External"/><Relationship Id="rId11" Type="http://schemas.openxmlformats.org/officeDocument/2006/relationships/hyperlink" Target="https://data.worldbank.org/indicator/SP.POP.TOTL" TargetMode="External"/><Relationship Id="rId24" Type="http://schemas.openxmlformats.org/officeDocument/2006/relationships/hyperlink" Target="https://data.worldbank.org/indicator/IP.PAT.RESD" TargetMode="External"/><Relationship Id="rId32" Type="http://schemas.openxmlformats.org/officeDocument/2006/relationships/comments" Target="../comments2.xml"/><Relationship Id="rId5" Type="http://schemas.openxmlformats.org/officeDocument/2006/relationships/hyperlink" Target="https://data.worldbank.org/indicator/NY.GDP.MKTP.PP.CD" TargetMode="External"/><Relationship Id="rId15" Type="http://schemas.openxmlformats.org/officeDocument/2006/relationships/hyperlink" Target="https://data.worldbank.org/indicator/SP.DYN.LE00.IN" TargetMode="External"/><Relationship Id="rId23" Type="http://schemas.openxmlformats.org/officeDocument/2006/relationships/hyperlink" Target="https://data.worldbank.org/indicator/IP.JRN.ARTC.SC" TargetMode="External"/><Relationship Id="rId28" Type="http://schemas.openxmlformats.org/officeDocument/2006/relationships/hyperlink" Target="https://pgav.org.au/file/14545/6389" TargetMode="External"/><Relationship Id="rId10" Type="http://schemas.openxmlformats.org/officeDocument/2006/relationships/hyperlink" Target="https://data.worldbank.org/indicator/BX.KLT.DINV.CD.WD" TargetMode="External"/><Relationship Id="rId19" Type="http://schemas.openxmlformats.org/officeDocument/2006/relationships/hyperlink" Target="https://data.worldbank.org/indicator/AG.LND.AGRI.ZS" TargetMode="External"/><Relationship Id="rId31" Type="http://schemas.openxmlformats.org/officeDocument/2006/relationships/vmlDrawing" Target="../drawings/vmlDrawing2.vml"/><Relationship Id="rId4" Type="http://schemas.openxmlformats.org/officeDocument/2006/relationships/hyperlink" Target="https://data.worldbank.org/indicator/NY.GDP.PCAP.CD" TargetMode="External"/><Relationship Id="rId9" Type="http://schemas.openxmlformats.org/officeDocument/2006/relationships/hyperlink" Target="https://www.imf.org/external/datamapper/DEBT1@DEBT/FAD_G20Adv/FAD_G20Emg/FAD_LIC/CAN" TargetMode="External"/><Relationship Id="rId14" Type="http://schemas.openxmlformats.org/officeDocument/2006/relationships/hyperlink" Target="https://data.worldbank.org/indicator/EN.POP.DNST" TargetMode="External"/><Relationship Id="rId22" Type="http://schemas.openxmlformats.org/officeDocument/2006/relationships/hyperlink" Target="https://data.worldbank.org/indicator/AG.LND.TOTL.K2" TargetMode="External"/><Relationship Id="rId27" Type="http://schemas.openxmlformats.org/officeDocument/2006/relationships/hyperlink" Target="https://data.worldbank.org/indicator/GB.XPD.RSDV.GD.ZS" TargetMode="External"/><Relationship Id="rId30" Type="http://schemas.openxmlformats.org/officeDocument/2006/relationships/hyperlink" Target="https://data.worldbank.org/indicator/SM.POP.TOTL" TargetMode="External"/></Relationships>
</file>

<file path=xl/worksheets/_rels/sheet4.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51BC22-A495-464E-81D9-3601B85C387C}">
  <sheetPr>
    <tabColor rgb="FFFFFF00"/>
  </sheetPr>
  <dimension ref="A1:E5286"/>
  <sheetViews>
    <sheetView workbookViewId="0">
      <pane ySplit="1" topLeftCell="A956" activePane="bottomLeft" state="frozen"/>
      <selection pane="bottomLeft" activeCell="B966" sqref="B966"/>
    </sheetView>
  </sheetViews>
  <sheetFormatPr defaultRowHeight="15" x14ac:dyDescent="0.25"/>
  <cols>
    <col min="1" max="1" width="36" bestFit="1" customWidth="1"/>
    <col min="2" max="2" width="28.42578125" bestFit="1" customWidth="1"/>
    <col min="3" max="3" width="8" bestFit="1" customWidth="1"/>
    <col min="4" max="4" width="5.28515625" bestFit="1" customWidth="1"/>
    <col min="5" max="5" width="40.140625" bestFit="1" customWidth="1"/>
  </cols>
  <sheetData>
    <row r="1" spans="1:5" ht="21" x14ac:dyDescent="0.35">
      <c r="A1" s="63" t="s">
        <v>8</v>
      </c>
      <c r="B1" s="12" t="s">
        <v>0</v>
      </c>
      <c r="C1" s="12" t="s">
        <v>6</v>
      </c>
      <c r="D1" s="61" t="s">
        <v>458</v>
      </c>
      <c r="E1" s="62" t="s">
        <v>459</v>
      </c>
    </row>
    <row r="2" spans="1:5" x14ac:dyDescent="0.25">
      <c r="A2" t="s">
        <v>47</v>
      </c>
      <c r="B2" t="s">
        <v>388</v>
      </c>
      <c r="C2">
        <v>86.5</v>
      </c>
      <c r="D2">
        <f>IF(ROW() = 2, 1, IF(B2 = B1, D1 + 1, 1))</f>
        <v>1</v>
      </c>
      <c r="E2" t="str">
        <f>_xlfn.CONCAT(D2, ". ", A2)</f>
        <v>1. Cote d'Ivoire</v>
      </c>
    </row>
    <row r="3" spans="1:5" x14ac:dyDescent="0.25">
      <c r="A3" t="s">
        <v>198</v>
      </c>
      <c r="B3" t="s">
        <v>388</v>
      </c>
      <c r="C3">
        <v>84.2</v>
      </c>
      <c r="D3">
        <f t="shared" ref="D3:D66" si="0">IF(ROW() = 2, 1, IF(B3 = B2, D2 + 1, 1))</f>
        <v>2</v>
      </c>
      <c r="E3" t="str">
        <f t="shared" ref="E3:E66" si="1">_xlfn.CONCAT(D3, ". ", A3)</f>
        <v>2. Turkmenistan</v>
      </c>
    </row>
    <row r="4" spans="1:5" x14ac:dyDescent="0.25">
      <c r="A4" t="s">
        <v>23</v>
      </c>
      <c r="B4" t="s">
        <v>388</v>
      </c>
      <c r="C4">
        <v>83.9</v>
      </c>
      <c r="D4">
        <f t="shared" si="0"/>
        <v>3</v>
      </c>
      <c r="E4" t="str">
        <f t="shared" si="1"/>
        <v>3. Burundi</v>
      </c>
    </row>
    <row r="5" spans="1:5" x14ac:dyDescent="0.25">
      <c r="A5" t="s">
        <v>208</v>
      </c>
      <c r="B5" t="s">
        <v>388</v>
      </c>
      <c r="C5">
        <v>81.400000000000006</v>
      </c>
      <c r="D5">
        <f t="shared" si="0"/>
        <v>4</v>
      </c>
      <c r="E5" t="str">
        <f t="shared" si="1"/>
        <v>4. Uruguay</v>
      </c>
    </row>
    <row r="6" spans="1:5" x14ac:dyDescent="0.25">
      <c r="A6" t="s">
        <v>173</v>
      </c>
      <c r="B6" t="s">
        <v>388</v>
      </c>
      <c r="C6">
        <v>80.8</v>
      </c>
      <c r="D6">
        <f t="shared" si="0"/>
        <v>5</v>
      </c>
      <c r="E6" t="str">
        <f t="shared" si="1"/>
        <v>5. Saudi Arabia</v>
      </c>
    </row>
    <row r="7" spans="1:5" x14ac:dyDescent="0.25">
      <c r="A7" t="s">
        <v>107</v>
      </c>
      <c r="B7" t="s">
        <v>388</v>
      </c>
      <c r="C7">
        <v>79.400000000000006</v>
      </c>
      <c r="D7">
        <f t="shared" si="0"/>
        <v>6</v>
      </c>
      <c r="E7" t="str">
        <f t="shared" si="1"/>
        <v>6. Kazakhstan</v>
      </c>
    </row>
    <row r="8" spans="1:5" x14ac:dyDescent="0.25">
      <c r="A8" t="s">
        <v>218</v>
      </c>
      <c r="B8" t="s">
        <v>388</v>
      </c>
      <c r="C8">
        <v>79.400000000000006</v>
      </c>
      <c r="D8">
        <f t="shared" si="0"/>
        <v>7</v>
      </c>
      <c r="E8" t="str">
        <f t="shared" si="1"/>
        <v>7. South Africa</v>
      </c>
    </row>
    <row r="9" spans="1:5" x14ac:dyDescent="0.25">
      <c r="A9" t="s">
        <v>122</v>
      </c>
      <c r="B9" t="s">
        <v>388</v>
      </c>
      <c r="C9">
        <v>77.8</v>
      </c>
      <c r="D9">
        <f t="shared" si="0"/>
        <v>8</v>
      </c>
      <c r="E9" t="str">
        <f t="shared" si="1"/>
        <v>8. Lesotho</v>
      </c>
    </row>
    <row r="10" spans="1:5" x14ac:dyDescent="0.25">
      <c r="A10" t="s">
        <v>172</v>
      </c>
      <c r="B10" t="s">
        <v>388</v>
      </c>
      <c r="C10">
        <v>76.3</v>
      </c>
      <c r="D10">
        <f t="shared" si="0"/>
        <v>9</v>
      </c>
      <c r="E10" t="str">
        <f t="shared" si="1"/>
        <v>9. Rwanda</v>
      </c>
    </row>
    <row r="11" spans="1:5" x14ac:dyDescent="0.25">
      <c r="A11" t="s">
        <v>149</v>
      </c>
      <c r="B11" t="s">
        <v>388</v>
      </c>
      <c r="C11">
        <v>76.2</v>
      </c>
      <c r="D11">
        <f t="shared" si="0"/>
        <v>10</v>
      </c>
      <c r="E11" t="str">
        <f t="shared" si="1"/>
        <v>10. Nigeria</v>
      </c>
    </row>
    <row r="12" spans="1:5" x14ac:dyDescent="0.25">
      <c r="A12" t="s">
        <v>129</v>
      </c>
      <c r="B12" t="s">
        <v>388</v>
      </c>
      <c r="C12">
        <v>74.099999999999994</v>
      </c>
      <c r="D12">
        <f t="shared" si="0"/>
        <v>11</v>
      </c>
      <c r="E12" t="str">
        <f t="shared" si="1"/>
        <v>11. Moldova</v>
      </c>
    </row>
    <row r="13" spans="1:5" x14ac:dyDescent="0.25">
      <c r="A13" t="s">
        <v>192</v>
      </c>
      <c r="B13" t="s">
        <v>388</v>
      </c>
      <c r="C13">
        <v>74.099999999999994</v>
      </c>
      <c r="D13">
        <f t="shared" si="0"/>
        <v>12</v>
      </c>
      <c r="E13" t="str">
        <f t="shared" si="1"/>
        <v>12. Syrian Arab Republic</v>
      </c>
    </row>
    <row r="14" spans="1:5" x14ac:dyDescent="0.25">
      <c r="A14" t="s">
        <v>61</v>
      </c>
      <c r="B14" t="s">
        <v>388</v>
      </c>
      <c r="C14">
        <v>73.5</v>
      </c>
      <c r="D14">
        <f t="shared" si="0"/>
        <v>13</v>
      </c>
      <c r="E14" t="str">
        <f t="shared" si="1"/>
        <v>13. Djibouti</v>
      </c>
    </row>
    <row r="15" spans="1:5" x14ac:dyDescent="0.25">
      <c r="A15" t="s">
        <v>80</v>
      </c>
      <c r="B15" t="s">
        <v>388</v>
      </c>
      <c r="C15">
        <v>73.2</v>
      </c>
      <c r="D15">
        <f t="shared" si="0"/>
        <v>14</v>
      </c>
      <c r="E15" t="str">
        <f t="shared" si="1"/>
        <v>14. Guinea</v>
      </c>
    </row>
    <row r="16" spans="1:5" x14ac:dyDescent="0.25">
      <c r="A16" t="s">
        <v>27</v>
      </c>
      <c r="B16" t="s">
        <v>388</v>
      </c>
      <c r="C16">
        <v>72.3</v>
      </c>
      <c r="D16">
        <f t="shared" si="0"/>
        <v>15</v>
      </c>
      <c r="E16" t="str">
        <f t="shared" si="1"/>
        <v>15. Bangladesh</v>
      </c>
    </row>
    <row r="17" spans="1:5" x14ac:dyDescent="0.25">
      <c r="A17" t="s">
        <v>206</v>
      </c>
      <c r="B17" t="s">
        <v>388</v>
      </c>
      <c r="C17">
        <v>71.900000000000006</v>
      </c>
      <c r="D17">
        <f t="shared" si="0"/>
        <v>16</v>
      </c>
      <c r="E17" t="str">
        <f t="shared" si="1"/>
        <v>16. Uganda</v>
      </c>
    </row>
    <row r="18" spans="1:5" x14ac:dyDescent="0.25">
      <c r="A18" t="s">
        <v>52</v>
      </c>
      <c r="B18" t="s">
        <v>388</v>
      </c>
      <c r="C18">
        <v>71.5</v>
      </c>
      <c r="D18">
        <f t="shared" si="0"/>
        <v>17</v>
      </c>
      <c r="E18" t="str">
        <f t="shared" si="1"/>
        <v>17. Comoros</v>
      </c>
    </row>
    <row r="19" spans="1:5" x14ac:dyDescent="0.25">
      <c r="A19" t="s">
        <v>207</v>
      </c>
      <c r="B19" t="s">
        <v>388</v>
      </c>
      <c r="C19">
        <v>71.3</v>
      </c>
      <c r="D19">
        <f t="shared" si="0"/>
        <v>18</v>
      </c>
      <c r="E19" t="str">
        <f t="shared" si="1"/>
        <v>18. Ukraine</v>
      </c>
    </row>
    <row r="20" spans="1:5" x14ac:dyDescent="0.25">
      <c r="A20" t="s">
        <v>130</v>
      </c>
      <c r="B20" t="s">
        <v>388</v>
      </c>
      <c r="C20">
        <v>70.3</v>
      </c>
      <c r="D20">
        <f t="shared" si="0"/>
        <v>19</v>
      </c>
      <c r="E20" t="str">
        <f t="shared" si="1"/>
        <v>19. Madagascar</v>
      </c>
    </row>
    <row r="21" spans="1:5" x14ac:dyDescent="0.25">
      <c r="A21" t="s">
        <v>222</v>
      </c>
      <c r="B21" t="s">
        <v>388</v>
      </c>
      <c r="C21">
        <v>70.3</v>
      </c>
      <c r="D21">
        <f t="shared" si="0"/>
        <v>20</v>
      </c>
      <c r="E21" t="str">
        <f t="shared" si="1"/>
        <v>20. Somalia, Fed. Rep.</v>
      </c>
    </row>
    <row r="22" spans="1:5" x14ac:dyDescent="0.25">
      <c r="A22" t="s">
        <v>77</v>
      </c>
      <c r="B22" t="s">
        <v>388</v>
      </c>
      <c r="C22">
        <v>70.3</v>
      </c>
      <c r="D22">
        <f t="shared" si="0"/>
        <v>21</v>
      </c>
      <c r="E22" t="str">
        <f t="shared" si="1"/>
        <v>21. United Kingdom</v>
      </c>
    </row>
    <row r="23" spans="1:5" x14ac:dyDescent="0.25">
      <c r="A23" t="s">
        <v>195</v>
      </c>
      <c r="B23" t="s">
        <v>388</v>
      </c>
      <c r="C23">
        <v>70.2</v>
      </c>
      <c r="D23">
        <f t="shared" si="0"/>
        <v>22</v>
      </c>
      <c r="E23" t="str">
        <f t="shared" si="1"/>
        <v>22. Togo</v>
      </c>
    </row>
    <row r="24" spans="1:5" x14ac:dyDescent="0.25">
      <c r="A24" t="s">
        <v>74</v>
      </c>
      <c r="B24" t="s">
        <v>388</v>
      </c>
      <c r="C24">
        <v>70.099999999999994</v>
      </c>
      <c r="D24">
        <f t="shared" si="0"/>
        <v>23</v>
      </c>
      <c r="E24" t="str">
        <f t="shared" si="1"/>
        <v>23. Faroe Islands</v>
      </c>
    </row>
    <row r="25" spans="1:5" x14ac:dyDescent="0.25">
      <c r="A25" t="s">
        <v>189</v>
      </c>
      <c r="B25" t="s">
        <v>388</v>
      </c>
      <c r="C25">
        <v>69.5</v>
      </c>
      <c r="D25">
        <f t="shared" si="0"/>
        <v>24</v>
      </c>
      <c r="E25" t="str">
        <f t="shared" si="1"/>
        <v>24. Eswatini</v>
      </c>
    </row>
    <row r="26" spans="1:5" x14ac:dyDescent="0.25">
      <c r="A26" t="s">
        <v>96</v>
      </c>
      <c r="B26" t="s">
        <v>388</v>
      </c>
      <c r="C26">
        <v>69.099999999999994</v>
      </c>
      <c r="D26">
        <f t="shared" si="0"/>
        <v>25</v>
      </c>
      <c r="E26" t="str">
        <f t="shared" si="1"/>
        <v>25. Isle of Man</v>
      </c>
    </row>
    <row r="27" spans="1:5" x14ac:dyDescent="0.25">
      <c r="A27" t="s">
        <v>139</v>
      </c>
      <c r="B27" t="s">
        <v>388</v>
      </c>
      <c r="C27">
        <v>69</v>
      </c>
      <c r="D27">
        <f t="shared" si="0"/>
        <v>26</v>
      </c>
      <c r="E27" t="str">
        <f t="shared" si="1"/>
        <v>26. Mongolia</v>
      </c>
    </row>
    <row r="28" spans="1:5" x14ac:dyDescent="0.25">
      <c r="A28" t="s">
        <v>127</v>
      </c>
      <c r="B28" t="s">
        <v>388</v>
      </c>
      <c r="C28">
        <v>66.7</v>
      </c>
      <c r="D28">
        <f t="shared" si="0"/>
        <v>27</v>
      </c>
      <c r="E28" t="str">
        <f t="shared" si="1"/>
        <v>27. Morocco</v>
      </c>
    </row>
    <row r="29" spans="1:5" x14ac:dyDescent="0.25">
      <c r="A29" t="s">
        <v>116</v>
      </c>
      <c r="B29" t="s">
        <v>388</v>
      </c>
      <c r="C29">
        <v>65.900000000000006</v>
      </c>
      <c r="D29">
        <f t="shared" si="0"/>
        <v>28</v>
      </c>
      <c r="E29" t="str">
        <f t="shared" si="1"/>
        <v>28. Lebanon</v>
      </c>
    </row>
    <row r="30" spans="1:5" x14ac:dyDescent="0.25">
      <c r="A30" t="s">
        <v>63</v>
      </c>
      <c r="B30" t="s">
        <v>388</v>
      </c>
      <c r="C30">
        <v>65.5</v>
      </c>
      <c r="D30">
        <f t="shared" si="0"/>
        <v>29</v>
      </c>
      <c r="E30" t="str">
        <f t="shared" si="1"/>
        <v>29. Denmark</v>
      </c>
    </row>
    <row r="31" spans="1:5" x14ac:dyDescent="0.25">
      <c r="A31" t="s">
        <v>93</v>
      </c>
      <c r="B31" t="s">
        <v>388</v>
      </c>
      <c r="C31">
        <v>65.099999999999994</v>
      </c>
      <c r="D31">
        <f t="shared" si="0"/>
        <v>30</v>
      </c>
      <c r="E31" t="str">
        <f t="shared" si="1"/>
        <v>30. Haiti</v>
      </c>
    </row>
    <row r="32" spans="1:5" x14ac:dyDescent="0.25">
      <c r="A32" t="s">
        <v>167</v>
      </c>
      <c r="B32" t="s">
        <v>388</v>
      </c>
      <c r="C32">
        <v>64.900000000000006</v>
      </c>
      <c r="D32">
        <f t="shared" si="0"/>
        <v>31</v>
      </c>
      <c r="E32" t="str">
        <f t="shared" si="1"/>
        <v>31. West Bank and Gaza</v>
      </c>
    </row>
    <row r="33" spans="1:5" x14ac:dyDescent="0.25">
      <c r="A33" t="s">
        <v>144</v>
      </c>
      <c r="B33" t="s">
        <v>388</v>
      </c>
      <c r="C33">
        <v>64.2</v>
      </c>
      <c r="D33">
        <f t="shared" si="0"/>
        <v>32</v>
      </c>
      <c r="E33" t="str">
        <f t="shared" si="1"/>
        <v>32. Malawi</v>
      </c>
    </row>
    <row r="34" spans="1:5" x14ac:dyDescent="0.25">
      <c r="A34" t="s">
        <v>224</v>
      </c>
      <c r="B34" t="s">
        <v>388</v>
      </c>
      <c r="C34">
        <v>62.7</v>
      </c>
      <c r="D34">
        <f t="shared" si="0"/>
        <v>33</v>
      </c>
      <c r="E34" t="str">
        <f t="shared" si="1"/>
        <v>33. Eritrea</v>
      </c>
    </row>
    <row r="35" spans="1:5" x14ac:dyDescent="0.25">
      <c r="A35" t="s">
        <v>81</v>
      </c>
      <c r="B35" t="s">
        <v>388</v>
      </c>
      <c r="C35">
        <v>62.6</v>
      </c>
      <c r="D35">
        <f t="shared" si="0"/>
        <v>34</v>
      </c>
      <c r="E35" t="str">
        <f t="shared" si="1"/>
        <v>34. Gambia, The</v>
      </c>
    </row>
    <row r="36" spans="1:5" x14ac:dyDescent="0.25">
      <c r="A36" t="s">
        <v>202</v>
      </c>
      <c r="B36" t="s">
        <v>388</v>
      </c>
      <c r="C36">
        <v>62.4</v>
      </c>
      <c r="D36">
        <f t="shared" si="0"/>
        <v>35</v>
      </c>
      <c r="E36" t="str">
        <f t="shared" si="1"/>
        <v>35. Tunisia</v>
      </c>
    </row>
    <row r="37" spans="1:5" x14ac:dyDescent="0.25">
      <c r="A37" t="s">
        <v>55</v>
      </c>
      <c r="B37" t="s">
        <v>388</v>
      </c>
      <c r="C37">
        <v>61.7</v>
      </c>
      <c r="D37">
        <f t="shared" si="0"/>
        <v>36</v>
      </c>
      <c r="E37" t="str">
        <f t="shared" si="1"/>
        <v>36. Cuba</v>
      </c>
    </row>
    <row r="38" spans="1:5" x14ac:dyDescent="0.25">
      <c r="A38" t="s">
        <v>98</v>
      </c>
      <c r="B38" t="s">
        <v>388</v>
      </c>
      <c r="C38">
        <v>60.8</v>
      </c>
      <c r="D38">
        <f t="shared" si="0"/>
        <v>37</v>
      </c>
      <c r="E38" t="str">
        <f t="shared" si="1"/>
        <v>37. Ireland</v>
      </c>
    </row>
    <row r="39" spans="1:5" x14ac:dyDescent="0.25">
      <c r="A39" t="s">
        <v>174</v>
      </c>
      <c r="B39" t="s">
        <v>388</v>
      </c>
      <c r="C39">
        <v>60.3</v>
      </c>
      <c r="D39">
        <f t="shared" si="0"/>
        <v>38</v>
      </c>
      <c r="E39" t="str">
        <f t="shared" si="1"/>
        <v>38. Sudan</v>
      </c>
    </row>
    <row r="40" spans="1:5" x14ac:dyDescent="0.25">
      <c r="A40" t="s">
        <v>97</v>
      </c>
      <c r="B40" t="s">
        <v>388</v>
      </c>
      <c r="C40">
        <v>60.1</v>
      </c>
      <c r="D40">
        <f t="shared" si="0"/>
        <v>39</v>
      </c>
      <c r="E40" t="str">
        <f t="shared" si="1"/>
        <v>39. India</v>
      </c>
    </row>
    <row r="41" spans="1:5" x14ac:dyDescent="0.25">
      <c r="A41" t="s">
        <v>204</v>
      </c>
      <c r="B41" t="s">
        <v>388</v>
      </c>
      <c r="C41">
        <v>60</v>
      </c>
      <c r="D41">
        <f t="shared" si="0"/>
        <v>40</v>
      </c>
      <c r="E41" t="str">
        <f t="shared" si="1"/>
        <v>40. Tuvalu</v>
      </c>
    </row>
    <row r="42" spans="1:5" x14ac:dyDescent="0.25">
      <c r="A42" t="s">
        <v>17</v>
      </c>
      <c r="B42" t="s">
        <v>388</v>
      </c>
      <c r="C42">
        <v>58.6</v>
      </c>
      <c r="D42">
        <f t="shared" si="0"/>
        <v>41</v>
      </c>
      <c r="E42" t="str">
        <f t="shared" si="1"/>
        <v>41. Armenia</v>
      </c>
    </row>
    <row r="43" spans="1:5" x14ac:dyDescent="0.25">
      <c r="A43" t="s">
        <v>11</v>
      </c>
      <c r="B43" t="s">
        <v>388</v>
      </c>
      <c r="C43">
        <v>58.4</v>
      </c>
      <c r="D43">
        <f t="shared" si="0"/>
        <v>42</v>
      </c>
      <c r="E43" t="str">
        <f t="shared" si="1"/>
        <v>42. Afghanistan</v>
      </c>
    </row>
    <row r="44" spans="1:5" x14ac:dyDescent="0.25">
      <c r="A44" t="s">
        <v>210</v>
      </c>
      <c r="B44" t="s">
        <v>388</v>
      </c>
      <c r="C44">
        <v>58.1</v>
      </c>
      <c r="D44">
        <f t="shared" si="0"/>
        <v>43</v>
      </c>
      <c r="E44" t="str">
        <f t="shared" si="1"/>
        <v>43. Uzbekistan</v>
      </c>
    </row>
    <row r="45" spans="1:5" x14ac:dyDescent="0.25">
      <c r="A45" t="s">
        <v>22</v>
      </c>
      <c r="B45" t="s">
        <v>388</v>
      </c>
      <c r="C45">
        <v>57.8</v>
      </c>
      <c r="D45">
        <f t="shared" si="0"/>
        <v>44</v>
      </c>
      <c r="E45" t="str">
        <f t="shared" si="1"/>
        <v>44. Azerbaijan</v>
      </c>
    </row>
    <row r="46" spans="1:5" x14ac:dyDescent="0.25">
      <c r="A46" t="s">
        <v>179</v>
      </c>
      <c r="B46" t="s">
        <v>388</v>
      </c>
      <c r="C46">
        <v>57.7</v>
      </c>
      <c r="D46">
        <f t="shared" si="0"/>
        <v>45</v>
      </c>
      <c r="E46" t="str">
        <f t="shared" si="1"/>
        <v>45. El Salvador</v>
      </c>
    </row>
    <row r="47" spans="1:5" x14ac:dyDescent="0.25">
      <c r="A47" t="s">
        <v>94</v>
      </c>
      <c r="B47" t="s">
        <v>388</v>
      </c>
      <c r="C47">
        <v>55.7</v>
      </c>
      <c r="D47">
        <f t="shared" si="0"/>
        <v>46</v>
      </c>
      <c r="E47" t="str">
        <f t="shared" si="1"/>
        <v>46. Hungary</v>
      </c>
    </row>
    <row r="48" spans="1:5" x14ac:dyDescent="0.25">
      <c r="A48" t="s">
        <v>46</v>
      </c>
      <c r="B48" t="s">
        <v>388</v>
      </c>
      <c r="C48">
        <v>55.4</v>
      </c>
      <c r="D48">
        <f t="shared" si="0"/>
        <v>47</v>
      </c>
      <c r="E48" t="str">
        <f t="shared" si="1"/>
        <v>47. China</v>
      </c>
    </row>
    <row r="49" spans="1:5" x14ac:dyDescent="0.25">
      <c r="A49" t="s">
        <v>64</v>
      </c>
      <c r="B49" t="s">
        <v>388</v>
      </c>
      <c r="C49">
        <v>55.4</v>
      </c>
      <c r="D49">
        <f t="shared" si="0"/>
        <v>48</v>
      </c>
      <c r="E49" t="str">
        <f t="shared" si="1"/>
        <v>48. Dominican Republic</v>
      </c>
    </row>
    <row r="50" spans="1:5" x14ac:dyDescent="0.25">
      <c r="A50" t="s">
        <v>79</v>
      </c>
      <c r="B50" t="s">
        <v>388</v>
      </c>
      <c r="C50">
        <v>55.4</v>
      </c>
      <c r="D50">
        <f t="shared" si="0"/>
        <v>49</v>
      </c>
      <c r="E50" t="str">
        <f t="shared" si="1"/>
        <v>49. Ghana</v>
      </c>
    </row>
    <row r="51" spans="1:5" x14ac:dyDescent="0.25">
      <c r="A51" t="s">
        <v>170</v>
      </c>
      <c r="B51" t="s">
        <v>388</v>
      </c>
      <c r="C51">
        <v>55.3</v>
      </c>
      <c r="D51">
        <f t="shared" si="0"/>
        <v>50</v>
      </c>
      <c r="E51" t="str">
        <f t="shared" si="1"/>
        <v>50. Romania</v>
      </c>
    </row>
    <row r="52" spans="1:5" x14ac:dyDescent="0.25">
      <c r="A52" t="s">
        <v>178</v>
      </c>
      <c r="B52" t="s">
        <v>388</v>
      </c>
      <c r="C52">
        <v>54.7</v>
      </c>
      <c r="D52">
        <f t="shared" si="0"/>
        <v>51</v>
      </c>
      <c r="E52" t="str">
        <f t="shared" si="1"/>
        <v>51. Sierra Leone</v>
      </c>
    </row>
    <row r="53" spans="1:5" x14ac:dyDescent="0.25">
      <c r="A53" t="s">
        <v>166</v>
      </c>
      <c r="B53" t="s">
        <v>388</v>
      </c>
      <c r="C53">
        <v>54.1</v>
      </c>
      <c r="D53">
        <f t="shared" si="0"/>
        <v>52</v>
      </c>
      <c r="E53" t="str">
        <f t="shared" si="1"/>
        <v>52. Paraguay</v>
      </c>
    </row>
    <row r="54" spans="1:5" x14ac:dyDescent="0.25">
      <c r="A54" t="s">
        <v>109</v>
      </c>
      <c r="B54" t="s">
        <v>388</v>
      </c>
      <c r="C54">
        <v>54</v>
      </c>
      <c r="D54">
        <f t="shared" si="0"/>
        <v>53</v>
      </c>
      <c r="E54" t="str">
        <f t="shared" si="1"/>
        <v>53. Kyrgyz Republic</v>
      </c>
    </row>
    <row r="55" spans="1:5" x14ac:dyDescent="0.25">
      <c r="A55" t="s">
        <v>151</v>
      </c>
      <c r="B55" t="s">
        <v>388</v>
      </c>
      <c r="C55">
        <v>53.5</v>
      </c>
      <c r="D55">
        <f t="shared" si="0"/>
        <v>54</v>
      </c>
      <c r="E55" t="str">
        <f t="shared" si="1"/>
        <v>54. Netherlands</v>
      </c>
    </row>
    <row r="56" spans="1:5" x14ac:dyDescent="0.25">
      <c r="A56" t="s">
        <v>26</v>
      </c>
      <c r="B56" t="s">
        <v>388</v>
      </c>
      <c r="C56">
        <v>53.4</v>
      </c>
      <c r="D56">
        <f t="shared" si="0"/>
        <v>55</v>
      </c>
      <c r="E56" t="str">
        <f t="shared" si="1"/>
        <v>55. Burkina Faso</v>
      </c>
    </row>
    <row r="57" spans="1:5" x14ac:dyDescent="0.25">
      <c r="A57" t="s">
        <v>141</v>
      </c>
      <c r="B57" t="s">
        <v>388</v>
      </c>
      <c r="C57">
        <v>52.8</v>
      </c>
      <c r="D57">
        <f t="shared" si="0"/>
        <v>56</v>
      </c>
      <c r="E57" t="str">
        <f t="shared" si="1"/>
        <v>56. Mozambique</v>
      </c>
    </row>
    <row r="58" spans="1:5" x14ac:dyDescent="0.25">
      <c r="A58" t="s">
        <v>73</v>
      </c>
      <c r="B58" t="s">
        <v>388</v>
      </c>
      <c r="C58">
        <v>52.5</v>
      </c>
      <c r="D58">
        <f t="shared" si="0"/>
        <v>57</v>
      </c>
      <c r="E58" t="str">
        <f t="shared" si="1"/>
        <v>57. France</v>
      </c>
    </row>
    <row r="59" spans="1:5" x14ac:dyDescent="0.25">
      <c r="A59" t="s">
        <v>124</v>
      </c>
      <c r="B59" t="s">
        <v>388</v>
      </c>
      <c r="C59">
        <v>51.7</v>
      </c>
      <c r="D59">
        <f t="shared" si="0"/>
        <v>58</v>
      </c>
      <c r="E59" t="str">
        <f t="shared" si="1"/>
        <v>58. Luxembourg</v>
      </c>
    </row>
    <row r="60" spans="1:5" x14ac:dyDescent="0.25">
      <c r="A60" t="s">
        <v>132</v>
      </c>
      <c r="B60" t="s">
        <v>388</v>
      </c>
      <c r="C60">
        <v>50.7</v>
      </c>
      <c r="D60">
        <f t="shared" si="0"/>
        <v>59</v>
      </c>
      <c r="E60" t="str">
        <f t="shared" si="1"/>
        <v>59. Mexico</v>
      </c>
    </row>
    <row r="61" spans="1:5" x14ac:dyDescent="0.25">
      <c r="A61" t="s">
        <v>203</v>
      </c>
      <c r="B61" t="s">
        <v>388</v>
      </c>
      <c r="C61">
        <v>50.1</v>
      </c>
      <c r="D61">
        <f t="shared" si="0"/>
        <v>60</v>
      </c>
      <c r="E61" t="str">
        <f t="shared" si="1"/>
        <v>60. Turkiye</v>
      </c>
    </row>
    <row r="62" spans="1:5" x14ac:dyDescent="0.25">
      <c r="A62" t="s">
        <v>134</v>
      </c>
      <c r="B62" t="s">
        <v>388</v>
      </c>
      <c r="C62">
        <v>49.6</v>
      </c>
      <c r="D62">
        <f t="shared" si="0"/>
        <v>61</v>
      </c>
      <c r="E62" t="str">
        <f t="shared" si="1"/>
        <v>61. North Macedonia</v>
      </c>
    </row>
    <row r="63" spans="1:5" x14ac:dyDescent="0.25">
      <c r="A63" t="s">
        <v>68</v>
      </c>
      <c r="B63" t="s">
        <v>388</v>
      </c>
      <c r="C63">
        <v>49.6</v>
      </c>
      <c r="D63">
        <f t="shared" si="0"/>
        <v>62</v>
      </c>
      <c r="E63" t="str">
        <f t="shared" si="1"/>
        <v>62. Spain</v>
      </c>
    </row>
    <row r="64" spans="1:5" x14ac:dyDescent="0.25">
      <c r="A64" t="s">
        <v>108</v>
      </c>
      <c r="B64" t="s">
        <v>388</v>
      </c>
      <c r="C64">
        <v>49.5</v>
      </c>
      <c r="D64">
        <f t="shared" si="0"/>
        <v>63</v>
      </c>
      <c r="E64" t="str">
        <f t="shared" si="1"/>
        <v>63. Kenya</v>
      </c>
    </row>
    <row r="65" spans="1:5" x14ac:dyDescent="0.25">
      <c r="A65" t="s">
        <v>175</v>
      </c>
      <c r="B65" t="s">
        <v>388</v>
      </c>
      <c r="C65">
        <v>49.4</v>
      </c>
      <c r="D65">
        <f t="shared" si="0"/>
        <v>64</v>
      </c>
      <c r="E65" t="str">
        <f t="shared" si="1"/>
        <v>64. Senegal</v>
      </c>
    </row>
    <row r="66" spans="1:5" x14ac:dyDescent="0.25">
      <c r="A66" t="s">
        <v>121</v>
      </c>
      <c r="B66" t="s">
        <v>388</v>
      </c>
      <c r="C66">
        <v>48.6</v>
      </c>
      <c r="D66">
        <f t="shared" si="0"/>
        <v>65</v>
      </c>
      <c r="E66" t="str">
        <f t="shared" si="1"/>
        <v>65. Sri Lanka</v>
      </c>
    </row>
    <row r="67" spans="1:5" x14ac:dyDescent="0.25">
      <c r="A67" t="s">
        <v>200</v>
      </c>
      <c r="B67" t="s">
        <v>388</v>
      </c>
      <c r="C67">
        <v>48.6</v>
      </c>
      <c r="D67">
        <f t="shared" ref="D67:D130" si="2">IF(ROW() = 2, 1, IF(B67 = B66, D66 + 1, 1))</f>
        <v>66</v>
      </c>
      <c r="E67" t="str">
        <f t="shared" ref="E67:E130" si="3">_xlfn.CONCAT(D67, ". ", A67)</f>
        <v>66. Tonga</v>
      </c>
    </row>
    <row r="68" spans="1:5" x14ac:dyDescent="0.25">
      <c r="A68" t="s">
        <v>163</v>
      </c>
      <c r="B68" t="s">
        <v>388</v>
      </c>
      <c r="C68">
        <v>47.6</v>
      </c>
      <c r="D68">
        <f t="shared" si="2"/>
        <v>67</v>
      </c>
      <c r="E68" t="str">
        <f t="shared" si="3"/>
        <v>67. Poland</v>
      </c>
    </row>
    <row r="69" spans="1:5" x14ac:dyDescent="0.25">
      <c r="A69" t="s">
        <v>60</v>
      </c>
      <c r="B69" t="s">
        <v>388</v>
      </c>
      <c r="C69">
        <v>47.5</v>
      </c>
      <c r="D69">
        <f t="shared" si="2"/>
        <v>68</v>
      </c>
      <c r="E69" t="str">
        <f t="shared" si="3"/>
        <v>68. Germany</v>
      </c>
    </row>
    <row r="70" spans="1:5" x14ac:dyDescent="0.25">
      <c r="A70" t="s">
        <v>20</v>
      </c>
      <c r="B70" t="s">
        <v>388</v>
      </c>
      <c r="C70">
        <v>47.2</v>
      </c>
      <c r="D70">
        <f t="shared" si="2"/>
        <v>69</v>
      </c>
      <c r="E70" t="str">
        <f t="shared" si="3"/>
        <v>69. Australia</v>
      </c>
    </row>
    <row r="71" spans="1:5" x14ac:dyDescent="0.25">
      <c r="A71" t="s">
        <v>146</v>
      </c>
      <c r="B71" t="s">
        <v>388</v>
      </c>
      <c r="C71">
        <v>47.1</v>
      </c>
      <c r="D71">
        <f t="shared" si="2"/>
        <v>70</v>
      </c>
      <c r="E71" t="str">
        <f t="shared" si="3"/>
        <v>70. Namibia</v>
      </c>
    </row>
    <row r="72" spans="1:5" x14ac:dyDescent="0.25">
      <c r="A72" t="s">
        <v>157</v>
      </c>
      <c r="B72" t="s">
        <v>388</v>
      </c>
      <c r="C72">
        <v>46.7</v>
      </c>
      <c r="D72">
        <f t="shared" si="2"/>
        <v>71</v>
      </c>
      <c r="E72" t="str">
        <f t="shared" si="3"/>
        <v>71. Pakistan</v>
      </c>
    </row>
    <row r="73" spans="1:5" x14ac:dyDescent="0.25">
      <c r="A73" t="s">
        <v>28</v>
      </c>
      <c r="B73" t="s">
        <v>388</v>
      </c>
      <c r="C73">
        <v>46.1</v>
      </c>
      <c r="D73">
        <f t="shared" si="2"/>
        <v>72</v>
      </c>
      <c r="E73" t="str">
        <f t="shared" si="3"/>
        <v>72. Bulgaria</v>
      </c>
    </row>
    <row r="74" spans="1:5" x14ac:dyDescent="0.25">
      <c r="A74" t="s">
        <v>209</v>
      </c>
      <c r="B74" t="s">
        <v>388</v>
      </c>
      <c r="C74">
        <v>46.1</v>
      </c>
      <c r="D74">
        <f t="shared" si="2"/>
        <v>73</v>
      </c>
      <c r="E74" t="str">
        <f t="shared" si="3"/>
        <v>73. United States</v>
      </c>
    </row>
    <row r="75" spans="1:5" x14ac:dyDescent="0.25">
      <c r="A75" t="s">
        <v>123</v>
      </c>
      <c r="B75" t="s">
        <v>388</v>
      </c>
      <c r="C75">
        <v>45.9</v>
      </c>
      <c r="D75">
        <f t="shared" si="2"/>
        <v>74</v>
      </c>
      <c r="E75" t="str">
        <f t="shared" si="3"/>
        <v>74. Lithuania</v>
      </c>
    </row>
    <row r="76" spans="1:5" x14ac:dyDescent="0.25">
      <c r="A76" t="s">
        <v>59</v>
      </c>
      <c r="B76" t="s">
        <v>388</v>
      </c>
      <c r="C76">
        <v>45.8</v>
      </c>
      <c r="D76">
        <f t="shared" si="2"/>
        <v>75</v>
      </c>
      <c r="E76" t="str">
        <f t="shared" si="3"/>
        <v>75. Czechia</v>
      </c>
    </row>
    <row r="77" spans="1:5" x14ac:dyDescent="0.25">
      <c r="A77" t="s">
        <v>40</v>
      </c>
      <c r="B77" t="s">
        <v>388</v>
      </c>
      <c r="C77">
        <v>45.6</v>
      </c>
      <c r="D77">
        <f t="shared" si="2"/>
        <v>76</v>
      </c>
      <c r="E77" t="str">
        <f t="shared" si="3"/>
        <v>76. Botswana</v>
      </c>
    </row>
    <row r="78" spans="1:5" x14ac:dyDescent="0.25">
      <c r="A78" t="s">
        <v>183</v>
      </c>
      <c r="B78" t="s">
        <v>388</v>
      </c>
      <c r="C78">
        <v>44.9</v>
      </c>
      <c r="D78">
        <f t="shared" si="2"/>
        <v>77</v>
      </c>
      <c r="E78" t="str">
        <f t="shared" si="3"/>
        <v>77. South Sudan</v>
      </c>
    </row>
    <row r="79" spans="1:5" x14ac:dyDescent="0.25">
      <c r="A79" t="s">
        <v>184</v>
      </c>
      <c r="B79" t="s">
        <v>388</v>
      </c>
      <c r="C79">
        <v>44.8</v>
      </c>
      <c r="D79">
        <f t="shared" si="2"/>
        <v>78</v>
      </c>
      <c r="E79" t="str">
        <f t="shared" si="3"/>
        <v>78. Sao Tome and Principe</v>
      </c>
    </row>
    <row r="80" spans="1:5" x14ac:dyDescent="0.25">
      <c r="A80" t="s">
        <v>205</v>
      </c>
      <c r="B80" t="s">
        <v>388</v>
      </c>
      <c r="C80">
        <v>44.6</v>
      </c>
      <c r="D80">
        <f t="shared" si="2"/>
        <v>79</v>
      </c>
      <c r="E80" t="str">
        <f t="shared" si="3"/>
        <v>79. Tanzania</v>
      </c>
    </row>
    <row r="81" spans="1:5" x14ac:dyDescent="0.25">
      <c r="A81" t="s">
        <v>24</v>
      </c>
      <c r="B81" t="s">
        <v>388</v>
      </c>
      <c r="C81">
        <v>44.4</v>
      </c>
      <c r="D81">
        <f t="shared" si="2"/>
        <v>80</v>
      </c>
      <c r="E81" t="str">
        <f t="shared" si="3"/>
        <v>80. Belgium</v>
      </c>
    </row>
    <row r="82" spans="1:5" x14ac:dyDescent="0.25">
      <c r="A82" t="s">
        <v>217</v>
      </c>
      <c r="B82" t="s">
        <v>388</v>
      </c>
      <c r="C82">
        <v>44.4</v>
      </c>
      <c r="D82">
        <f t="shared" si="2"/>
        <v>81</v>
      </c>
      <c r="E82" t="str">
        <f t="shared" si="3"/>
        <v>81. Yemen, Rep.</v>
      </c>
    </row>
    <row r="83" spans="1:5" x14ac:dyDescent="0.25">
      <c r="A83" t="s">
        <v>103</v>
      </c>
      <c r="B83" t="s">
        <v>388</v>
      </c>
      <c r="C83">
        <v>44.3</v>
      </c>
      <c r="D83">
        <f t="shared" si="2"/>
        <v>82</v>
      </c>
      <c r="E83" t="str">
        <f t="shared" si="3"/>
        <v>82. Italy</v>
      </c>
    </row>
    <row r="84" spans="1:5" x14ac:dyDescent="0.25">
      <c r="A84" t="s">
        <v>196</v>
      </c>
      <c r="B84" t="s">
        <v>388</v>
      </c>
      <c r="C84">
        <v>43.8</v>
      </c>
      <c r="D84">
        <f t="shared" si="2"/>
        <v>83</v>
      </c>
      <c r="E84" t="str">
        <f t="shared" si="3"/>
        <v>83. Thailand</v>
      </c>
    </row>
    <row r="85" spans="1:5" x14ac:dyDescent="0.25">
      <c r="A85" t="s">
        <v>165</v>
      </c>
      <c r="B85" t="s">
        <v>388</v>
      </c>
      <c r="C85">
        <v>43.3</v>
      </c>
      <c r="D85">
        <f t="shared" si="2"/>
        <v>84</v>
      </c>
      <c r="E85" t="str">
        <f t="shared" si="3"/>
        <v>84. Portugal</v>
      </c>
    </row>
    <row r="86" spans="1:5" x14ac:dyDescent="0.25">
      <c r="A86" t="s">
        <v>87</v>
      </c>
      <c r="B86" t="s">
        <v>388</v>
      </c>
      <c r="C86">
        <v>43</v>
      </c>
      <c r="D86">
        <f t="shared" si="2"/>
        <v>85</v>
      </c>
      <c r="E86" t="str">
        <f t="shared" si="3"/>
        <v>85. Guatemala</v>
      </c>
    </row>
    <row r="87" spans="1:5" x14ac:dyDescent="0.25">
      <c r="A87" t="s">
        <v>143</v>
      </c>
      <c r="B87" t="s">
        <v>388</v>
      </c>
      <c r="C87">
        <v>43</v>
      </c>
      <c r="D87">
        <f t="shared" si="2"/>
        <v>86</v>
      </c>
      <c r="E87" t="str">
        <f t="shared" si="3"/>
        <v>86. Mauritius</v>
      </c>
    </row>
    <row r="88" spans="1:5" x14ac:dyDescent="0.25">
      <c r="A88" t="s">
        <v>160</v>
      </c>
      <c r="B88" t="s">
        <v>388</v>
      </c>
      <c r="C88">
        <v>42.7</v>
      </c>
      <c r="D88">
        <f t="shared" si="2"/>
        <v>87</v>
      </c>
      <c r="E88" t="str">
        <f t="shared" si="3"/>
        <v>87. Philippines</v>
      </c>
    </row>
    <row r="89" spans="1:5" x14ac:dyDescent="0.25">
      <c r="A89" t="s">
        <v>16</v>
      </c>
      <c r="B89" t="s">
        <v>388</v>
      </c>
      <c r="C89">
        <v>42.4</v>
      </c>
      <c r="D89">
        <f t="shared" si="2"/>
        <v>88</v>
      </c>
      <c r="E89" t="str">
        <f t="shared" si="3"/>
        <v>88. Argentina</v>
      </c>
    </row>
    <row r="90" spans="1:5" x14ac:dyDescent="0.25">
      <c r="A90" t="s">
        <v>150</v>
      </c>
      <c r="B90" t="s">
        <v>388</v>
      </c>
      <c r="C90">
        <v>42.3</v>
      </c>
      <c r="D90">
        <f t="shared" si="2"/>
        <v>89</v>
      </c>
      <c r="E90" t="str">
        <f t="shared" si="3"/>
        <v>89. Nicaragua</v>
      </c>
    </row>
    <row r="91" spans="1:5" x14ac:dyDescent="0.25">
      <c r="A91" t="s">
        <v>111</v>
      </c>
      <c r="B91" t="s">
        <v>388</v>
      </c>
      <c r="C91">
        <v>42</v>
      </c>
      <c r="D91">
        <f t="shared" si="2"/>
        <v>90</v>
      </c>
      <c r="E91" t="str">
        <f t="shared" si="3"/>
        <v>90. Kiribati</v>
      </c>
    </row>
    <row r="92" spans="1:5" x14ac:dyDescent="0.25">
      <c r="A92" t="s">
        <v>25</v>
      </c>
      <c r="B92" t="s">
        <v>388</v>
      </c>
      <c r="C92">
        <v>41.8</v>
      </c>
      <c r="D92">
        <f t="shared" si="2"/>
        <v>91</v>
      </c>
      <c r="E92" t="str">
        <f t="shared" si="3"/>
        <v>91. Benin</v>
      </c>
    </row>
    <row r="93" spans="1:5" x14ac:dyDescent="0.25">
      <c r="A93" t="s">
        <v>220</v>
      </c>
      <c r="B93" t="s">
        <v>388</v>
      </c>
      <c r="C93">
        <v>41.8</v>
      </c>
      <c r="D93">
        <f t="shared" si="2"/>
        <v>92</v>
      </c>
      <c r="E93" t="str">
        <f t="shared" si="3"/>
        <v>92. Zimbabwe</v>
      </c>
    </row>
    <row r="94" spans="1:5" x14ac:dyDescent="0.25">
      <c r="A94" t="s">
        <v>84</v>
      </c>
      <c r="B94" t="s">
        <v>388</v>
      </c>
      <c r="C94">
        <v>41.7</v>
      </c>
      <c r="D94">
        <f t="shared" si="2"/>
        <v>93</v>
      </c>
      <c r="E94" t="str">
        <f t="shared" si="3"/>
        <v>93. Greece</v>
      </c>
    </row>
    <row r="95" spans="1:5" x14ac:dyDescent="0.25">
      <c r="A95" t="s">
        <v>182</v>
      </c>
      <c r="B95" t="s">
        <v>388</v>
      </c>
      <c r="C95">
        <v>40.4</v>
      </c>
      <c r="D95">
        <f t="shared" si="2"/>
        <v>94</v>
      </c>
      <c r="E95" t="str">
        <f t="shared" si="3"/>
        <v>94. Serbia</v>
      </c>
    </row>
    <row r="96" spans="1:5" x14ac:dyDescent="0.25">
      <c r="A96" t="s">
        <v>194</v>
      </c>
      <c r="B96" t="s">
        <v>388</v>
      </c>
      <c r="C96">
        <v>40</v>
      </c>
      <c r="D96">
        <f t="shared" si="2"/>
        <v>95</v>
      </c>
      <c r="E96" t="str">
        <f t="shared" si="3"/>
        <v>95. Chad</v>
      </c>
    </row>
    <row r="97" spans="1:5" x14ac:dyDescent="0.25">
      <c r="A97" t="s">
        <v>14</v>
      </c>
      <c r="B97" t="s">
        <v>388</v>
      </c>
      <c r="C97">
        <v>39.9</v>
      </c>
      <c r="D97">
        <f t="shared" si="2"/>
        <v>96</v>
      </c>
      <c r="E97" t="str">
        <f t="shared" si="3"/>
        <v>96. Andorra</v>
      </c>
    </row>
    <row r="98" spans="1:5" x14ac:dyDescent="0.25">
      <c r="A98" t="s">
        <v>32</v>
      </c>
      <c r="B98" t="s">
        <v>388</v>
      </c>
      <c r="C98">
        <v>39.6</v>
      </c>
      <c r="D98">
        <f t="shared" si="2"/>
        <v>97</v>
      </c>
      <c r="E98" t="str">
        <f t="shared" si="3"/>
        <v>97. Belarus</v>
      </c>
    </row>
    <row r="99" spans="1:5" x14ac:dyDescent="0.25">
      <c r="A99" t="s">
        <v>213</v>
      </c>
      <c r="B99" t="s">
        <v>388</v>
      </c>
      <c r="C99">
        <v>39.200000000000003</v>
      </c>
      <c r="D99">
        <f t="shared" si="2"/>
        <v>98</v>
      </c>
      <c r="E99" t="str">
        <f t="shared" si="3"/>
        <v>98. Viet Nam</v>
      </c>
    </row>
    <row r="100" spans="1:5" x14ac:dyDescent="0.25">
      <c r="A100" t="s">
        <v>133</v>
      </c>
      <c r="B100" t="s">
        <v>388</v>
      </c>
      <c r="C100">
        <v>38.9</v>
      </c>
      <c r="D100">
        <f t="shared" si="2"/>
        <v>99</v>
      </c>
      <c r="E100" t="str">
        <f t="shared" si="3"/>
        <v>99. Marshall Islands</v>
      </c>
    </row>
    <row r="101" spans="1:5" x14ac:dyDescent="0.25">
      <c r="A101" t="s">
        <v>104</v>
      </c>
      <c r="B101" t="s">
        <v>388</v>
      </c>
      <c r="C101">
        <v>38.5</v>
      </c>
      <c r="D101">
        <f t="shared" si="2"/>
        <v>100</v>
      </c>
      <c r="E101" t="str">
        <f t="shared" si="3"/>
        <v>100. Jamaica</v>
      </c>
    </row>
    <row r="102" spans="1:5" x14ac:dyDescent="0.25">
      <c r="A102" t="s">
        <v>142</v>
      </c>
      <c r="B102" t="s">
        <v>388</v>
      </c>
      <c r="C102">
        <v>38.5</v>
      </c>
      <c r="D102">
        <f t="shared" si="2"/>
        <v>101</v>
      </c>
      <c r="E102" t="str">
        <f t="shared" si="3"/>
        <v>101. Mauritania</v>
      </c>
    </row>
    <row r="103" spans="1:5" x14ac:dyDescent="0.25">
      <c r="A103" t="s">
        <v>180</v>
      </c>
      <c r="B103" t="s">
        <v>388</v>
      </c>
      <c r="C103">
        <v>38.299999999999997</v>
      </c>
      <c r="D103">
        <f t="shared" si="2"/>
        <v>102</v>
      </c>
      <c r="E103" t="str">
        <f t="shared" si="3"/>
        <v>102. San Marino</v>
      </c>
    </row>
    <row r="104" spans="1:5" x14ac:dyDescent="0.25">
      <c r="A104" t="s">
        <v>13</v>
      </c>
      <c r="B104" t="s">
        <v>388</v>
      </c>
      <c r="C104">
        <v>38.1</v>
      </c>
      <c r="D104">
        <f t="shared" si="2"/>
        <v>103</v>
      </c>
      <c r="E104" t="str">
        <f t="shared" si="3"/>
        <v>103. Albania</v>
      </c>
    </row>
    <row r="105" spans="1:5" x14ac:dyDescent="0.25">
      <c r="A105" t="s">
        <v>186</v>
      </c>
      <c r="B105" t="s">
        <v>388</v>
      </c>
      <c r="C105">
        <v>38</v>
      </c>
      <c r="D105">
        <f t="shared" si="2"/>
        <v>104</v>
      </c>
      <c r="E105" t="str">
        <f t="shared" si="3"/>
        <v>104. Slovak Republic</v>
      </c>
    </row>
    <row r="106" spans="1:5" x14ac:dyDescent="0.25">
      <c r="A106" t="s">
        <v>43</v>
      </c>
      <c r="B106" t="s">
        <v>388</v>
      </c>
      <c r="C106">
        <v>37.799999999999997</v>
      </c>
      <c r="D106">
        <f t="shared" si="2"/>
        <v>105</v>
      </c>
      <c r="E106" t="str">
        <f t="shared" si="3"/>
        <v>105. Switzerland</v>
      </c>
    </row>
    <row r="107" spans="1:5" x14ac:dyDescent="0.25">
      <c r="A107" t="s">
        <v>12</v>
      </c>
      <c r="B107" t="s">
        <v>388</v>
      </c>
      <c r="C107">
        <v>36.9</v>
      </c>
      <c r="D107">
        <f t="shared" si="2"/>
        <v>106</v>
      </c>
      <c r="E107" t="str">
        <f t="shared" si="3"/>
        <v>106. Angola</v>
      </c>
    </row>
    <row r="108" spans="1:5" x14ac:dyDescent="0.25">
      <c r="A108" t="s">
        <v>155</v>
      </c>
      <c r="B108" t="s">
        <v>388</v>
      </c>
      <c r="C108">
        <v>36.9</v>
      </c>
      <c r="D108">
        <f t="shared" si="2"/>
        <v>107</v>
      </c>
      <c r="E108" t="str">
        <f t="shared" si="3"/>
        <v>107. New Zealand</v>
      </c>
    </row>
    <row r="109" spans="1:5" x14ac:dyDescent="0.25">
      <c r="A109" t="s">
        <v>148</v>
      </c>
      <c r="B109" t="s">
        <v>388</v>
      </c>
      <c r="C109">
        <v>36.799999999999997</v>
      </c>
      <c r="D109">
        <f t="shared" si="2"/>
        <v>108</v>
      </c>
      <c r="E109" t="str">
        <f t="shared" si="3"/>
        <v>108. Niger</v>
      </c>
    </row>
    <row r="110" spans="1:5" x14ac:dyDescent="0.25">
      <c r="A110" t="s">
        <v>51</v>
      </c>
      <c r="B110" t="s">
        <v>388</v>
      </c>
      <c r="C110">
        <v>36.5</v>
      </c>
      <c r="D110">
        <f t="shared" si="2"/>
        <v>109</v>
      </c>
      <c r="E110" t="str">
        <f t="shared" si="3"/>
        <v>109. Colombia</v>
      </c>
    </row>
    <row r="111" spans="1:5" x14ac:dyDescent="0.25">
      <c r="A111" t="s">
        <v>35</v>
      </c>
      <c r="B111" t="s">
        <v>388</v>
      </c>
      <c r="C111">
        <v>35.799999999999997</v>
      </c>
      <c r="D111">
        <f t="shared" si="2"/>
        <v>110</v>
      </c>
      <c r="E111" t="str">
        <f t="shared" si="3"/>
        <v>110. Bolivia</v>
      </c>
    </row>
    <row r="112" spans="1:5" x14ac:dyDescent="0.25">
      <c r="A112" t="s">
        <v>135</v>
      </c>
      <c r="B112" t="s">
        <v>388</v>
      </c>
      <c r="C112">
        <v>35.5</v>
      </c>
      <c r="D112">
        <f t="shared" si="2"/>
        <v>111</v>
      </c>
      <c r="E112" t="str">
        <f t="shared" si="3"/>
        <v>111. Mali</v>
      </c>
    </row>
    <row r="113" spans="1:5" x14ac:dyDescent="0.25">
      <c r="A113" t="s">
        <v>110</v>
      </c>
      <c r="B113" t="s">
        <v>388</v>
      </c>
      <c r="C113">
        <v>34.9</v>
      </c>
      <c r="D113">
        <f t="shared" si="2"/>
        <v>112</v>
      </c>
      <c r="E113" t="str">
        <f t="shared" si="3"/>
        <v>112. Cambodia</v>
      </c>
    </row>
    <row r="114" spans="1:5" x14ac:dyDescent="0.25">
      <c r="A114" t="s">
        <v>70</v>
      </c>
      <c r="B114" t="s">
        <v>388</v>
      </c>
      <c r="C114">
        <v>34.1</v>
      </c>
      <c r="D114">
        <f t="shared" si="2"/>
        <v>113</v>
      </c>
      <c r="E114" t="str">
        <f t="shared" si="3"/>
        <v>113. Ethiopia</v>
      </c>
    </row>
    <row r="115" spans="1:5" x14ac:dyDescent="0.25">
      <c r="A115" t="s">
        <v>78</v>
      </c>
      <c r="B115" t="s">
        <v>388</v>
      </c>
      <c r="C115">
        <v>34.1</v>
      </c>
      <c r="D115">
        <f t="shared" si="2"/>
        <v>114</v>
      </c>
      <c r="E115" t="str">
        <f t="shared" si="3"/>
        <v>114. Georgia</v>
      </c>
    </row>
    <row r="116" spans="1:5" x14ac:dyDescent="0.25">
      <c r="A116" t="s">
        <v>62</v>
      </c>
      <c r="B116" t="s">
        <v>388</v>
      </c>
      <c r="C116">
        <v>33.299999999999997</v>
      </c>
      <c r="D116">
        <f t="shared" si="2"/>
        <v>115</v>
      </c>
      <c r="E116" t="str">
        <f t="shared" si="3"/>
        <v>115. Dominica</v>
      </c>
    </row>
    <row r="117" spans="1:5" x14ac:dyDescent="0.25">
      <c r="A117" t="s">
        <v>54</v>
      </c>
      <c r="B117" t="s">
        <v>388</v>
      </c>
      <c r="C117">
        <v>33.1</v>
      </c>
      <c r="D117">
        <f t="shared" si="2"/>
        <v>116</v>
      </c>
      <c r="E117" t="str">
        <f t="shared" si="3"/>
        <v>116. Costa Rica</v>
      </c>
    </row>
    <row r="118" spans="1:5" x14ac:dyDescent="0.25">
      <c r="A118" t="s">
        <v>120</v>
      </c>
      <c r="B118" t="s">
        <v>388</v>
      </c>
      <c r="C118">
        <v>32.299999999999997</v>
      </c>
      <c r="D118">
        <f t="shared" si="2"/>
        <v>117</v>
      </c>
      <c r="E118" t="str">
        <f t="shared" si="3"/>
        <v>117. Liechtenstein</v>
      </c>
    </row>
    <row r="119" spans="1:5" x14ac:dyDescent="0.25">
      <c r="A119" t="s">
        <v>219</v>
      </c>
      <c r="B119" t="s">
        <v>388</v>
      </c>
      <c r="C119">
        <v>32.1</v>
      </c>
      <c r="D119">
        <f t="shared" si="2"/>
        <v>118</v>
      </c>
      <c r="E119" t="str">
        <f t="shared" si="3"/>
        <v>118. Zambia</v>
      </c>
    </row>
    <row r="120" spans="1:5" x14ac:dyDescent="0.25">
      <c r="A120" t="s">
        <v>91</v>
      </c>
      <c r="B120" t="s">
        <v>388</v>
      </c>
      <c r="C120">
        <v>32</v>
      </c>
      <c r="D120">
        <f t="shared" si="2"/>
        <v>119</v>
      </c>
      <c r="E120" t="str">
        <f t="shared" si="3"/>
        <v>119. Honduras</v>
      </c>
    </row>
    <row r="121" spans="1:5" x14ac:dyDescent="0.25">
      <c r="A121" t="s">
        <v>125</v>
      </c>
      <c r="B121" t="s">
        <v>388</v>
      </c>
      <c r="C121">
        <v>31.7</v>
      </c>
      <c r="D121">
        <f t="shared" si="2"/>
        <v>120</v>
      </c>
      <c r="E121" t="str">
        <f t="shared" si="3"/>
        <v>120. Latvia</v>
      </c>
    </row>
    <row r="122" spans="1:5" x14ac:dyDescent="0.25">
      <c r="A122" t="s">
        <v>21</v>
      </c>
      <c r="B122" t="s">
        <v>388</v>
      </c>
      <c r="C122">
        <v>31.5</v>
      </c>
      <c r="D122">
        <f t="shared" si="2"/>
        <v>121</v>
      </c>
      <c r="E122" t="str">
        <f t="shared" si="3"/>
        <v>121. Austria</v>
      </c>
    </row>
    <row r="123" spans="1:5" x14ac:dyDescent="0.25">
      <c r="A123" t="s">
        <v>50</v>
      </c>
      <c r="B123" t="s">
        <v>388</v>
      </c>
      <c r="C123">
        <v>31.2</v>
      </c>
      <c r="D123">
        <f t="shared" si="2"/>
        <v>122</v>
      </c>
      <c r="E123" t="str">
        <f t="shared" si="3"/>
        <v>122. Congo, Rep.</v>
      </c>
    </row>
    <row r="124" spans="1:5" x14ac:dyDescent="0.25">
      <c r="A124" t="s">
        <v>187</v>
      </c>
      <c r="B124" t="s">
        <v>388</v>
      </c>
      <c r="C124">
        <v>30.4</v>
      </c>
      <c r="D124">
        <f t="shared" si="2"/>
        <v>123</v>
      </c>
      <c r="E124" t="str">
        <f t="shared" si="3"/>
        <v>123. Slovenia</v>
      </c>
    </row>
    <row r="125" spans="1:5" x14ac:dyDescent="0.25">
      <c r="A125" t="s">
        <v>82</v>
      </c>
      <c r="B125" t="s">
        <v>388</v>
      </c>
      <c r="C125">
        <v>29.9</v>
      </c>
      <c r="D125">
        <f t="shared" si="2"/>
        <v>124</v>
      </c>
      <c r="E125" t="str">
        <f t="shared" si="3"/>
        <v>124. Guinea-Bissau</v>
      </c>
    </row>
    <row r="126" spans="1:5" x14ac:dyDescent="0.25">
      <c r="A126" t="s">
        <v>88</v>
      </c>
      <c r="B126" t="s">
        <v>388</v>
      </c>
      <c r="C126">
        <v>29.6</v>
      </c>
      <c r="D126">
        <f t="shared" si="2"/>
        <v>125</v>
      </c>
      <c r="E126" t="str">
        <f t="shared" si="3"/>
        <v>125. Guam</v>
      </c>
    </row>
    <row r="127" spans="1:5" x14ac:dyDescent="0.25">
      <c r="A127" t="s">
        <v>158</v>
      </c>
      <c r="B127" t="s">
        <v>388</v>
      </c>
      <c r="C127">
        <v>29.5</v>
      </c>
      <c r="D127">
        <f t="shared" si="2"/>
        <v>126</v>
      </c>
      <c r="E127" t="str">
        <f t="shared" si="3"/>
        <v>126. Panama</v>
      </c>
    </row>
    <row r="128" spans="1:5" x14ac:dyDescent="0.25">
      <c r="A128" t="s">
        <v>95</v>
      </c>
      <c r="B128" t="s">
        <v>388</v>
      </c>
      <c r="C128">
        <v>29.1</v>
      </c>
      <c r="D128">
        <f t="shared" si="2"/>
        <v>127</v>
      </c>
      <c r="E128" t="str">
        <f t="shared" si="3"/>
        <v>127. Indonesia</v>
      </c>
    </row>
    <row r="129" spans="1:5" x14ac:dyDescent="0.25">
      <c r="A129" t="s">
        <v>99</v>
      </c>
      <c r="B129" t="s">
        <v>388</v>
      </c>
      <c r="C129">
        <v>29</v>
      </c>
      <c r="D129">
        <f t="shared" si="2"/>
        <v>128</v>
      </c>
      <c r="E129" t="str">
        <f t="shared" si="3"/>
        <v>128. Iran, Islamic Rep.</v>
      </c>
    </row>
    <row r="130" spans="1:5" x14ac:dyDescent="0.25">
      <c r="A130" t="s">
        <v>36</v>
      </c>
      <c r="B130" t="s">
        <v>388</v>
      </c>
      <c r="C130">
        <v>28.3</v>
      </c>
      <c r="D130">
        <f t="shared" si="2"/>
        <v>129</v>
      </c>
      <c r="E130" t="str">
        <f t="shared" si="3"/>
        <v>129. Brazil</v>
      </c>
    </row>
    <row r="131" spans="1:5" x14ac:dyDescent="0.25">
      <c r="A131" t="s">
        <v>197</v>
      </c>
      <c r="B131" t="s">
        <v>388</v>
      </c>
      <c r="C131">
        <v>27.9</v>
      </c>
      <c r="D131">
        <f t="shared" ref="D131:D194" si="4">IF(ROW() = 2, 1, IF(B131 = B130, D130 + 1, 1))</f>
        <v>130</v>
      </c>
      <c r="E131" t="str">
        <f t="shared" ref="E131:E194" si="5">_xlfn.CONCAT(D131, ". ", A131)</f>
        <v>130. Tajikistan</v>
      </c>
    </row>
    <row r="132" spans="1:5" x14ac:dyDescent="0.25">
      <c r="A132" t="s">
        <v>92</v>
      </c>
      <c r="B132" t="s">
        <v>388</v>
      </c>
      <c r="C132">
        <v>26.6</v>
      </c>
      <c r="D132">
        <f t="shared" si="4"/>
        <v>131</v>
      </c>
      <c r="E132" t="str">
        <f t="shared" si="5"/>
        <v>131. Croatia</v>
      </c>
    </row>
    <row r="133" spans="1:5" x14ac:dyDescent="0.25">
      <c r="A133" t="s">
        <v>145</v>
      </c>
      <c r="B133" t="s">
        <v>388</v>
      </c>
      <c r="C133">
        <v>26.1</v>
      </c>
      <c r="D133">
        <f t="shared" si="4"/>
        <v>132</v>
      </c>
      <c r="E133" t="str">
        <f t="shared" si="5"/>
        <v>132. Malaysia</v>
      </c>
    </row>
    <row r="134" spans="1:5" x14ac:dyDescent="0.25">
      <c r="A134" t="s">
        <v>153</v>
      </c>
      <c r="B134" t="s">
        <v>388</v>
      </c>
      <c r="C134">
        <v>26.1</v>
      </c>
      <c r="D134">
        <f t="shared" si="4"/>
        <v>133</v>
      </c>
      <c r="E134" t="str">
        <f t="shared" si="5"/>
        <v>133. Nepal</v>
      </c>
    </row>
    <row r="135" spans="1:5" x14ac:dyDescent="0.25">
      <c r="A135" t="s">
        <v>136</v>
      </c>
      <c r="B135" t="s">
        <v>388</v>
      </c>
      <c r="C135">
        <v>25.9</v>
      </c>
      <c r="D135">
        <f t="shared" si="4"/>
        <v>134</v>
      </c>
      <c r="E135" t="str">
        <f t="shared" si="5"/>
        <v>134. Malta</v>
      </c>
    </row>
    <row r="136" spans="1:5" x14ac:dyDescent="0.25">
      <c r="A136" t="s">
        <v>102</v>
      </c>
      <c r="B136" t="s">
        <v>388</v>
      </c>
      <c r="C136">
        <v>24.8</v>
      </c>
      <c r="D136">
        <f t="shared" si="4"/>
        <v>135</v>
      </c>
      <c r="E136" t="str">
        <f t="shared" si="5"/>
        <v>135. Israel</v>
      </c>
    </row>
    <row r="137" spans="1:5" x14ac:dyDescent="0.25">
      <c r="A137" t="s">
        <v>223</v>
      </c>
      <c r="B137" t="s">
        <v>388</v>
      </c>
      <c r="C137">
        <v>24.4</v>
      </c>
      <c r="D137">
        <f t="shared" si="4"/>
        <v>136</v>
      </c>
      <c r="E137" t="str">
        <f t="shared" si="5"/>
        <v>136. Venezuela, RB</v>
      </c>
    </row>
    <row r="138" spans="1:5" x14ac:dyDescent="0.25">
      <c r="A138" t="s">
        <v>85</v>
      </c>
      <c r="B138" t="s">
        <v>388</v>
      </c>
      <c r="C138">
        <v>23.5</v>
      </c>
      <c r="D138">
        <f t="shared" si="4"/>
        <v>137</v>
      </c>
      <c r="E138" t="str">
        <f t="shared" si="5"/>
        <v>137. Grenada</v>
      </c>
    </row>
    <row r="139" spans="1:5" x14ac:dyDescent="0.25">
      <c r="A139" t="s">
        <v>37</v>
      </c>
      <c r="B139" t="s">
        <v>388</v>
      </c>
      <c r="C139">
        <v>23.3</v>
      </c>
      <c r="D139">
        <f t="shared" si="4"/>
        <v>138</v>
      </c>
      <c r="E139" t="str">
        <f t="shared" si="5"/>
        <v>138. Barbados</v>
      </c>
    </row>
    <row r="140" spans="1:5" x14ac:dyDescent="0.25">
      <c r="A140" t="s">
        <v>69</v>
      </c>
      <c r="B140" t="s">
        <v>388</v>
      </c>
      <c r="C140">
        <v>23.1</v>
      </c>
      <c r="D140">
        <f t="shared" si="4"/>
        <v>139</v>
      </c>
      <c r="E140" t="str">
        <f t="shared" si="5"/>
        <v>139. Estonia</v>
      </c>
    </row>
    <row r="141" spans="1:5" x14ac:dyDescent="0.25">
      <c r="A141" t="s">
        <v>112</v>
      </c>
      <c r="B141" t="s">
        <v>388</v>
      </c>
      <c r="C141">
        <v>23.1</v>
      </c>
      <c r="D141">
        <f t="shared" si="4"/>
        <v>140</v>
      </c>
      <c r="E141" t="str">
        <f t="shared" si="5"/>
        <v>140. St. Kitts and Nevis</v>
      </c>
    </row>
    <row r="142" spans="1:5" x14ac:dyDescent="0.25">
      <c r="A142" t="s">
        <v>199</v>
      </c>
      <c r="B142" t="s">
        <v>388</v>
      </c>
      <c r="C142">
        <v>23</v>
      </c>
      <c r="D142">
        <f t="shared" si="4"/>
        <v>141</v>
      </c>
      <c r="E142" t="str">
        <f t="shared" si="5"/>
        <v>141. Timor-Leste</v>
      </c>
    </row>
    <row r="143" spans="1:5" x14ac:dyDescent="0.25">
      <c r="A143" t="s">
        <v>100</v>
      </c>
      <c r="B143" t="s">
        <v>388</v>
      </c>
      <c r="C143">
        <v>21.8</v>
      </c>
      <c r="D143">
        <f t="shared" si="4"/>
        <v>142</v>
      </c>
      <c r="E143" t="str">
        <f t="shared" si="5"/>
        <v>142. Iraq</v>
      </c>
    </row>
    <row r="144" spans="1:5" x14ac:dyDescent="0.25">
      <c r="A144" t="s">
        <v>31</v>
      </c>
      <c r="B144" t="s">
        <v>388</v>
      </c>
      <c r="C144">
        <v>21.7</v>
      </c>
      <c r="D144">
        <f t="shared" si="4"/>
        <v>143</v>
      </c>
      <c r="E144" t="str">
        <f t="shared" si="5"/>
        <v>143. Bosnia and Herzegovina</v>
      </c>
    </row>
    <row r="145" spans="1:5" x14ac:dyDescent="0.25">
      <c r="A145" t="s">
        <v>385</v>
      </c>
      <c r="B145" t="s">
        <v>388</v>
      </c>
      <c r="C145">
        <v>21.6</v>
      </c>
      <c r="D145">
        <f t="shared" si="4"/>
        <v>144</v>
      </c>
      <c r="E145" t="str">
        <f t="shared" si="5"/>
        <v>144. Korea, Dem. People's Rep.</v>
      </c>
    </row>
    <row r="146" spans="1:5" x14ac:dyDescent="0.25">
      <c r="A146" t="s">
        <v>66</v>
      </c>
      <c r="B146" t="s">
        <v>388</v>
      </c>
      <c r="C146">
        <v>21.5</v>
      </c>
      <c r="D146">
        <f t="shared" si="4"/>
        <v>145</v>
      </c>
      <c r="E146" t="str">
        <f t="shared" si="5"/>
        <v>145. Ecuador</v>
      </c>
    </row>
    <row r="147" spans="1:5" x14ac:dyDescent="0.25">
      <c r="A147" t="s">
        <v>48</v>
      </c>
      <c r="B147" t="s">
        <v>388</v>
      </c>
      <c r="C147">
        <v>20.9</v>
      </c>
      <c r="D147">
        <f t="shared" si="4"/>
        <v>146</v>
      </c>
      <c r="E147" t="str">
        <f t="shared" si="5"/>
        <v>146. Cameroon</v>
      </c>
    </row>
    <row r="148" spans="1:5" x14ac:dyDescent="0.25">
      <c r="A148" t="s">
        <v>19</v>
      </c>
      <c r="B148" t="s">
        <v>388</v>
      </c>
      <c r="C148">
        <v>20.5</v>
      </c>
      <c r="D148">
        <f t="shared" si="4"/>
        <v>147</v>
      </c>
      <c r="E148" t="str">
        <f t="shared" si="5"/>
        <v>147. Antigua and Barbuda</v>
      </c>
    </row>
    <row r="149" spans="1:5" x14ac:dyDescent="0.25">
      <c r="A149" t="s">
        <v>117</v>
      </c>
      <c r="B149" t="s">
        <v>388</v>
      </c>
      <c r="C149">
        <v>20</v>
      </c>
      <c r="D149">
        <f t="shared" si="4"/>
        <v>148</v>
      </c>
      <c r="E149" t="str">
        <f t="shared" si="5"/>
        <v>148. Liberia</v>
      </c>
    </row>
    <row r="150" spans="1:5" x14ac:dyDescent="0.25">
      <c r="A150" t="s">
        <v>154</v>
      </c>
      <c r="B150" t="s">
        <v>388</v>
      </c>
      <c r="C150">
        <v>20</v>
      </c>
      <c r="D150">
        <f t="shared" si="4"/>
        <v>149</v>
      </c>
      <c r="E150" t="str">
        <f t="shared" si="5"/>
        <v>149. Nauru</v>
      </c>
    </row>
    <row r="151" spans="1:5" x14ac:dyDescent="0.25">
      <c r="A151" t="s">
        <v>137</v>
      </c>
      <c r="B151" t="s">
        <v>388</v>
      </c>
      <c r="C151">
        <v>19.899999999999999</v>
      </c>
      <c r="D151">
        <f t="shared" si="4"/>
        <v>150</v>
      </c>
      <c r="E151" t="str">
        <f t="shared" si="5"/>
        <v>150. Myanmar</v>
      </c>
    </row>
    <row r="152" spans="1:5" x14ac:dyDescent="0.25">
      <c r="A152" t="s">
        <v>131</v>
      </c>
      <c r="B152" t="s">
        <v>388</v>
      </c>
      <c r="C152">
        <v>19.8</v>
      </c>
      <c r="D152">
        <f t="shared" si="4"/>
        <v>151</v>
      </c>
      <c r="E152" t="str">
        <f t="shared" si="5"/>
        <v>151. Maldives</v>
      </c>
    </row>
    <row r="153" spans="1:5" x14ac:dyDescent="0.25">
      <c r="A153" t="s">
        <v>53</v>
      </c>
      <c r="B153" t="s">
        <v>388</v>
      </c>
      <c r="C153">
        <v>19.600000000000001</v>
      </c>
      <c r="D153">
        <f t="shared" si="4"/>
        <v>152</v>
      </c>
      <c r="E153" t="str">
        <f t="shared" si="5"/>
        <v>152. Cabo Verde</v>
      </c>
    </row>
    <row r="154" spans="1:5" x14ac:dyDescent="0.25">
      <c r="A154" t="s">
        <v>138</v>
      </c>
      <c r="B154" t="s">
        <v>388</v>
      </c>
      <c r="C154">
        <v>19.600000000000001</v>
      </c>
      <c r="D154">
        <f t="shared" si="4"/>
        <v>153</v>
      </c>
      <c r="E154" t="str">
        <f t="shared" si="5"/>
        <v>153. Montenegro</v>
      </c>
    </row>
    <row r="155" spans="1:5" x14ac:dyDescent="0.25">
      <c r="A155" t="s">
        <v>159</v>
      </c>
      <c r="B155" t="s">
        <v>388</v>
      </c>
      <c r="C155">
        <v>19.100000000000001</v>
      </c>
      <c r="D155">
        <f t="shared" si="4"/>
        <v>154</v>
      </c>
      <c r="E155" t="str">
        <f t="shared" si="5"/>
        <v>154. Peru</v>
      </c>
    </row>
    <row r="156" spans="1:5" x14ac:dyDescent="0.25">
      <c r="A156" t="s">
        <v>164</v>
      </c>
      <c r="B156" t="s">
        <v>388</v>
      </c>
      <c r="C156">
        <v>19</v>
      </c>
      <c r="D156">
        <f t="shared" si="4"/>
        <v>155</v>
      </c>
      <c r="E156" t="str">
        <f t="shared" si="5"/>
        <v>155. Puerto Rico (US)</v>
      </c>
    </row>
    <row r="157" spans="1:5" x14ac:dyDescent="0.25">
      <c r="A157" t="s">
        <v>211</v>
      </c>
      <c r="B157" t="s">
        <v>388</v>
      </c>
      <c r="C157">
        <v>17.899999999999999</v>
      </c>
      <c r="D157">
        <f t="shared" si="4"/>
        <v>156</v>
      </c>
      <c r="E157" t="str">
        <f t="shared" si="5"/>
        <v>156. St. Vincent and the Grenadines</v>
      </c>
    </row>
    <row r="158" spans="1:5" x14ac:dyDescent="0.25">
      <c r="A158" t="s">
        <v>215</v>
      </c>
      <c r="B158" t="s">
        <v>388</v>
      </c>
      <c r="C158">
        <v>17.600000000000001</v>
      </c>
      <c r="D158">
        <f t="shared" si="4"/>
        <v>157</v>
      </c>
      <c r="E158" t="str">
        <f t="shared" si="5"/>
        <v>157. Samoa</v>
      </c>
    </row>
    <row r="159" spans="1:5" x14ac:dyDescent="0.25">
      <c r="A159" t="s">
        <v>65</v>
      </c>
      <c r="B159" t="s">
        <v>388</v>
      </c>
      <c r="C159">
        <v>17.399999999999999</v>
      </c>
      <c r="D159">
        <f t="shared" si="4"/>
        <v>158</v>
      </c>
      <c r="E159" t="str">
        <f t="shared" si="5"/>
        <v>158. Algeria</v>
      </c>
    </row>
    <row r="160" spans="1:5" x14ac:dyDescent="0.25">
      <c r="A160" t="s">
        <v>72</v>
      </c>
      <c r="B160" t="s">
        <v>388</v>
      </c>
      <c r="C160">
        <v>17.100000000000001</v>
      </c>
      <c r="D160">
        <f t="shared" si="4"/>
        <v>159</v>
      </c>
      <c r="E160" t="str">
        <f t="shared" si="5"/>
        <v>159. Fiji</v>
      </c>
    </row>
    <row r="161" spans="1:5" x14ac:dyDescent="0.25">
      <c r="A161" t="s">
        <v>119</v>
      </c>
      <c r="B161" t="s">
        <v>388</v>
      </c>
      <c r="C161">
        <v>16.3</v>
      </c>
      <c r="D161">
        <f t="shared" si="4"/>
        <v>160</v>
      </c>
      <c r="E161" t="str">
        <f t="shared" si="5"/>
        <v>160. St. Lucia</v>
      </c>
    </row>
    <row r="162" spans="1:5" x14ac:dyDescent="0.25">
      <c r="A162" t="s">
        <v>101</v>
      </c>
      <c r="B162" t="s">
        <v>388</v>
      </c>
      <c r="C162">
        <v>16.2</v>
      </c>
      <c r="D162">
        <f t="shared" si="4"/>
        <v>161</v>
      </c>
      <c r="E162" t="str">
        <f t="shared" si="5"/>
        <v>161. Iceland</v>
      </c>
    </row>
    <row r="163" spans="1:5" x14ac:dyDescent="0.25">
      <c r="A163" t="s">
        <v>113</v>
      </c>
      <c r="B163" t="s">
        <v>388</v>
      </c>
      <c r="C163">
        <v>16.100000000000001</v>
      </c>
      <c r="D163">
        <f t="shared" si="4"/>
        <v>162</v>
      </c>
      <c r="E163" t="str">
        <f t="shared" si="5"/>
        <v>162. Korea, Rep.</v>
      </c>
    </row>
    <row r="164" spans="1:5" x14ac:dyDescent="0.25">
      <c r="A164" t="s">
        <v>49</v>
      </c>
      <c r="B164" t="s">
        <v>388</v>
      </c>
      <c r="C164">
        <v>15.5</v>
      </c>
      <c r="D164">
        <f t="shared" si="4"/>
        <v>163</v>
      </c>
      <c r="E164" t="str">
        <f t="shared" si="5"/>
        <v>163. Congo, Dem. Rep.</v>
      </c>
    </row>
    <row r="165" spans="1:5" x14ac:dyDescent="0.25">
      <c r="A165" t="s">
        <v>214</v>
      </c>
      <c r="B165" t="s">
        <v>388</v>
      </c>
      <c r="C165">
        <v>15.3</v>
      </c>
      <c r="D165">
        <f t="shared" si="4"/>
        <v>164</v>
      </c>
      <c r="E165" t="str">
        <f t="shared" si="5"/>
        <v>164. Vanuatu</v>
      </c>
    </row>
    <row r="166" spans="1:5" x14ac:dyDescent="0.25">
      <c r="A166" t="s">
        <v>18</v>
      </c>
      <c r="B166" t="s">
        <v>388</v>
      </c>
      <c r="C166">
        <v>14.8</v>
      </c>
      <c r="D166">
        <f t="shared" si="4"/>
        <v>165</v>
      </c>
      <c r="E166" t="str">
        <f t="shared" si="5"/>
        <v>165. American Samoa</v>
      </c>
    </row>
    <row r="167" spans="1:5" x14ac:dyDescent="0.25">
      <c r="A167" t="s">
        <v>45</v>
      </c>
      <c r="B167" t="s">
        <v>388</v>
      </c>
      <c r="C167">
        <v>14.4</v>
      </c>
      <c r="D167">
        <f t="shared" si="4"/>
        <v>166</v>
      </c>
      <c r="E167" t="str">
        <f t="shared" si="5"/>
        <v>166. Chile</v>
      </c>
    </row>
    <row r="168" spans="1:5" x14ac:dyDescent="0.25">
      <c r="A168" t="s">
        <v>58</v>
      </c>
      <c r="B168" t="s">
        <v>388</v>
      </c>
      <c r="C168">
        <v>14</v>
      </c>
      <c r="D168">
        <f t="shared" si="4"/>
        <v>167</v>
      </c>
      <c r="E168" t="str">
        <f t="shared" si="5"/>
        <v>167. Cyprus</v>
      </c>
    </row>
    <row r="169" spans="1:5" x14ac:dyDescent="0.25">
      <c r="A169" t="s">
        <v>39</v>
      </c>
      <c r="B169" t="s">
        <v>388</v>
      </c>
      <c r="C169">
        <v>13.8</v>
      </c>
      <c r="D169">
        <f t="shared" si="4"/>
        <v>168</v>
      </c>
      <c r="E169" t="str">
        <f t="shared" si="5"/>
        <v>168. Bhutan</v>
      </c>
    </row>
    <row r="170" spans="1:5" x14ac:dyDescent="0.25">
      <c r="A170" t="s">
        <v>171</v>
      </c>
      <c r="B170" t="s">
        <v>388</v>
      </c>
      <c r="C170">
        <v>13.2</v>
      </c>
      <c r="D170">
        <f t="shared" si="4"/>
        <v>169</v>
      </c>
      <c r="E170" t="str">
        <f t="shared" si="5"/>
        <v>169. Russian Federation</v>
      </c>
    </row>
    <row r="171" spans="1:5" x14ac:dyDescent="0.25">
      <c r="A171" t="s">
        <v>106</v>
      </c>
      <c r="B171" t="s">
        <v>388</v>
      </c>
      <c r="C171">
        <v>12.6</v>
      </c>
      <c r="D171">
        <f t="shared" si="4"/>
        <v>170</v>
      </c>
      <c r="E171" t="str">
        <f t="shared" si="5"/>
        <v>170. Japan</v>
      </c>
    </row>
    <row r="172" spans="1:5" x14ac:dyDescent="0.25">
      <c r="A172" t="s">
        <v>105</v>
      </c>
      <c r="B172" t="s">
        <v>388</v>
      </c>
      <c r="C172">
        <v>11.5</v>
      </c>
      <c r="D172">
        <f t="shared" si="4"/>
        <v>171</v>
      </c>
      <c r="E172" t="str">
        <f t="shared" si="5"/>
        <v>171. Jordan</v>
      </c>
    </row>
    <row r="173" spans="1:5" x14ac:dyDescent="0.25">
      <c r="A173" t="s">
        <v>57</v>
      </c>
      <c r="B173" t="s">
        <v>388</v>
      </c>
      <c r="C173">
        <v>11.3</v>
      </c>
      <c r="D173">
        <f t="shared" si="4"/>
        <v>172</v>
      </c>
      <c r="E173" t="str">
        <f t="shared" si="5"/>
        <v>172. Cayman Islands</v>
      </c>
    </row>
    <row r="174" spans="1:5" x14ac:dyDescent="0.25">
      <c r="A174" t="s">
        <v>10</v>
      </c>
      <c r="B174" t="s">
        <v>388</v>
      </c>
      <c r="C174">
        <v>11.1</v>
      </c>
      <c r="D174">
        <f t="shared" si="4"/>
        <v>173</v>
      </c>
      <c r="E174" t="str">
        <f t="shared" si="5"/>
        <v>173. Aruba</v>
      </c>
    </row>
    <row r="175" spans="1:5" x14ac:dyDescent="0.25">
      <c r="A175" t="s">
        <v>201</v>
      </c>
      <c r="B175" t="s">
        <v>388</v>
      </c>
      <c r="C175">
        <v>10.5</v>
      </c>
      <c r="D175">
        <f t="shared" si="4"/>
        <v>174</v>
      </c>
      <c r="E175" t="str">
        <f t="shared" si="5"/>
        <v>174. Trinidad and Tobago</v>
      </c>
    </row>
    <row r="176" spans="1:5" x14ac:dyDescent="0.25">
      <c r="A176" t="s">
        <v>29</v>
      </c>
      <c r="B176" t="s">
        <v>388</v>
      </c>
      <c r="C176">
        <v>10.1</v>
      </c>
      <c r="D176">
        <f t="shared" si="4"/>
        <v>175</v>
      </c>
      <c r="E176" t="str">
        <f t="shared" si="5"/>
        <v>175. Bahrain</v>
      </c>
    </row>
    <row r="177" spans="1:5" x14ac:dyDescent="0.25">
      <c r="A177" t="s">
        <v>147</v>
      </c>
      <c r="B177" t="s">
        <v>388</v>
      </c>
      <c r="C177">
        <v>10.1</v>
      </c>
      <c r="D177">
        <f t="shared" si="4"/>
        <v>176</v>
      </c>
      <c r="E177" t="str">
        <f t="shared" si="5"/>
        <v>176. New Caledonia</v>
      </c>
    </row>
    <row r="178" spans="1:5" x14ac:dyDescent="0.25">
      <c r="A178" t="s">
        <v>115</v>
      </c>
      <c r="B178" t="s">
        <v>388</v>
      </c>
      <c r="C178">
        <v>9.9</v>
      </c>
      <c r="D178">
        <f t="shared" si="4"/>
        <v>177</v>
      </c>
      <c r="E178" t="str">
        <f t="shared" si="5"/>
        <v>177. Lao PDR</v>
      </c>
    </row>
    <row r="179" spans="1:5" x14ac:dyDescent="0.25">
      <c r="A179" t="s">
        <v>212</v>
      </c>
      <c r="B179" t="s">
        <v>388</v>
      </c>
      <c r="C179">
        <v>9.4</v>
      </c>
      <c r="D179">
        <f t="shared" si="4"/>
        <v>178</v>
      </c>
      <c r="E179" t="str">
        <f t="shared" si="5"/>
        <v>178. Virgin Islands (U.S.)</v>
      </c>
    </row>
    <row r="180" spans="1:5" x14ac:dyDescent="0.25">
      <c r="A180" t="s">
        <v>161</v>
      </c>
      <c r="B180" t="s">
        <v>388</v>
      </c>
      <c r="C180">
        <v>9.3000000000000007</v>
      </c>
      <c r="D180">
        <f t="shared" si="4"/>
        <v>179</v>
      </c>
      <c r="E180" t="str">
        <f t="shared" si="5"/>
        <v>179. Palau</v>
      </c>
    </row>
    <row r="181" spans="1:5" x14ac:dyDescent="0.25">
      <c r="A181" t="s">
        <v>41</v>
      </c>
      <c r="B181" t="s">
        <v>388</v>
      </c>
      <c r="C181">
        <v>9.1</v>
      </c>
      <c r="D181">
        <f t="shared" si="4"/>
        <v>180</v>
      </c>
      <c r="E181" t="str">
        <f t="shared" si="5"/>
        <v>180. Central African Republic</v>
      </c>
    </row>
    <row r="182" spans="1:5" x14ac:dyDescent="0.25">
      <c r="A182" t="s">
        <v>168</v>
      </c>
      <c r="B182" t="s">
        <v>388</v>
      </c>
      <c r="C182">
        <v>8.6999999999999993</v>
      </c>
      <c r="D182">
        <f t="shared" si="4"/>
        <v>181</v>
      </c>
      <c r="E182" t="str">
        <f t="shared" si="5"/>
        <v>181. French Polynesia</v>
      </c>
    </row>
    <row r="183" spans="1:5" x14ac:dyDescent="0.25">
      <c r="A183" t="s">
        <v>118</v>
      </c>
      <c r="B183" t="s">
        <v>388</v>
      </c>
      <c r="C183">
        <v>8.6999999999999993</v>
      </c>
      <c r="D183">
        <f t="shared" si="4"/>
        <v>182</v>
      </c>
      <c r="E183" t="str">
        <f t="shared" si="5"/>
        <v>182. Libya</v>
      </c>
    </row>
    <row r="184" spans="1:5" x14ac:dyDescent="0.25">
      <c r="A184" t="s">
        <v>76</v>
      </c>
      <c r="B184" t="s">
        <v>388</v>
      </c>
      <c r="C184">
        <v>8.4</v>
      </c>
      <c r="D184">
        <f t="shared" si="4"/>
        <v>183</v>
      </c>
      <c r="E184" t="str">
        <f t="shared" si="5"/>
        <v>183. Gabon</v>
      </c>
    </row>
    <row r="185" spans="1:5" x14ac:dyDescent="0.25">
      <c r="A185" t="s">
        <v>114</v>
      </c>
      <c r="B185" t="s">
        <v>388</v>
      </c>
      <c r="C185">
        <v>8.4</v>
      </c>
      <c r="D185">
        <f t="shared" si="4"/>
        <v>184</v>
      </c>
      <c r="E185" t="str">
        <f t="shared" si="5"/>
        <v>184. Kuwait</v>
      </c>
    </row>
    <row r="186" spans="1:5" x14ac:dyDescent="0.25">
      <c r="A186" t="s">
        <v>33</v>
      </c>
      <c r="B186" t="s">
        <v>388</v>
      </c>
      <c r="C186">
        <v>8</v>
      </c>
      <c r="D186">
        <f t="shared" si="4"/>
        <v>185</v>
      </c>
      <c r="E186" t="str">
        <f t="shared" si="5"/>
        <v>185. Belize</v>
      </c>
    </row>
    <row r="187" spans="1:5" x14ac:dyDescent="0.25">
      <c r="A187" t="s">
        <v>71</v>
      </c>
      <c r="B187" t="s">
        <v>388</v>
      </c>
      <c r="C187">
        <v>7.4</v>
      </c>
      <c r="D187">
        <f t="shared" si="4"/>
        <v>186</v>
      </c>
      <c r="E187" t="str">
        <f t="shared" si="5"/>
        <v>186. Finland</v>
      </c>
    </row>
    <row r="188" spans="1:5" x14ac:dyDescent="0.25">
      <c r="A188" t="s">
        <v>188</v>
      </c>
      <c r="B188" t="s">
        <v>388</v>
      </c>
      <c r="C188">
        <v>7.3</v>
      </c>
      <c r="D188">
        <f t="shared" si="4"/>
        <v>187</v>
      </c>
      <c r="E188" t="str">
        <f t="shared" si="5"/>
        <v>187. Sweden</v>
      </c>
    </row>
    <row r="189" spans="1:5" x14ac:dyDescent="0.25">
      <c r="A189" t="s">
        <v>75</v>
      </c>
      <c r="B189" t="s">
        <v>388</v>
      </c>
      <c r="C189">
        <v>7.1</v>
      </c>
      <c r="D189">
        <f t="shared" si="4"/>
        <v>188</v>
      </c>
      <c r="E189" t="str">
        <f t="shared" si="5"/>
        <v>188. Micronesia, Fed. Sts.</v>
      </c>
    </row>
    <row r="190" spans="1:5" x14ac:dyDescent="0.25">
      <c r="A190" t="s">
        <v>42</v>
      </c>
      <c r="B190" t="s">
        <v>388</v>
      </c>
      <c r="C190">
        <v>6.5</v>
      </c>
      <c r="D190">
        <f t="shared" si="4"/>
        <v>189</v>
      </c>
      <c r="E190" t="str">
        <f t="shared" si="5"/>
        <v>189. Canada</v>
      </c>
    </row>
    <row r="191" spans="1:5" x14ac:dyDescent="0.25">
      <c r="A191" t="s">
        <v>169</v>
      </c>
      <c r="B191" t="s">
        <v>388</v>
      </c>
      <c r="C191">
        <v>6.4</v>
      </c>
      <c r="D191">
        <f t="shared" si="4"/>
        <v>190</v>
      </c>
      <c r="E191" t="str">
        <f t="shared" si="5"/>
        <v>190. Qatar</v>
      </c>
    </row>
    <row r="192" spans="1:5" x14ac:dyDescent="0.25">
      <c r="A192" t="s">
        <v>34</v>
      </c>
      <c r="B192" t="s">
        <v>388</v>
      </c>
      <c r="C192">
        <v>5.6</v>
      </c>
      <c r="D192">
        <f t="shared" si="4"/>
        <v>191</v>
      </c>
      <c r="E192" t="str">
        <f t="shared" si="5"/>
        <v>191. Bermuda</v>
      </c>
    </row>
    <row r="193" spans="1:5" x14ac:dyDescent="0.25">
      <c r="A193" t="s">
        <v>15</v>
      </c>
      <c r="B193" t="s">
        <v>388</v>
      </c>
      <c r="C193">
        <v>5.5</v>
      </c>
      <c r="D193">
        <f t="shared" si="4"/>
        <v>192</v>
      </c>
      <c r="E193" t="str">
        <f t="shared" si="5"/>
        <v>192. United Arab Emirates</v>
      </c>
    </row>
    <row r="194" spans="1:5" x14ac:dyDescent="0.25">
      <c r="A194" t="s">
        <v>156</v>
      </c>
      <c r="B194" t="s">
        <v>388</v>
      </c>
      <c r="C194">
        <v>4.8</v>
      </c>
      <c r="D194">
        <f t="shared" si="4"/>
        <v>193</v>
      </c>
      <c r="E194" t="str">
        <f t="shared" si="5"/>
        <v>193. Oman</v>
      </c>
    </row>
    <row r="195" spans="1:5" x14ac:dyDescent="0.25">
      <c r="A195" t="s">
        <v>67</v>
      </c>
      <c r="B195" t="s">
        <v>388</v>
      </c>
      <c r="C195">
        <v>4.0999999999999996</v>
      </c>
      <c r="D195">
        <f t="shared" ref="D195:D258" si="6">IF(ROW() = 2, 1, IF(B195 = B194, D194 + 1, 1))</f>
        <v>194</v>
      </c>
      <c r="E195" t="str">
        <f t="shared" ref="E195:E258" si="7">_xlfn.CONCAT(D195, ". ", A195)</f>
        <v>194. Egypt, Arab Rep.</v>
      </c>
    </row>
    <row r="196" spans="1:5" x14ac:dyDescent="0.25">
      <c r="A196" t="s">
        <v>177</v>
      </c>
      <c r="B196" t="s">
        <v>388</v>
      </c>
      <c r="C196">
        <v>3.9</v>
      </c>
      <c r="D196">
        <f t="shared" si="6"/>
        <v>195</v>
      </c>
      <c r="E196" t="str">
        <f t="shared" si="7"/>
        <v>195. Solomon Islands</v>
      </c>
    </row>
    <row r="197" spans="1:5" x14ac:dyDescent="0.25">
      <c r="A197" t="s">
        <v>90</v>
      </c>
      <c r="B197" t="s">
        <v>388</v>
      </c>
      <c r="C197">
        <v>3.8</v>
      </c>
      <c r="D197">
        <f t="shared" si="6"/>
        <v>196</v>
      </c>
      <c r="E197" t="str">
        <f t="shared" si="7"/>
        <v>196. Hong Kong SAR, China</v>
      </c>
    </row>
    <row r="198" spans="1:5" x14ac:dyDescent="0.25">
      <c r="A198" t="s">
        <v>83</v>
      </c>
      <c r="B198" t="s">
        <v>388</v>
      </c>
      <c r="C198">
        <v>3.7</v>
      </c>
      <c r="D198">
        <f t="shared" si="6"/>
        <v>197</v>
      </c>
      <c r="E198" t="str">
        <f t="shared" si="7"/>
        <v>197. Equatorial Guinea</v>
      </c>
    </row>
    <row r="199" spans="1:5" x14ac:dyDescent="0.25">
      <c r="A199" t="s">
        <v>89</v>
      </c>
      <c r="B199" t="s">
        <v>388</v>
      </c>
      <c r="C199">
        <v>3.4</v>
      </c>
      <c r="D199">
        <f t="shared" si="6"/>
        <v>198</v>
      </c>
      <c r="E199" t="str">
        <f t="shared" si="7"/>
        <v>198. Guyana</v>
      </c>
    </row>
    <row r="200" spans="1:5" x14ac:dyDescent="0.25">
      <c r="A200" t="s">
        <v>191</v>
      </c>
      <c r="B200" t="s">
        <v>388</v>
      </c>
      <c r="C200">
        <v>3.4</v>
      </c>
      <c r="D200">
        <f t="shared" si="6"/>
        <v>199</v>
      </c>
      <c r="E200" t="str">
        <f t="shared" si="7"/>
        <v>199. Seychelles</v>
      </c>
    </row>
    <row r="201" spans="1:5" x14ac:dyDescent="0.25">
      <c r="A201" t="s">
        <v>162</v>
      </c>
      <c r="B201" t="s">
        <v>388</v>
      </c>
      <c r="C201">
        <v>3.1</v>
      </c>
      <c r="D201">
        <f t="shared" si="6"/>
        <v>200</v>
      </c>
      <c r="E201" t="str">
        <f t="shared" si="7"/>
        <v>200. Papua New Guinea</v>
      </c>
    </row>
    <row r="202" spans="1:5" x14ac:dyDescent="0.25">
      <c r="A202" t="s">
        <v>152</v>
      </c>
      <c r="B202" t="s">
        <v>388</v>
      </c>
      <c r="C202">
        <v>2.7</v>
      </c>
      <c r="D202">
        <f t="shared" si="6"/>
        <v>201</v>
      </c>
      <c r="E202" t="str">
        <f t="shared" si="7"/>
        <v>201. Norway</v>
      </c>
    </row>
    <row r="203" spans="1:5" x14ac:dyDescent="0.25">
      <c r="A203" t="s">
        <v>38</v>
      </c>
      <c r="B203" t="s">
        <v>388</v>
      </c>
      <c r="C203">
        <v>2.5</v>
      </c>
      <c r="D203">
        <f t="shared" si="6"/>
        <v>202</v>
      </c>
      <c r="E203" t="str">
        <f t="shared" si="7"/>
        <v>202. Brunei Darussalam</v>
      </c>
    </row>
    <row r="204" spans="1:5" x14ac:dyDescent="0.25">
      <c r="A204" t="s">
        <v>30</v>
      </c>
      <c r="B204" t="s">
        <v>388</v>
      </c>
      <c r="C204">
        <v>1.3</v>
      </c>
      <c r="D204">
        <f t="shared" si="6"/>
        <v>203</v>
      </c>
      <c r="E204" t="str">
        <f t="shared" si="7"/>
        <v>203. Bahamas, The</v>
      </c>
    </row>
    <row r="205" spans="1:5" x14ac:dyDescent="0.25">
      <c r="A205" t="s">
        <v>140</v>
      </c>
      <c r="B205" t="s">
        <v>388</v>
      </c>
      <c r="C205">
        <v>1.2</v>
      </c>
      <c r="D205">
        <f t="shared" si="6"/>
        <v>204</v>
      </c>
      <c r="E205" t="str">
        <f t="shared" si="7"/>
        <v>204. Northern Mariana Islands</v>
      </c>
    </row>
    <row r="206" spans="1:5" x14ac:dyDescent="0.25">
      <c r="A206" t="s">
        <v>193</v>
      </c>
      <c r="B206" t="s">
        <v>388</v>
      </c>
      <c r="C206">
        <v>1.1000000000000001</v>
      </c>
      <c r="D206">
        <f t="shared" si="6"/>
        <v>205</v>
      </c>
      <c r="E206" t="str">
        <f t="shared" si="7"/>
        <v>205. Turks and Caicos Islands</v>
      </c>
    </row>
    <row r="207" spans="1:5" x14ac:dyDescent="0.25">
      <c r="A207" t="s">
        <v>176</v>
      </c>
      <c r="B207" t="s">
        <v>388</v>
      </c>
      <c r="C207">
        <v>0.9</v>
      </c>
      <c r="D207">
        <f t="shared" si="6"/>
        <v>206</v>
      </c>
      <c r="E207" t="str">
        <f t="shared" si="7"/>
        <v>206. Singapore</v>
      </c>
    </row>
    <row r="208" spans="1:5" x14ac:dyDescent="0.25">
      <c r="A208" t="s">
        <v>86</v>
      </c>
      <c r="B208" t="s">
        <v>388</v>
      </c>
      <c r="C208">
        <v>0.6</v>
      </c>
      <c r="D208">
        <f t="shared" si="6"/>
        <v>207</v>
      </c>
      <c r="E208" t="str">
        <f t="shared" si="7"/>
        <v>207. Greenland</v>
      </c>
    </row>
    <row r="209" spans="1:5" x14ac:dyDescent="0.25">
      <c r="A209" t="s">
        <v>185</v>
      </c>
      <c r="B209" t="s">
        <v>388</v>
      </c>
      <c r="C209">
        <v>0.4</v>
      </c>
      <c r="D209">
        <f t="shared" si="6"/>
        <v>208</v>
      </c>
      <c r="E209" t="str">
        <f t="shared" si="7"/>
        <v>208. Suriname</v>
      </c>
    </row>
    <row r="210" spans="1:5" x14ac:dyDescent="0.25">
      <c r="A210" t="s">
        <v>27</v>
      </c>
      <c r="B210" t="s">
        <v>391</v>
      </c>
      <c r="C210">
        <v>60.6</v>
      </c>
      <c r="D210">
        <f t="shared" si="6"/>
        <v>1</v>
      </c>
      <c r="E210" t="str">
        <f t="shared" si="7"/>
        <v>1. Bangladesh</v>
      </c>
    </row>
    <row r="211" spans="1:5" x14ac:dyDescent="0.25">
      <c r="A211" t="s">
        <v>63</v>
      </c>
      <c r="B211" t="s">
        <v>391</v>
      </c>
      <c r="C211">
        <v>59.1</v>
      </c>
      <c r="D211">
        <f t="shared" si="6"/>
        <v>2</v>
      </c>
      <c r="E211" t="str">
        <f t="shared" si="7"/>
        <v>2. Denmark</v>
      </c>
    </row>
    <row r="212" spans="1:5" x14ac:dyDescent="0.25">
      <c r="A212" t="s">
        <v>129</v>
      </c>
      <c r="B212" t="s">
        <v>391</v>
      </c>
      <c r="C212">
        <v>56.8</v>
      </c>
      <c r="D212">
        <f t="shared" si="6"/>
        <v>3</v>
      </c>
      <c r="E212" t="str">
        <f t="shared" si="7"/>
        <v>3. Moldova</v>
      </c>
    </row>
    <row r="213" spans="1:5" x14ac:dyDescent="0.25">
      <c r="A213" t="s">
        <v>207</v>
      </c>
      <c r="B213" t="s">
        <v>391</v>
      </c>
      <c r="C213">
        <v>56.8</v>
      </c>
      <c r="D213">
        <f t="shared" si="6"/>
        <v>4</v>
      </c>
      <c r="E213" t="str">
        <f t="shared" si="7"/>
        <v>4. Ukraine</v>
      </c>
    </row>
    <row r="214" spans="1:5" x14ac:dyDescent="0.25">
      <c r="A214" t="s">
        <v>97</v>
      </c>
      <c r="B214" t="s">
        <v>391</v>
      </c>
      <c r="C214">
        <v>51.8</v>
      </c>
      <c r="D214">
        <f t="shared" si="6"/>
        <v>5</v>
      </c>
      <c r="E214" t="str">
        <f t="shared" si="7"/>
        <v>5. India</v>
      </c>
    </row>
    <row r="215" spans="1:5" x14ac:dyDescent="0.25">
      <c r="A215" t="s">
        <v>23</v>
      </c>
      <c r="B215" t="s">
        <v>391</v>
      </c>
      <c r="C215">
        <v>51.4</v>
      </c>
      <c r="D215">
        <f t="shared" si="6"/>
        <v>6</v>
      </c>
      <c r="E215" t="str">
        <f t="shared" si="7"/>
        <v>6. Burundi</v>
      </c>
    </row>
    <row r="216" spans="1:5" x14ac:dyDescent="0.25">
      <c r="A216" t="s">
        <v>195</v>
      </c>
      <c r="B216" t="s">
        <v>391</v>
      </c>
      <c r="C216">
        <v>48.7</v>
      </c>
      <c r="D216">
        <f t="shared" si="6"/>
        <v>7</v>
      </c>
      <c r="E216" t="str">
        <f t="shared" si="7"/>
        <v>7. Togo</v>
      </c>
    </row>
    <row r="217" spans="1:5" x14ac:dyDescent="0.25">
      <c r="A217" t="s">
        <v>172</v>
      </c>
      <c r="B217" t="s">
        <v>391</v>
      </c>
      <c r="C217">
        <v>47</v>
      </c>
      <c r="D217">
        <f t="shared" si="6"/>
        <v>8</v>
      </c>
      <c r="E217" t="str">
        <f t="shared" si="7"/>
        <v>8. Rwanda</v>
      </c>
    </row>
    <row r="218" spans="1:5" x14ac:dyDescent="0.25">
      <c r="A218" t="s">
        <v>94</v>
      </c>
      <c r="B218" t="s">
        <v>391</v>
      </c>
      <c r="C218">
        <v>45.4</v>
      </c>
      <c r="D218">
        <f t="shared" si="6"/>
        <v>9</v>
      </c>
      <c r="E218" t="str">
        <f t="shared" si="7"/>
        <v>9. Hungary</v>
      </c>
    </row>
    <row r="219" spans="1:5" x14ac:dyDescent="0.25">
      <c r="A219" t="s">
        <v>81</v>
      </c>
      <c r="B219" t="s">
        <v>391</v>
      </c>
      <c r="C219">
        <v>43.5</v>
      </c>
      <c r="D219">
        <f t="shared" si="6"/>
        <v>10</v>
      </c>
      <c r="E219" t="str">
        <f t="shared" si="7"/>
        <v>10. Gambia, The</v>
      </c>
    </row>
    <row r="220" spans="1:5" x14ac:dyDescent="0.25">
      <c r="A220" t="s">
        <v>144</v>
      </c>
      <c r="B220" t="s">
        <v>391</v>
      </c>
      <c r="C220">
        <v>42.4</v>
      </c>
      <c r="D220">
        <f t="shared" si="6"/>
        <v>11</v>
      </c>
      <c r="E220" t="str">
        <f t="shared" si="7"/>
        <v>11. Malawi</v>
      </c>
    </row>
    <row r="221" spans="1:5" x14ac:dyDescent="0.25">
      <c r="A221" t="s">
        <v>96</v>
      </c>
      <c r="B221" t="s">
        <v>391</v>
      </c>
      <c r="C221">
        <v>41.1</v>
      </c>
      <c r="D221">
        <f t="shared" si="6"/>
        <v>12</v>
      </c>
      <c r="E221" t="str">
        <f t="shared" si="7"/>
        <v>12. Isle of Man</v>
      </c>
    </row>
    <row r="222" spans="1:5" x14ac:dyDescent="0.25">
      <c r="A222" t="s">
        <v>149</v>
      </c>
      <c r="B222" t="s">
        <v>391</v>
      </c>
      <c r="C222">
        <v>40.5</v>
      </c>
      <c r="D222">
        <f t="shared" si="6"/>
        <v>13</v>
      </c>
      <c r="E222" t="str">
        <f t="shared" si="7"/>
        <v>13. Nigeria</v>
      </c>
    </row>
    <row r="223" spans="1:5" x14ac:dyDescent="0.25">
      <c r="A223" t="s">
        <v>157</v>
      </c>
      <c r="B223" t="s">
        <v>391</v>
      </c>
      <c r="C223">
        <v>39.299999999999997</v>
      </c>
      <c r="D223">
        <f t="shared" si="6"/>
        <v>14</v>
      </c>
      <c r="E223" t="str">
        <f t="shared" si="7"/>
        <v>14. Pakistan</v>
      </c>
    </row>
    <row r="224" spans="1:5" x14ac:dyDescent="0.25">
      <c r="A224" t="s">
        <v>143</v>
      </c>
      <c r="B224" t="s">
        <v>391</v>
      </c>
      <c r="C224">
        <v>37.6</v>
      </c>
      <c r="D224">
        <f t="shared" si="6"/>
        <v>15</v>
      </c>
      <c r="E224" t="str">
        <f t="shared" si="7"/>
        <v>15. Mauritius</v>
      </c>
    </row>
    <row r="225" spans="1:5" x14ac:dyDescent="0.25">
      <c r="A225" t="s">
        <v>123</v>
      </c>
      <c r="B225" t="s">
        <v>391</v>
      </c>
      <c r="C225">
        <v>36.799999999999997</v>
      </c>
      <c r="D225">
        <f t="shared" si="6"/>
        <v>16</v>
      </c>
      <c r="E225" t="str">
        <f t="shared" si="7"/>
        <v>16. Lithuania</v>
      </c>
    </row>
    <row r="226" spans="1:5" x14ac:dyDescent="0.25">
      <c r="A226" t="s">
        <v>163</v>
      </c>
      <c r="B226" t="s">
        <v>391</v>
      </c>
      <c r="C226">
        <v>36.6</v>
      </c>
      <c r="D226">
        <f t="shared" si="6"/>
        <v>17</v>
      </c>
      <c r="E226" t="str">
        <f t="shared" si="7"/>
        <v>17. Poland</v>
      </c>
    </row>
    <row r="227" spans="1:5" x14ac:dyDescent="0.25">
      <c r="A227" t="s">
        <v>93</v>
      </c>
      <c r="B227" t="s">
        <v>391</v>
      </c>
      <c r="C227">
        <v>36.5</v>
      </c>
      <c r="D227">
        <f t="shared" si="6"/>
        <v>18</v>
      </c>
      <c r="E227" t="str">
        <f t="shared" si="7"/>
        <v>18. Haiti</v>
      </c>
    </row>
    <row r="228" spans="1:5" x14ac:dyDescent="0.25">
      <c r="A228" t="s">
        <v>170</v>
      </c>
      <c r="B228" t="s">
        <v>391</v>
      </c>
      <c r="C228">
        <v>36.5</v>
      </c>
      <c r="D228">
        <f t="shared" si="6"/>
        <v>19</v>
      </c>
      <c r="E228" t="str">
        <f t="shared" si="7"/>
        <v>19. Romania</v>
      </c>
    </row>
    <row r="229" spans="1:5" x14ac:dyDescent="0.25">
      <c r="A229" t="s">
        <v>52</v>
      </c>
      <c r="B229" t="s">
        <v>391</v>
      </c>
      <c r="C229">
        <v>34.9</v>
      </c>
      <c r="D229">
        <f t="shared" si="6"/>
        <v>20</v>
      </c>
      <c r="E229" t="str">
        <f t="shared" si="7"/>
        <v>20. Comoros</v>
      </c>
    </row>
    <row r="230" spans="1:5" x14ac:dyDescent="0.25">
      <c r="A230" t="s">
        <v>179</v>
      </c>
      <c r="B230" t="s">
        <v>391</v>
      </c>
      <c r="C230">
        <v>34.799999999999997</v>
      </c>
      <c r="D230">
        <f t="shared" si="6"/>
        <v>21</v>
      </c>
      <c r="E230" t="str">
        <f t="shared" si="7"/>
        <v>21. El Salvador</v>
      </c>
    </row>
    <row r="231" spans="1:5" x14ac:dyDescent="0.25">
      <c r="A231" t="s">
        <v>206</v>
      </c>
      <c r="B231" t="s">
        <v>391</v>
      </c>
      <c r="C231">
        <v>34.4</v>
      </c>
      <c r="D231">
        <f t="shared" si="6"/>
        <v>22</v>
      </c>
      <c r="E231" t="str">
        <f t="shared" si="7"/>
        <v>22. Uganda</v>
      </c>
    </row>
    <row r="232" spans="1:5" x14ac:dyDescent="0.25">
      <c r="A232" t="s">
        <v>60</v>
      </c>
      <c r="B232" t="s">
        <v>391</v>
      </c>
      <c r="C232">
        <v>33.4</v>
      </c>
      <c r="D232">
        <f t="shared" si="6"/>
        <v>23</v>
      </c>
      <c r="E232" t="str">
        <f t="shared" si="7"/>
        <v>23. Germany</v>
      </c>
    </row>
    <row r="233" spans="1:5" x14ac:dyDescent="0.25">
      <c r="A233" t="s">
        <v>180</v>
      </c>
      <c r="B233" t="s">
        <v>391</v>
      </c>
      <c r="C233">
        <v>33.1</v>
      </c>
      <c r="D233">
        <f t="shared" si="6"/>
        <v>24</v>
      </c>
      <c r="E233" t="str">
        <f t="shared" si="7"/>
        <v>24. San Marino</v>
      </c>
    </row>
    <row r="234" spans="1:5" x14ac:dyDescent="0.25">
      <c r="A234" t="s">
        <v>59</v>
      </c>
      <c r="B234" t="s">
        <v>391</v>
      </c>
      <c r="C234">
        <v>32.700000000000003</v>
      </c>
      <c r="D234">
        <f t="shared" si="6"/>
        <v>25</v>
      </c>
      <c r="E234" t="str">
        <f t="shared" si="7"/>
        <v>25. Czechia</v>
      </c>
    </row>
    <row r="235" spans="1:5" x14ac:dyDescent="0.25">
      <c r="A235" t="s">
        <v>28</v>
      </c>
      <c r="B235" t="s">
        <v>391</v>
      </c>
      <c r="C235">
        <v>32.1</v>
      </c>
      <c r="D235">
        <f t="shared" si="6"/>
        <v>26</v>
      </c>
      <c r="E235" t="str">
        <f t="shared" si="7"/>
        <v>26. Bulgaria</v>
      </c>
    </row>
    <row r="236" spans="1:5" x14ac:dyDescent="0.25">
      <c r="A236" t="s">
        <v>25</v>
      </c>
      <c r="B236" t="s">
        <v>391</v>
      </c>
      <c r="C236">
        <v>31.4</v>
      </c>
      <c r="D236">
        <f t="shared" si="6"/>
        <v>27</v>
      </c>
      <c r="E236" t="str">
        <f t="shared" si="7"/>
        <v>27. Benin</v>
      </c>
    </row>
    <row r="237" spans="1:5" x14ac:dyDescent="0.25">
      <c r="A237" t="s">
        <v>73</v>
      </c>
      <c r="B237" t="s">
        <v>391</v>
      </c>
      <c r="C237">
        <v>31.4</v>
      </c>
      <c r="D237">
        <f t="shared" si="6"/>
        <v>28</v>
      </c>
      <c r="E237" t="str">
        <f t="shared" si="7"/>
        <v>28. France</v>
      </c>
    </row>
    <row r="238" spans="1:5" x14ac:dyDescent="0.25">
      <c r="A238" t="s">
        <v>182</v>
      </c>
      <c r="B238" t="s">
        <v>391</v>
      </c>
      <c r="C238">
        <v>31</v>
      </c>
      <c r="D238">
        <f t="shared" si="6"/>
        <v>29</v>
      </c>
      <c r="E238" t="str">
        <f t="shared" si="7"/>
        <v>29. Serbia</v>
      </c>
    </row>
    <row r="239" spans="1:5" x14ac:dyDescent="0.25">
      <c r="A239" t="s">
        <v>196</v>
      </c>
      <c r="B239" t="s">
        <v>391</v>
      </c>
      <c r="C239">
        <v>31</v>
      </c>
      <c r="D239">
        <f t="shared" si="6"/>
        <v>30</v>
      </c>
      <c r="E239" t="str">
        <f t="shared" si="7"/>
        <v>30. Thailand</v>
      </c>
    </row>
    <row r="240" spans="1:5" x14ac:dyDescent="0.25">
      <c r="A240" t="s">
        <v>151</v>
      </c>
      <c r="B240" t="s">
        <v>391</v>
      </c>
      <c r="C240">
        <v>30</v>
      </c>
      <c r="D240">
        <f t="shared" si="6"/>
        <v>31</v>
      </c>
      <c r="E240" t="str">
        <f t="shared" si="7"/>
        <v>31. Netherlands</v>
      </c>
    </row>
    <row r="241" spans="1:5" x14ac:dyDescent="0.25">
      <c r="A241" t="s">
        <v>26</v>
      </c>
      <c r="B241" t="s">
        <v>391</v>
      </c>
      <c r="C241">
        <v>28.9</v>
      </c>
      <c r="D241">
        <f t="shared" si="6"/>
        <v>32</v>
      </c>
      <c r="E241" t="str">
        <f t="shared" si="7"/>
        <v>32. Burkina Faso</v>
      </c>
    </row>
    <row r="242" spans="1:5" x14ac:dyDescent="0.25">
      <c r="A242" t="s">
        <v>24</v>
      </c>
      <c r="B242" t="s">
        <v>391</v>
      </c>
      <c r="C242">
        <v>28.3</v>
      </c>
      <c r="D242">
        <f t="shared" si="6"/>
        <v>33</v>
      </c>
      <c r="E242" t="str">
        <f t="shared" si="7"/>
        <v>33. Belgium</v>
      </c>
    </row>
    <row r="243" spans="1:5" x14ac:dyDescent="0.25">
      <c r="A243" t="s">
        <v>55</v>
      </c>
      <c r="B243" t="s">
        <v>391</v>
      </c>
      <c r="C243">
        <v>28</v>
      </c>
      <c r="D243">
        <f t="shared" si="6"/>
        <v>34</v>
      </c>
      <c r="E243" t="str">
        <f t="shared" si="7"/>
        <v>34. Cuba</v>
      </c>
    </row>
    <row r="244" spans="1:5" x14ac:dyDescent="0.25">
      <c r="A244" t="s">
        <v>200</v>
      </c>
      <c r="B244" t="s">
        <v>391</v>
      </c>
      <c r="C244">
        <v>27.8</v>
      </c>
      <c r="D244">
        <f t="shared" si="6"/>
        <v>35</v>
      </c>
      <c r="E244" t="str">
        <f t="shared" si="7"/>
        <v>35. Tonga</v>
      </c>
    </row>
    <row r="245" spans="1:5" x14ac:dyDescent="0.25">
      <c r="A245" t="s">
        <v>32</v>
      </c>
      <c r="B245" t="s">
        <v>391</v>
      </c>
      <c r="C245">
        <v>27.4</v>
      </c>
      <c r="D245">
        <f t="shared" si="6"/>
        <v>36</v>
      </c>
      <c r="E245" t="str">
        <f t="shared" si="7"/>
        <v>36. Belarus</v>
      </c>
    </row>
    <row r="246" spans="1:5" x14ac:dyDescent="0.25">
      <c r="A246" t="s">
        <v>186</v>
      </c>
      <c r="B246" t="s">
        <v>391</v>
      </c>
      <c r="C246">
        <v>27.2</v>
      </c>
      <c r="D246">
        <f t="shared" si="6"/>
        <v>37</v>
      </c>
      <c r="E246" t="str">
        <f t="shared" si="7"/>
        <v>37. Slovak Republic</v>
      </c>
    </row>
    <row r="247" spans="1:5" x14ac:dyDescent="0.25">
      <c r="A247" t="s">
        <v>203</v>
      </c>
      <c r="B247" t="s">
        <v>391</v>
      </c>
      <c r="C247">
        <v>26.3</v>
      </c>
      <c r="D247">
        <f t="shared" si="6"/>
        <v>38</v>
      </c>
      <c r="E247" t="str">
        <f t="shared" si="7"/>
        <v>38. Turkiye</v>
      </c>
    </row>
    <row r="248" spans="1:5" x14ac:dyDescent="0.25">
      <c r="A248" t="s">
        <v>22</v>
      </c>
      <c r="B248" t="s">
        <v>391</v>
      </c>
      <c r="C248">
        <v>25.3</v>
      </c>
      <c r="D248">
        <f t="shared" si="6"/>
        <v>39</v>
      </c>
      <c r="E248" t="str">
        <f t="shared" si="7"/>
        <v>39. Azerbaijan</v>
      </c>
    </row>
    <row r="249" spans="1:5" x14ac:dyDescent="0.25">
      <c r="A249" t="s">
        <v>77</v>
      </c>
      <c r="B249" t="s">
        <v>391</v>
      </c>
      <c r="C249">
        <v>25</v>
      </c>
      <c r="D249">
        <f t="shared" si="6"/>
        <v>40</v>
      </c>
      <c r="E249" t="str">
        <f t="shared" si="7"/>
        <v>40. United Kingdom</v>
      </c>
    </row>
    <row r="250" spans="1:5" x14ac:dyDescent="0.25">
      <c r="A250" t="s">
        <v>80</v>
      </c>
      <c r="B250" t="s">
        <v>391</v>
      </c>
      <c r="C250">
        <v>24.4</v>
      </c>
      <c r="D250">
        <f t="shared" si="6"/>
        <v>41</v>
      </c>
      <c r="E250" t="str">
        <f t="shared" si="7"/>
        <v>41. Guinea</v>
      </c>
    </row>
    <row r="251" spans="1:5" x14ac:dyDescent="0.25">
      <c r="A251" t="s">
        <v>103</v>
      </c>
      <c r="B251" t="s">
        <v>391</v>
      </c>
      <c r="C251">
        <v>24</v>
      </c>
      <c r="D251">
        <f t="shared" si="6"/>
        <v>42</v>
      </c>
      <c r="E251" t="str">
        <f t="shared" si="7"/>
        <v>42. Italy</v>
      </c>
    </row>
    <row r="252" spans="1:5" x14ac:dyDescent="0.25">
      <c r="A252" t="s">
        <v>192</v>
      </c>
      <c r="B252" t="s">
        <v>391</v>
      </c>
      <c r="C252">
        <v>24</v>
      </c>
      <c r="D252">
        <f t="shared" si="6"/>
        <v>43</v>
      </c>
      <c r="E252" t="str">
        <f t="shared" si="7"/>
        <v>43. Syrian Arab Republic</v>
      </c>
    </row>
    <row r="253" spans="1:5" x14ac:dyDescent="0.25">
      <c r="A253" t="s">
        <v>124</v>
      </c>
      <c r="B253" t="s">
        <v>391</v>
      </c>
      <c r="C253">
        <v>23.8</v>
      </c>
      <c r="D253">
        <f t="shared" si="6"/>
        <v>44</v>
      </c>
      <c r="E253" t="str">
        <f t="shared" si="7"/>
        <v>44. Luxembourg</v>
      </c>
    </row>
    <row r="254" spans="1:5" x14ac:dyDescent="0.25">
      <c r="A254" t="s">
        <v>110</v>
      </c>
      <c r="B254" t="s">
        <v>391</v>
      </c>
      <c r="C254">
        <v>23.3</v>
      </c>
      <c r="D254">
        <f t="shared" si="6"/>
        <v>45</v>
      </c>
      <c r="E254" t="str">
        <f t="shared" si="7"/>
        <v>45. Cambodia</v>
      </c>
    </row>
    <row r="255" spans="1:5" x14ac:dyDescent="0.25">
      <c r="A255" t="s">
        <v>68</v>
      </c>
      <c r="B255" t="s">
        <v>391</v>
      </c>
      <c r="C255">
        <v>23</v>
      </c>
      <c r="D255">
        <f t="shared" si="6"/>
        <v>46</v>
      </c>
      <c r="E255" t="str">
        <f t="shared" si="7"/>
        <v>46. Spain</v>
      </c>
    </row>
    <row r="256" spans="1:5" x14ac:dyDescent="0.25">
      <c r="A256" t="s">
        <v>136</v>
      </c>
      <c r="B256" t="s">
        <v>391</v>
      </c>
      <c r="C256">
        <v>22.8</v>
      </c>
      <c r="D256">
        <f t="shared" si="6"/>
        <v>47</v>
      </c>
      <c r="E256" t="str">
        <f t="shared" si="7"/>
        <v>47. Malta</v>
      </c>
    </row>
    <row r="257" spans="1:5" x14ac:dyDescent="0.25">
      <c r="A257" t="s">
        <v>121</v>
      </c>
      <c r="B257" t="s">
        <v>391</v>
      </c>
      <c r="C257">
        <v>22.2</v>
      </c>
      <c r="D257">
        <f t="shared" si="6"/>
        <v>48</v>
      </c>
      <c r="E257" t="str">
        <f t="shared" si="7"/>
        <v>48. Sri Lanka</v>
      </c>
    </row>
    <row r="258" spans="1:5" x14ac:dyDescent="0.25">
      <c r="A258" t="s">
        <v>125</v>
      </c>
      <c r="B258" t="s">
        <v>391</v>
      </c>
      <c r="C258">
        <v>21.9</v>
      </c>
      <c r="D258">
        <f t="shared" si="6"/>
        <v>49</v>
      </c>
      <c r="E258" t="str">
        <f t="shared" si="7"/>
        <v>49. Latvia</v>
      </c>
    </row>
    <row r="259" spans="1:5" x14ac:dyDescent="0.25">
      <c r="A259" t="s">
        <v>178</v>
      </c>
      <c r="B259" t="s">
        <v>391</v>
      </c>
      <c r="C259">
        <v>21.9</v>
      </c>
      <c r="D259">
        <f t="shared" ref="D259:D322" si="8">IF(ROW() = 2, 1, IF(B259 = B258, D258 + 1, 1))</f>
        <v>50</v>
      </c>
      <c r="E259" t="str">
        <f t="shared" ref="E259:E322" si="9">_xlfn.CONCAT(D259, ". ", A259)</f>
        <v>50. Sierra Leone</v>
      </c>
    </row>
    <row r="260" spans="1:5" x14ac:dyDescent="0.25">
      <c r="A260" t="s">
        <v>13</v>
      </c>
      <c r="B260" t="s">
        <v>391</v>
      </c>
      <c r="C260">
        <v>21.6</v>
      </c>
      <c r="D260">
        <f t="shared" si="8"/>
        <v>51</v>
      </c>
      <c r="E260" t="str">
        <f t="shared" si="9"/>
        <v>51. Albania</v>
      </c>
    </row>
    <row r="261" spans="1:5" x14ac:dyDescent="0.25">
      <c r="A261" t="s">
        <v>213</v>
      </c>
      <c r="B261" t="s">
        <v>391</v>
      </c>
      <c r="C261">
        <v>21.5</v>
      </c>
      <c r="D261">
        <f t="shared" si="8"/>
        <v>52</v>
      </c>
      <c r="E261" t="str">
        <f t="shared" si="9"/>
        <v>52. Viet Nam</v>
      </c>
    </row>
    <row r="262" spans="1:5" x14ac:dyDescent="0.25">
      <c r="A262" t="s">
        <v>79</v>
      </c>
      <c r="B262" t="s">
        <v>391</v>
      </c>
      <c r="C262">
        <v>20.7</v>
      </c>
      <c r="D262">
        <f t="shared" si="8"/>
        <v>53</v>
      </c>
      <c r="E262" t="str">
        <f t="shared" si="9"/>
        <v>53. Ghana</v>
      </c>
    </row>
    <row r="263" spans="1:5" x14ac:dyDescent="0.25">
      <c r="A263" t="s">
        <v>64</v>
      </c>
      <c r="B263" t="s">
        <v>391</v>
      </c>
      <c r="C263">
        <v>20.2</v>
      </c>
      <c r="D263">
        <f t="shared" si="8"/>
        <v>54</v>
      </c>
      <c r="E263" t="str">
        <f t="shared" si="9"/>
        <v>54. Dominican Republic</v>
      </c>
    </row>
    <row r="264" spans="1:5" x14ac:dyDescent="0.25">
      <c r="A264" t="s">
        <v>175</v>
      </c>
      <c r="B264" t="s">
        <v>391</v>
      </c>
      <c r="C264">
        <v>19.899999999999999</v>
      </c>
      <c r="D264">
        <f t="shared" si="8"/>
        <v>55</v>
      </c>
      <c r="E264" t="str">
        <f t="shared" si="9"/>
        <v>55. Senegal</v>
      </c>
    </row>
    <row r="265" spans="1:5" x14ac:dyDescent="0.25">
      <c r="A265" t="s">
        <v>112</v>
      </c>
      <c r="B265" t="s">
        <v>391</v>
      </c>
      <c r="C265">
        <v>19.2</v>
      </c>
      <c r="D265">
        <f t="shared" si="8"/>
        <v>56</v>
      </c>
      <c r="E265" t="str">
        <f t="shared" si="9"/>
        <v>56. St. Kitts and Nevis</v>
      </c>
    </row>
    <row r="266" spans="1:5" x14ac:dyDescent="0.25">
      <c r="A266" t="s">
        <v>385</v>
      </c>
      <c r="B266" t="s">
        <v>391</v>
      </c>
      <c r="C266">
        <v>19.100000000000001</v>
      </c>
      <c r="D266">
        <f t="shared" si="8"/>
        <v>57</v>
      </c>
      <c r="E266" t="str">
        <f t="shared" si="9"/>
        <v>57. Korea, Dem. People's Rep.</v>
      </c>
    </row>
    <row r="267" spans="1:5" x14ac:dyDescent="0.25">
      <c r="A267" t="s">
        <v>160</v>
      </c>
      <c r="B267" t="s">
        <v>391</v>
      </c>
      <c r="C267">
        <v>18.7</v>
      </c>
      <c r="D267">
        <f t="shared" si="8"/>
        <v>58</v>
      </c>
      <c r="E267" t="str">
        <f t="shared" si="9"/>
        <v>58. Philippines</v>
      </c>
    </row>
    <row r="268" spans="1:5" x14ac:dyDescent="0.25">
      <c r="A268" t="s">
        <v>202</v>
      </c>
      <c r="B268" t="s">
        <v>391</v>
      </c>
      <c r="C268">
        <v>18.2</v>
      </c>
      <c r="D268">
        <f t="shared" si="8"/>
        <v>59</v>
      </c>
      <c r="E268" t="str">
        <f t="shared" si="9"/>
        <v>59. Tunisia</v>
      </c>
    </row>
    <row r="269" spans="1:5" x14ac:dyDescent="0.25">
      <c r="A269" t="s">
        <v>137</v>
      </c>
      <c r="B269" t="s">
        <v>391</v>
      </c>
      <c r="C269">
        <v>16.899999999999999</v>
      </c>
      <c r="D269">
        <f t="shared" si="8"/>
        <v>60</v>
      </c>
      <c r="E269" t="str">
        <f t="shared" si="9"/>
        <v>60. Myanmar</v>
      </c>
    </row>
    <row r="270" spans="1:5" x14ac:dyDescent="0.25">
      <c r="A270" t="s">
        <v>69</v>
      </c>
      <c r="B270" t="s">
        <v>391</v>
      </c>
      <c r="C270">
        <v>16.600000000000001</v>
      </c>
      <c r="D270">
        <f t="shared" si="8"/>
        <v>61</v>
      </c>
      <c r="E270" t="str">
        <f t="shared" si="9"/>
        <v>61. Estonia</v>
      </c>
    </row>
    <row r="271" spans="1:5" x14ac:dyDescent="0.25">
      <c r="A271" t="s">
        <v>209</v>
      </c>
      <c r="B271" t="s">
        <v>391</v>
      </c>
      <c r="C271">
        <v>16.600000000000001</v>
      </c>
      <c r="D271">
        <f t="shared" si="8"/>
        <v>62</v>
      </c>
      <c r="E271" t="str">
        <f t="shared" si="9"/>
        <v>62. United States</v>
      </c>
    </row>
    <row r="272" spans="1:5" x14ac:dyDescent="0.25">
      <c r="A272" t="s">
        <v>134</v>
      </c>
      <c r="B272" t="s">
        <v>391</v>
      </c>
      <c r="C272">
        <v>16.5</v>
      </c>
      <c r="D272">
        <f t="shared" si="8"/>
        <v>63</v>
      </c>
      <c r="E272" t="str">
        <f t="shared" si="9"/>
        <v>63. North Macedonia</v>
      </c>
    </row>
    <row r="273" spans="1:5" x14ac:dyDescent="0.25">
      <c r="A273" t="s">
        <v>37</v>
      </c>
      <c r="B273" t="s">
        <v>391</v>
      </c>
      <c r="C273">
        <v>16.3</v>
      </c>
      <c r="D273">
        <f t="shared" si="8"/>
        <v>64</v>
      </c>
      <c r="E273" t="str">
        <f t="shared" si="9"/>
        <v>64. Barbados</v>
      </c>
    </row>
    <row r="274" spans="1:5" x14ac:dyDescent="0.25">
      <c r="A274" t="s">
        <v>21</v>
      </c>
      <c r="B274" t="s">
        <v>391</v>
      </c>
      <c r="C274">
        <v>16</v>
      </c>
      <c r="D274">
        <f t="shared" si="8"/>
        <v>65</v>
      </c>
      <c r="E274" t="str">
        <f t="shared" si="9"/>
        <v>65. Austria</v>
      </c>
    </row>
    <row r="275" spans="1:5" x14ac:dyDescent="0.25">
      <c r="A275" t="s">
        <v>17</v>
      </c>
      <c r="B275" t="s">
        <v>391</v>
      </c>
      <c r="C275">
        <v>15.7</v>
      </c>
      <c r="D275">
        <f t="shared" si="8"/>
        <v>66</v>
      </c>
      <c r="E275" t="str">
        <f t="shared" si="9"/>
        <v>66. Armenia</v>
      </c>
    </row>
    <row r="276" spans="1:5" x14ac:dyDescent="0.25">
      <c r="A276" t="s">
        <v>92</v>
      </c>
      <c r="B276" t="s">
        <v>391</v>
      </c>
      <c r="C276">
        <v>15.5</v>
      </c>
      <c r="D276">
        <f t="shared" si="8"/>
        <v>67</v>
      </c>
      <c r="E276" t="str">
        <f t="shared" si="9"/>
        <v>67. Croatia</v>
      </c>
    </row>
    <row r="277" spans="1:5" x14ac:dyDescent="0.25">
      <c r="A277" t="s">
        <v>127</v>
      </c>
      <c r="B277" t="s">
        <v>391</v>
      </c>
      <c r="C277">
        <v>15.4</v>
      </c>
      <c r="D277">
        <f t="shared" si="8"/>
        <v>68</v>
      </c>
      <c r="E277" t="str">
        <f t="shared" si="9"/>
        <v>68. Morocco</v>
      </c>
    </row>
    <row r="278" spans="1:5" x14ac:dyDescent="0.25">
      <c r="A278" t="s">
        <v>205</v>
      </c>
      <c r="B278" t="s">
        <v>391</v>
      </c>
      <c r="C278">
        <v>15.2</v>
      </c>
      <c r="D278">
        <f t="shared" si="8"/>
        <v>69</v>
      </c>
      <c r="E278" t="str">
        <f t="shared" si="9"/>
        <v>69. Tanzania</v>
      </c>
    </row>
    <row r="279" spans="1:5" x14ac:dyDescent="0.25">
      <c r="A279" t="s">
        <v>47</v>
      </c>
      <c r="B279" t="s">
        <v>391</v>
      </c>
      <c r="C279">
        <v>15.1</v>
      </c>
      <c r="D279">
        <f t="shared" si="8"/>
        <v>70</v>
      </c>
      <c r="E279" t="str">
        <f t="shared" si="9"/>
        <v>70. Cote d'Ivoire</v>
      </c>
    </row>
    <row r="280" spans="1:5" x14ac:dyDescent="0.25">
      <c r="A280" t="s">
        <v>113</v>
      </c>
      <c r="B280" t="s">
        <v>391</v>
      </c>
      <c r="C280">
        <v>14.9</v>
      </c>
      <c r="D280">
        <f t="shared" si="8"/>
        <v>71</v>
      </c>
      <c r="E280" t="str">
        <f t="shared" si="9"/>
        <v>71. Korea, Rep.</v>
      </c>
    </row>
    <row r="281" spans="1:5" x14ac:dyDescent="0.25">
      <c r="A281" t="s">
        <v>16</v>
      </c>
      <c r="B281" t="s">
        <v>391</v>
      </c>
      <c r="C281">
        <v>14.8</v>
      </c>
      <c r="D281">
        <f t="shared" si="8"/>
        <v>72</v>
      </c>
      <c r="E281" t="str">
        <f t="shared" si="9"/>
        <v>72. Argentina</v>
      </c>
    </row>
    <row r="282" spans="1:5" x14ac:dyDescent="0.25">
      <c r="A282" t="s">
        <v>70</v>
      </c>
      <c r="B282" t="s">
        <v>391</v>
      </c>
      <c r="C282">
        <v>14.5</v>
      </c>
      <c r="D282">
        <f t="shared" si="8"/>
        <v>73</v>
      </c>
      <c r="E282" t="str">
        <f t="shared" si="9"/>
        <v>73. Ethiopia</v>
      </c>
    </row>
    <row r="283" spans="1:5" x14ac:dyDescent="0.25">
      <c r="A283" t="s">
        <v>87</v>
      </c>
      <c r="B283" t="s">
        <v>391</v>
      </c>
      <c r="C283">
        <v>14.5</v>
      </c>
      <c r="D283">
        <f t="shared" si="8"/>
        <v>74</v>
      </c>
      <c r="E283" t="str">
        <f t="shared" si="9"/>
        <v>74. Guatemala</v>
      </c>
    </row>
    <row r="284" spans="1:5" x14ac:dyDescent="0.25">
      <c r="A284" t="s">
        <v>84</v>
      </c>
      <c r="B284" t="s">
        <v>391</v>
      </c>
      <c r="C284">
        <v>14.4</v>
      </c>
      <c r="D284">
        <f t="shared" si="8"/>
        <v>75</v>
      </c>
      <c r="E284" t="str">
        <f t="shared" si="9"/>
        <v>75. Greece</v>
      </c>
    </row>
    <row r="285" spans="1:5" x14ac:dyDescent="0.25">
      <c r="A285" t="s">
        <v>82</v>
      </c>
      <c r="B285" t="s">
        <v>391</v>
      </c>
      <c r="C285">
        <v>14.1</v>
      </c>
      <c r="D285">
        <f t="shared" si="8"/>
        <v>76</v>
      </c>
      <c r="E285" t="str">
        <f t="shared" si="9"/>
        <v>76. Guinea-Bissau</v>
      </c>
    </row>
    <row r="286" spans="1:5" x14ac:dyDescent="0.25">
      <c r="A286" t="s">
        <v>148</v>
      </c>
      <c r="B286" t="s">
        <v>391</v>
      </c>
      <c r="C286">
        <v>14</v>
      </c>
      <c r="D286">
        <f t="shared" si="8"/>
        <v>77</v>
      </c>
      <c r="E286" t="str">
        <f t="shared" si="9"/>
        <v>77. Niger</v>
      </c>
    </row>
    <row r="287" spans="1:5" x14ac:dyDescent="0.25">
      <c r="A287" t="s">
        <v>131</v>
      </c>
      <c r="B287" t="s">
        <v>391</v>
      </c>
      <c r="C287">
        <v>13.4</v>
      </c>
      <c r="D287">
        <f t="shared" si="8"/>
        <v>78</v>
      </c>
      <c r="E287" t="str">
        <f t="shared" si="9"/>
        <v>78. Maldives</v>
      </c>
    </row>
    <row r="288" spans="1:5" x14ac:dyDescent="0.25">
      <c r="A288" t="s">
        <v>48</v>
      </c>
      <c r="B288" t="s">
        <v>391</v>
      </c>
      <c r="C288">
        <v>13.1</v>
      </c>
      <c r="D288">
        <f t="shared" si="8"/>
        <v>79</v>
      </c>
      <c r="E288" t="str">
        <f t="shared" si="9"/>
        <v>79. Cameroon</v>
      </c>
    </row>
    <row r="289" spans="1:5" x14ac:dyDescent="0.25">
      <c r="A289" t="s">
        <v>116</v>
      </c>
      <c r="B289" t="s">
        <v>391</v>
      </c>
      <c r="C289">
        <v>13.1</v>
      </c>
      <c r="D289">
        <f t="shared" si="8"/>
        <v>80</v>
      </c>
      <c r="E289" t="str">
        <f t="shared" si="9"/>
        <v>80. Lebanon</v>
      </c>
    </row>
    <row r="290" spans="1:5" x14ac:dyDescent="0.25">
      <c r="A290" t="s">
        <v>153</v>
      </c>
      <c r="B290" t="s">
        <v>391</v>
      </c>
      <c r="C290">
        <v>12.6</v>
      </c>
      <c r="D290">
        <f t="shared" si="8"/>
        <v>81</v>
      </c>
      <c r="E290" t="str">
        <f t="shared" si="9"/>
        <v>81. Nepal</v>
      </c>
    </row>
    <row r="291" spans="1:5" x14ac:dyDescent="0.25">
      <c r="A291" t="s">
        <v>208</v>
      </c>
      <c r="B291" t="s">
        <v>391</v>
      </c>
      <c r="C291">
        <v>12.6</v>
      </c>
      <c r="D291">
        <f t="shared" si="8"/>
        <v>82</v>
      </c>
      <c r="E291" t="str">
        <f t="shared" si="9"/>
        <v>82. Uruguay</v>
      </c>
    </row>
    <row r="292" spans="1:5" x14ac:dyDescent="0.25">
      <c r="A292" t="s">
        <v>102</v>
      </c>
      <c r="B292" t="s">
        <v>391</v>
      </c>
      <c r="C292">
        <v>12.5</v>
      </c>
      <c r="D292">
        <f t="shared" si="8"/>
        <v>83</v>
      </c>
      <c r="E292" t="str">
        <f t="shared" si="9"/>
        <v>83. Israel</v>
      </c>
    </row>
    <row r="293" spans="1:5" x14ac:dyDescent="0.25">
      <c r="A293" t="s">
        <v>150</v>
      </c>
      <c r="B293" t="s">
        <v>391</v>
      </c>
      <c r="C293">
        <v>12.5</v>
      </c>
      <c r="D293">
        <f t="shared" si="8"/>
        <v>84</v>
      </c>
      <c r="E293" t="str">
        <f t="shared" si="9"/>
        <v>84. Nicaragua</v>
      </c>
    </row>
    <row r="294" spans="1:5" x14ac:dyDescent="0.25">
      <c r="A294" t="s">
        <v>53</v>
      </c>
      <c r="B294" t="s">
        <v>391</v>
      </c>
      <c r="C294">
        <v>12.4</v>
      </c>
      <c r="D294">
        <f t="shared" si="8"/>
        <v>85</v>
      </c>
      <c r="E294" t="str">
        <f t="shared" si="9"/>
        <v>85. Cabo Verde</v>
      </c>
    </row>
    <row r="295" spans="1:5" x14ac:dyDescent="0.25">
      <c r="A295" t="s">
        <v>11</v>
      </c>
      <c r="B295" t="s">
        <v>391</v>
      </c>
      <c r="C295">
        <v>12</v>
      </c>
      <c r="D295">
        <f t="shared" si="8"/>
        <v>86</v>
      </c>
      <c r="E295" t="str">
        <f t="shared" si="9"/>
        <v>86. Afghanistan</v>
      </c>
    </row>
    <row r="296" spans="1:5" x14ac:dyDescent="0.25">
      <c r="A296" t="s">
        <v>122</v>
      </c>
      <c r="B296" t="s">
        <v>391</v>
      </c>
      <c r="C296">
        <v>11.8</v>
      </c>
      <c r="D296">
        <f t="shared" si="8"/>
        <v>87</v>
      </c>
      <c r="E296" t="str">
        <f t="shared" si="9"/>
        <v>87. Lesotho</v>
      </c>
    </row>
    <row r="297" spans="1:5" x14ac:dyDescent="0.25">
      <c r="A297" t="s">
        <v>46</v>
      </c>
      <c r="B297" t="s">
        <v>391</v>
      </c>
      <c r="C297">
        <v>11.5</v>
      </c>
      <c r="D297">
        <f t="shared" si="8"/>
        <v>88</v>
      </c>
      <c r="E297" t="str">
        <f t="shared" si="9"/>
        <v>88. China</v>
      </c>
    </row>
    <row r="298" spans="1:5" x14ac:dyDescent="0.25">
      <c r="A298" t="s">
        <v>166</v>
      </c>
      <c r="B298" t="s">
        <v>391</v>
      </c>
      <c r="C298">
        <v>11.5</v>
      </c>
      <c r="D298">
        <f t="shared" si="8"/>
        <v>89</v>
      </c>
      <c r="E298" t="str">
        <f t="shared" si="9"/>
        <v>89. Paraguay</v>
      </c>
    </row>
    <row r="299" spans="1:5" x14ac:dyDescent="0.25">
      <c r="A299" t="s">
        <v>100</v>
      </c>
      <c r="B299" t="s">
        <v>391</v>
      </c>
      <c r="C299">
        <v>11.4</v>
      </c>
      <c r="D299">
        <f t="shared" si="8"/>
        <v>90</v>
      </c>
      <c r="E299" t="str">
        <f t="shared" si="9"/>
        <v>90. Iraq</v>
      </c>
    </row>
    <row r="300" spans="1:5" x14ac:dyDescent="0.25">
      <c r="A300" t="s">
        <v>108</v>
      </c>
      <c r="B300" t="s">
        <v>391</v>
      </c>
      <c r="C300">
        <v>11.4</v>
      </c>
      <c r="D300">
        <f t="shared" si="8"/>
        <v>91</v>
      </c>
      <c r="E300" t="str">
        <f t="shared" si="9"/>
        <v>91. Kenya</v>
      </c>
    </row>
    <row r="301" spans="1:5" x14ac:dyDescent="0.25">
      <c r="A301" t="s">
        <v>174</v>
      </c>
      <c r="B301" t="s">
        <v>391</v>
      </c>
      <c r="C301">
        <v>11.2</v>
      </c>
      <c r="D301">
        <f t="shared" si="8"/>
        <v>92</v>
      </c>
      <c r="E301" t="str">
        <f t="shared" si="9"/>
        <v>92. Sudan</v>
      </c>
    </row>
    <row r="302" spans="1:5" x14ac:dyDescent="0.25">
      <c r="A302" t="s">
        <v>10</v>
      </c>
      <c r="B302" t="s">
        <v>391</v>
      </c>
      <c r="C302">
        <v>11.1</v>
      </c>
      <c r="D302">
        <f t="shared" si="8"/>
        <v>93</v>
      </c>
      <c r="E302" t="str">
        <f t="shared" si="9"/>
        <v>93. Aruba</v>
      </c>
    </row>
    <row r="303" spans="1:5" x14ac:dyDescent="0.25">
      <c r="A303" t="s">
        <v>104</v>
      </c>
      <c r="B303" t="s">
        <v>391</v>
      </c>
      <c r="C303">
        <v>11.1</v>
      </c>
      <c r="D303">
        <f t="shared" si="8"/>
        <v>94</v>
      </c>
      <c r="E303" t="str">
        <f t="shared" si="9"/>
        <v>94. Jamaica</v>
      </c>
    </row>
    <row r="304" spans="1:5" x14ac:dyDescent="0.25">
      <c r="A304" t="s">
        <v>106</v>
      </c>
      <c r="B304" t="s">
        <v>391</v>
      </c>
      <c r="C304">
        <v>11.1</v>
      </c>
      <c r="D304">
        <f t="shared" si="8"/>
        <v>95</v>
      </c>
      <c r="E304" t="str">
        <f t="shared" si="9"/>
        <v>95. Japan</v>
      </c>
    </row>
    <row r="305" spans="1:5" x14ac:dyDescent="0.25">
      <c r="A305" t="s">
        <v>107</v>
      </c>
      <c r="B305" t="s">
        <v>391</v>
      </c>
      <c r="C305">
        <v>11</v>
      </c>
      <c r="D305">
        <f t="shared" si="8"/>
        <v>96</v>
      </c>
      <c r="E305" t="str">
        <f t="shared" si="9"/>
        <v>96. Kazakhstan</v>
      </c>
    </row>
    <row r="306" spans="1:5" x14ac:dyDescent="0.25">
      <c r="A306" t="s">
        <v>120</v>
      </c>
      <c r="B306" t="s">
        <v>391</v>
      </c>
      <c r="C306">
        <v>10.8</v>
      </c>
      <c r="D306">
        <f t="shared" si="8"/>
        <v>97</v>
      </c>
      <c r="E306" t="str">
        <f t="shared" si="9"/>
        <v>97. Liechtenstein</v>
      </c>
    </row>
    <row r="307" spans="1:5" x14ac:dyDescent="0.25">
      <c r="A307" t="s">
        <v>58</v>
      </c>
      <c r="B307" t="s">
        <v>391</v>
      </c>
      <c r="C307">
        <v>10.6</v>
      </c>
      <c r="D307">
        <f t="shared" si="8"/>
        <v>98</v>
      </c>
      <c r="E307" t="str">
        <f t="shared" si="9"/>
        <v>98. Cyprus</v>
      </c>
    </row>
    <row r="308" spans="1:5" x14ac:dyDescent="0.25">
      <c r="A308" t="s">
        <v>220</v>
      </c>
      <c r="B308" t="s">
        <v>391</v>
      </c>
      <c r="C308">
        <v>10.4</v>
      </c>
      <c r="D308">
        <f t="shared" si="8"/>
        <v>99</v>
      </c>
      <c r="E308" t="str">
        <f t="shared" si="9"/>
        <v>99. Zimbabwe</v>
      </c>
    </row>
    <row r="309" spans="1:5" x14ac:dyDescent="0.25">
      <c r="A309" t="s">
        <v>189</v>
      </c>
      <c r="B309" t="s">
        <v>391</v>
      </c>
      <c r="C309">
        <v>10.3</v>
      </c>
      <c r="D309">
        <f t="shared" si="8"/>
        <v>100</v>
      </c>
      <c r="E309" t="str">
        <f t="shared" si="9"/>
        <v>100. Eswatini</v>
      </c>
    </row>
    <row r="310" spans="1:5" x14ac:dyDescent="0.25">
      <c r="A310" t="s">
        <v>132</v>
      </c>
      <c r="B310" t="s">
        <v>391</v>
      </c>
      <c r="C310">
        <v>10.3</v>
      </c>
      <c r="D310">
        <f t="shared" si="8"/>
        <v>101</v>
      </c>
      <c r="E310" t="str">
        <f t="shared" si="9"/>
        <v>101. Mexico</v>
      </c>
    </row>
    <row r="311" spans="1:5" x14ac:dyDescent="0.25">
      <c r="A311" t="s">
        <v>165</v>
      </c>
      <c r="B311" t="s">
        <v>391</v>
      </c>
      <c r="C311">
        <v>10.1</v>
      </c>
      <c r="D311">
        <f t="shared" si="8"/>
        <v>102</v>
      </c>
      <c r="E311" t="str">
        <f t="shared" si="9"/>
        <v>102. Portugal</v>
      </c>
    </row>
    <row r="312" spans="1:5" x14ac:dyDescent="0.25">
      <c r="A312" t="s">
        <v>43</v>
      </c>
      <c r="B312" t="s">
        <v>391</v>
      </c>
      <c r="C312">
        <v>10</v>
      </c>
      <c r="D312">
        <f t="shared" si="8"/>
        <v>103</v>
      </c>
      <c r="E312" t="str">
        <f t="shared" si="9"/>
        <v>103. Switzerland</v>
      </c>
    </row>
    <row r="313" spans="1:5" x14ac:dyDescent="0.25">
      <c r="A313" t="s">
        <v>218</v>
      </c>
      <c r="B313" t="s">
        <v>391</v>
      </c>
      <c r="C313">
        <v>9.9</v>
      </c>
      <c r="D313">
        <f t="shared" si="8"/>
        <v>104</v>
      </c>
      <c r="E313" t="str">
        <f t="shared" si="9"/>
        <v>104. South Africa</v>
      </c>
    </row>
    <row r="314" spans="1:5" x14ac:dyDescent="0.25">
      <c r="A314" t="s">
        <v>99</v>
      </c>
      <c r="B314" t="s">
        <v>391</v>
      </c>
      <c r="C314">
        <v>9.6999999999999993</v>
      </c>
      <c r="D314">
        <f t="shared" si="8"/>
        <v>105</v>
      </c>
      <c r="E314" t="str">
        <f t="shared" si="9"/>
        <v>105. Iran, Islamic Rep.</v>
      </c>
    </row>
    <row r="315" spans="1:5" x14ac:dyDescent="0.25">
      <c r="A315" t="s">
        <v>95</v>
      </c>
      <c r="B315" t="s">
        <v>391</v>
      </c>
      <c r="C315">
        <v>9.4</v>
      </c>
      <c r="D315">
        <f t="shared" si="8"/>
        <v>106</v>
      </c>
      <c r="E315" t="str">
        <f t="shared" si="9"/>
        <v>106. Indonesia</v>
      </c>
    </row>
    <row r="316" spans="1:5" x14ac:dyDescent="0.25">
      <c r="A316" t="s">
        <v>19</v>
      </c>
      <c r="B316" t="s">
        <v>391</v>
      </c>
      <c r="C316">
        <v>9.1</v>
      </c>
      <c r="D316">
        <f t="shared" si="8"/>
        <v>107</v>
      </c>
      <c r="E316" t="str">
        <f t="shared" si="9"/>
        <v>107. Antigua and Barbuda</v>
      </c>
    </row>
    <row r="317" spans="1:5" x14ac:dyDescent="0.25">
      <c r="A317" t="s">
        <v>91</v>
      </c>
      <c r="B317" t="s">
        <v>391</v>
      </c>
      <c r="C317">
        <v>9.1</v>
      </c>
      <c r="D317">
        <f t="shared" si="8"/>
        <v>108</v>
      </c>
      <c r="E317" t="str">
        <f t="shared" si="9"/>
        <v>108. Honduras</v>
      </c>
    </row>
    <row r="318" spans="1:5" x14ac:dyDescent="0.25">
      <c r="A318" t="s">
        <v>210</v>
      </c>
      <c r="B318" t="s">
        <v>391</v>
      </c>
      <c r="C318">
        <v>9.1</v>
      </c>
      <c r="D318">
        <f t="shared" si="8"/>
        <v>109</v>
      </c>
      <c r="E318" t="str">
        <f t="shared" si="9"/>
        <v>109. Uzbekistan</v>
      </c>
    </row>
    <row r="319" spans="1:5" x14ac:dyDescent="0.25">
      <c r="A319" t="s">
        <v>187</v>
      </c>
      <c r="B319" t="s">
        <v>391</v>
      </c>
      <c r="C319">
        <v>8.9</v>
      </c>
      <c r="D319">
        <f t="shared" si="8"/>
        <v>110</v>
      </c>
      <c r="E319" t="str">
        <f t="shared" si="9"/>
        <v>110. Slovenia</v>
      </c>
    </row>
    <row r="320" spans="1:5" x14ac:dyDescent="0.25">
      <c r="A320" t="s">
        <v>85</v>
      </c>
      <c r="B320" t="s">
        <v>391</v>
      </c>
      <c r="C320">
        <v>8.8000000000000007</v>
      </c>
      <c r="D320">
        <f t="shared" si="8"/>
        <v>111</v>
      </c>
      <c r="E320" t="str">
        <f t="shared" si="9"/>
        <v>111. Grenada</v>
      </c>
    </row>
    <row r="321" spans="1:5" x14ac:dyDescent="0.25">
      <c r="A321" t="s">
        <v>62</v>
      </c>
      <c r="B321" t="s">
        <v>391</v>
      </c>
      <c r="C321">
        <v>8</v>
      </c>
      <c r="D321">
        <f t="shared" si="8"/>
        <v>112</v>
      </c>
      <c r="E321" t="str">
        <f t="shared" si="9"/>
        <v>112. Dominica</v>
      </c>
    </row>
    <row r="322" spans="1:5" x14ac:dyDescent="0.25">
      <c r="A322" t="s">
        <v>158</v>
      </c>
      <c r="B322" t="s">
        <v>391</v>
      </c>
      <c r="C322">
        <v>7.6</v>
      </c>
      <c r="D322">
        <f t="shared" si="8"/>
        <v>113</v>
      </c>
      <c r="E322" t="str">
        <f t="shared" si="9"/>
        <v>113. Panama</v>
      </c>
    </row>
    <row r="323" spans="1:5" x14ac:dyDescent="0.25">
      <c r="A323" t="s">
        <v>199</v>
      </c>
      <c r="B323" t="s">
        <v>391</v>
      </c>
      <c r="C323">
        <v>7.5</v>
      </c>
      <c r="D323">
        <f t="shared" ref="D323:D386" si="10">IF(ROW() = 2, 1, IF(B323 = B322, D322 + 1, 1))</f>
        <v>114</v>
      </c>
      <c r="E323" t="str">
        <f t="shared" ref="E323:E386" si="11">_xlfn.CONCAT(D323, ". ", A323)</f>
        <v>114. Timor-Leste</v>
      </c>
    </row>
    <row r="324" spans="1:5" x14ac:dyDescent="0.25">
      <c r="A324" t="s">
        <v>71</v>
      </c>
      <c r="B324" t="s">
        <v>391</v>
      </c>
      <c r="C324">
        <v>7.4</v>
      </c>
      <c r="D324">
        <f t="shared" si="10"/>
        <v>115</v>
      </c>
      <c r="E324" t="str">
        <f t="shared" si="11"/>
        <v>115. Finland</v>
      </c>
    </row>
    <row r="325" spans="1:5" x14ac:dyDescent="0.25">
      <c r="A325" t="s">
        <v>171</v>
      </c>
      <c r="B325" t="s">
        <v>391</v>
      </c>
      <c r="C325">
        <v>7.4</v>
      </c>
      <c r="D325">
        <f t="shared" si="10"/>
        <v>116</v>
      </c>
      <c r="E325" t="str">
        <f t="shared" si="11"/>
        <v>116. Russian Federation</v>
      </c>
    </row>
    <row r="326" spans="1:5" x14ac:dyDescent="0.25">
      <c r="A326" t="s">
        <v>31</v>
      </c>
      <c r="B326" t="s">
        <v>391</v>
      </c>
      <c r="C326">
        <v>7.2</v>
      </c>
      <c r="D326">
        <f t="shared" si="10"/>
        <v>117</v>
      </c>
      <c r="E326" t="str">
        <f t="shared" si="11"/>
        <v>117. Bosnia and Herzegovina</v>
      </c>
    </row>
    <row r="327" spans="1:5" x14ac:dyDescent="0.25">
      <c r="A327" t="s">
        <v>141</v>
      </c>
      <c r="B327" t="s">
        <v>391</v>
      </c>
      <c r="C327">
        <v>7.2</v>
      </c>
      <c r="D327">
        <f t="shared" si="10"/>
        <v>118</v>
      </c>
      <c r="E327" t="str">
        <f t="shared" si="11"/>
        <v>118. Mozambique</v>
      </c>
    </row>
    <row r="328" spans="1:5" x14ac:dyDescent="0.25">
      <c r="A328" t="s">
        <v>167</v>
      </c>
      <c r="B328" t="s">
        <v>391</v>
      </c>
      <c r="C328">
        <v>7</v>
      </c>
      <c r="D328">
        <f t="shared" si="10"/>
        <v>119</v>
      </c>
      <c r="E328" t="str">
        <f t="shared" si="11"/>
        <v>119. West Bank and Gaza</v>
      </c>
    </row>
    <row r="329" spans="1:5" x14ac:dyDescent="0.25">
      <c r="A329" t="s">
        <v>135</v>
      </c>
      <c r="B329" t="s">
        <v>391</v>
      </c>
      <c r="C329">
        <v>6.8</v>
      </c>
      <c r="D329">
        <f t="shared" si="10"/>
        <v>120</v>
      </c>
      <c r="E329" t="str">
        <f t="shared" si="11"/>
        <v>120. Mali</v>
      </c>
    </row>
    <row r="330" spans="1:5" x14ac:dyDescent="0.25">
      <c r="A330" t="s">
        <v>36</v>
      </c>
      <c r="B330" t="s">
        <v>391</v>
      </c>
      <c r="C330">
        <v>6.7</v>
      </c>
      <c r="D330">
        <f t="shared" si="10"/>
        <v>121</v>
      </c>
      <c r="E330" t="str">
        <f t="shared" si="11"/>
        <v>121. Brazil</v>
      </c>
    </row>
    <row r="331" spans="1:5" x14ac:dyDescent="0.25">
      <c r="A331" t="s">
        <v>109</v>
      </c>
      <c r="B331" t="s">
        <v>391</v>
      </c>
      <c r="C331">
        <v>6.7</v>
      </c>
      <c r="D331">
        <f t="shared" si="10"/>
        <v>122</v>
      </c>
      <c r="E331" t="str">
        <f t="shared" si="11"/>
        <v>122. Kyrgyz Republic</v>
      </c>
    </row>
    <row r="332" spans="1:5" x14ac:dyDescent="0.25">
      <c r="A332" t="s">
        <v>49</v>
      </c>
      <c r="B332" t="s">
        <v>391</v>
      </c>
      <c r="C332">
        <v>6.6</v>
      </c>
      <c r="D332">
        <f t="shared" si="10"/>
        <v>123</v>
      </c>
      <c r="E332" t="str">
        <f t="shared" si="11"/>
        <v>123. Congo, Dem. Rep.</v>
      </c>
    </row>
    <row r="333" spans="1:5" x14ac:dyDescent="0.25">
      <c r="A333" t="s">
        <v>98</v>
      </c>
      <c r="B333" t="s">
        <v>391</v>
      </c>
      <c r="C333">
        <v>6.4</v>
      </c>
      <c r="D333">
        <f t="shared" si="10"/>
        <v>124</v>
      </c>
      <c r="E333" t="str">
        <f t="shared" si="11"/>
        <v>124. Ireland</v>
      </c>
    </row>
    <row r="334" spans="1:5" x14ac:dyDescent="0.25">
      <c r="A334" t="s">
        <v>188</v>
      </c>
      <c r="B334" t="s">
        <v>391</v>
      </c>
      <c r="C334">
        <v>6.2</v>
      </c>
      <c r="D334">
        <f t="shared" si="10"/>
        <v>125</v>
      </c>
      <c r="E334" t="str">
        <f t="shared" si="11"/>
        <v>125. Sweden</v>
      </c>
    </row>
    <row r="335" spans="1:5" x14ac:dyDescent="0.25">
      <c r="A335" t="s">
        <v>197</v>
      </c>
      <c r="B335" t="s">
        <v>391</v>
      </c>
      <c r="C335">
        <v>6.1</v>
      </c>
      <c r="D335">
        <f t="shared" si="10"/>
        <v>126</v>
      </c>
      <c r="E335" t="str">
        <f t="shared" si="11"/>
        <v>126. Tajikistan</v>
      </c>
    </row>
    <row r="336" spans="1:5" x14ac:dyDescent="0.25">
      <c r="A336" t="s">
        <v>224</v>
      </c>
      <c r="B336" t="s">
        <v>391</v>
      </c>
      <c r="C336">
        <v>5.7</v>
      </c>
      <c r="D336">
        <f t="shared" si="10"/>
        <v>127</v>
      </c>
      <c r="E336" t="str">
        <f t="shared" si="11"/>
        <v>127. Eritrea</v>
      </c>
    </row>
    <row r="337" spans="1:5" x14ac:dyDescent="0.25">
      <c r="A337" t="s">
        <v>164</v>
      </c>
      <c r="B337" t="s">
        <v>391</v>
      </c>
      <c r="C337">
        <v>5.7</v>
      </c>
      <c r="D337">
        <f t="shared" si="10"/>
        <v>128</v>
      </c>
      <c r="E337" t="str">
        <f t="shared" si="11"/>
        <v>128. Puerto Rico (US)</v>
      </c>
    </row>
    <row r="338" spans="1:5" x14ac:dyDescent="0.25">
      <c r="A338" t="s">
        <v>34</v>
      </c>
      <c r="B338" t="s">
        <v>391</v>
      </c>
      <c r="C338">
        <v>5.6</v>
      </c>
      <c r="D338">
        <f t="shared" si="10"/>
        <v>129</v>
      </c>
      <c r="E338" t="str">
        <f t="shared" si="11"/>
        <v>129. Bermuda</v>
      </c>
    </row>
    <row r="339" spans="1:5" x14ac:dyDescent="0.25">
      <c r="A339" t="s">
        <v>115</v>
      </c>
      <c r="B339" t="s">
        <v>391</v>
      </c>
      <c r="C339">
        <v>5.3</v>
      </c>
      <c r="D339">
        <f t="shared" si="10"/>
        <v>130</v>
      </c>
      <c r="E339" t="str">
        <f t="shared" si="11"/>
        <v>130. Lao PDR</v>
      </c>
    </row>
    <row r="340" spans="1:5" x14ac:dyDescent="0.25">
      <c r="A340" t="s">
        <v>18</v>
      </c>
      <c r="B340" t="s">
        <v>391</v>
      </c>
      <c r="C340">
        <v>5.2</v>
      </c>
      <c r="D340">
        <f t="shared" si="10"/>
        <v>131</v>
      </c>
      <c r="E340" t="str">
        <f t="shared" si="11"/>
        <v>131. American Samoa</v>
      </c>
    </row>
    <row r="341" spans="1:5" x14ac:dyDescent="0.25">
      <c r="A341" t="s">
        <v>117</v>
      </c>
      <c r="B341" t="s">
        <v>391</v>
      </c>
      <c r="C341">
        <v>5.2</v>
      </c>
      <c r="D341">
        <f t="shared" si="10"/>
        <v>132</v>
      </c>
      <c r="E341" t="str">
        <f t="shared" si="11"/>
        <v>132. Liberia</v>
      </c>
    </row>
    <row r="342" spans="1:5" x14ac:dyDescent="0.25">
      <c r="A342" t="s">
        <v>130</v>
      </c>
      <c r="B342" t="s">
        <v>391</v>
      </c>
      <c r="C342">
        <v>5.2</v>
      </c>
      <c r="D342">
        <f t="shared" si="10"/>
        <v>133</v>
      </c>
      <c r="E342" t="str">
        <f t="shared" si="11"/>
        <v>133. Madagascar</v>
      </c>
    </row>
    <row r="343" spans="1:5" x14ac:dyDescent="0.25">
      <c r="A343" t="s">
        <v>35</v>
      </c>
      <c r="B343" t="s">
        <v>391</v>
      </c>
      <c r="C343">
        <v>5.0999999999999996</v>
      </c>
      <c r="D343">
        <f t="shared" si="10"/>
        <v>134</v>
      </c>
      <c r="E343" t="str">
        <f t="shared" si="11"/>
        <v>134. Bolivia</v>
      </c>
    </row>
    <row r="344" spans="1:5" x14ac:dyDescent="0.25">
      <c r="A344" t="s">
        <v>211</v>
      </c>
      <c r="B344" t="s">
        <v>391</v>
      </c>
      <c r="C344">
        <v>5.0999999999999996</v>
      </c>
      <c r="D344">
        <f t="shared" si="10"/>
        <v>135</v>
      </c>
      <c r="E344" t="str">
        <f t="shared" si="11"/>
        <v>135. St. Vincent and the Grenadines</v>
      </c>
    </row>
    <row r="345" spans="1:5" x14ac:dyDescent="0.25">
      <c r="A345" t="s">
        <v>219</v>
      </c>
      <c r="B345" t="s">
        <v>391</v>
      </c>
      <c r="C345">
        <v>5.0999999999999996</v>
      </c>
      <c r="D345">
        <f t="shared" si="10"/>
        <v>136</v>
      </c>
      <c r="E345" t="str">
        <f t="shared" si="11"/>
        <v>136. Zambia</v>
      </c>
    </row>
    <row r="346" spans="1:5" x14ac:dyDescent="0.25">
      <c r="A346" t="s">
        <v>201</v>
      </c>
      <c r="B346" t="s">
        <v>391</v>
      </c>
      <c r="C346">
        <v>4.9000000000000004</v>
      </c>
      <c r="D346">
        <f t="shared" si="10"/>
        <v>137</v>
      </c>
      <c r="E346" t="str">
        <f t="shared" si="11"/>
        <v>137. Trinidad and Tobago</v>
      </c>
    </row>
    <row r="347" spans="1:5" x14ac:dyDescent="0.25">
      <c r="A347" t="s">
        <v>33</v>
      </c>
      <c r="B347" t="s">
        <v>391</v>
      </c>
      <c r="C347">
        <v>4.4000000000000004</v>
      </c>
      <c r="D347">
        <f t="shared" si="10"/>
        <v>138</v>
      </c>
      <c r="E347" t="str">
        <f t="shared" si="11"/>
        <v>138. Belize</v>
      </c>
    </row>
    <row r="348" spans="1:5" x14ac:dyDescent="0.25">
      <c r="A348" t="s">
        <v>78</v>
      </c>
      <c r="B348" t="s">
        <v>391</v>
      </c>
      <c r="C348">
        <v>4.4000000000000004</v>
      </c>
      <c r="D348">
        <f t="shared" si="10"/>
        <v>139</v>
      </c>
      <c r="E348" t="str">
        <f t="shared" si="11"/>
        <v>139. Georgia</v>
      </c>
    </row>
    <row r="349" spans="1:5" x14ac:dyDescent="0.25">
      <c r="A349" t="s">
        <v>119</v>
      </c>
      <c r="B349" t="s">
        <v>391</v>
      </c>
      <c r="C349">
        <v>4.4000000000000004</v>
      </c>
      <c r="D349">
        <f t="shared" si="10"/>
        <v>140</v>
      </c>
      <c r="E349" t="str">
        <f t="shared" si="11"/>
        <v>140. St. Lucia</v>
      </c>
    </row>
    <row r="350" spans="1:5" x14ac:dyDescent="0.25">
      <c r="A350" t="s">
        <v>12</v>
      </c>
      <c r="B350" t="s">
        <v>391</v>
      </c>
      <c r="C350">
        <v>4.3</v>
      </c>
      <c r="D350">
        <f t="shared" si="10"/>
        <v>141</v>
      </c>
      <c r="E350" t="str">
        <f t="shared" si="11"/>
        <v>141. Angola</v>
      </c>
    </row>
    <row r="351" spans="1:5" x14ac:dyDescent="0.25">
      <c r="A351" t="s">
        <v>42</v>
      </c>
      <c r="B351" t="s">
        <v>391</v>
      </c>
      <c r="C351">
        <v>4.3</v>
      </c>
      <c r="D351">
        <f t="shared" si="10"/>
        <v>142</v>
      </c>
      <c r="E351" t="str">
        <f t="shared" si="11"/>
        <v>142. Canada</v>
      </c>
    </row>
    <row r="352" spans="1:5" x14ac:dyDescent="0.25">
      <c r="A352" t="s">
        <v>194</v>
      </c>
      <c r="B352" t="s">
        <v>391</v>
      </c>
      <c r="C352">
        <v>4.2</v>
      </c>
      <c r="D352">
        <f t="shared" si="10"/>
        <v>143</v>
      </c>
      <c r="E352" t="str">
        <f t="shared" si="11"/>
        <v>143. Chad</v>
      </c>
    </row>
    <row r="353" spans="1:5" x14ac:dyDescent="0.25">
      <c r="A353" t="s">
        <v>72</v>
      </c>
      <c r="B353" t="s">
        <v>391</v>
      </c>
      <c r="C353">
        <v>4.2</v>
      </c>
      <c r="D353">
        <f t="shared" si="10"/>
        <v>144</v>
      </c>
      <c r="E353" t="str">
        <f t="shared" si="11"/>
        <v>144. Fiji</v>
      </c>
    </row>
    <row r="354" spans="1:5" x14ac:dyDescent="0.25">
      <c r="A354" t="s">
        <v>184</v>
      </c>
      <c r="B354" t="s">
        <v>391</v>
      </c>
      <c r="C354">
        <v>4.2</v>
      </c>
      <c r="D354">
        <f t="shared" si="10"/>
        <v>145</v>
      </c>
      <c r="E354" t="str">
        <f t="shared" si="11"/>
        <v>145. Sao Tome and Principe</v>
      </c>
    </row>
    <row r="355" spans="1:5" x14ac:dyDescent="0.25">
      <c r="A355" t="s">
        <v>66</v>
      </c>
      <c r="B355" t="s">
        <v>391</v>
      </c>
      <c r="C355">
        <v>4.0999999999999996</v>
      </c>
      <c r="D355">
        <f t="shared" si="10"/>
        <v>146</v>
      </c>
      <c r="E355" t="str">
        <f t="shared" si="11"/>
        <v>146. Ecuador</v>
      </c>
    </row>
    <row r="356" spans="1:5" x14ac:dyDescent="0.25">
      <c r="A356" t="s">
        <v>20</v>
      </c>
      <c r="B356" t="s">
        <v>391</v>
      </c>
      <c r="C356">
        <v>4</v>
      </c>
      <c r="D356">
        <f t="shared" si="10"/>
        <v>147</v>
      </c>
      <c r="E356" t="str">
        <f t="shared" si="11"/>
        <v>147. Australia</v>
      </c>
    </row>
    <row r="357" spans="1:5" x14ac:dyDescent="0.25">
      <c r="A357" t="s">
        <v>215</v>
      </c>
      <c r="B357" t="s">
        <v>391</v>
      </c>
      <c r="C357">
        <v>3.9</v>
      </c>
      <c r="D357">
        <f t="shared" si="10"/>
        <v>148</v>
      </c>
      <c r="E357" t="str">
        <f t="shared" si="11"/>
        <v>148. Samoa</v>
      </c>
    </row>
    <row r="358" spans="1:5" x14ac:dyDescent="0.25">
      <c r="A358" t="s">
        <v>183</v>
      </c>
      <c r="B358" t="s">
        <v>391</v>
      </c>
      <c r="C358">
        <v>3.9</v>
      </c>
      <c r="D358">
        <f t="shared" si="10"/>
        <v>149</v>
      </c>
      <c r="E358" t="str">
        <f t="shared" si="11"/>
        <v>149. South Sudan</v>
      </c>
    </row>
    <row r="359" spans="1:5" x14ac:dyDescent="0.25">
      <c r="A359" t="s">
        <v>198</v>
      </c>
      <c r="B359" t="s">
        <v>391</v>
      </c>
      <c r="C359">
        <v>3.4</v>
      </c>
      <c r="D359">
        <f t="shared" si="10"/>
        <v>150</v>
      </c>
      <c r="E359" t="str">
        <f t="shared" si="11"/>
        <v>150. Turkmenistan</v>
      </c>
    </row>
    <row r="360" spans="1:5" x14ac:dyDescent="0.25">
      <c r="A360" t="s">
        <v>54</v>
      </c>
      <c r="B360" t="s">
        <v>391</v>
      </c>
      <c r="C360">
        <v>3.3</v>
      </c>
      <c r="D360">
        <f t="shared" si="10"/>
        <v>151</v>
      </c>
      <c r="E360" t="str">
        <f t="shared" si="11"/>
        <v>151. Costa Rica</v>
      </c>
    </row>
    <row r="361" spans="1:5" x14ac:dyDescent="0.25">
      <c r="A361" t="s">
        <v>65</v>
      </c>
      <c r="B361" t="s">
        <v>391</v>
      </c>
      <c r="C361">
        <v>3.2</v>
      </c>
      <c r="D361">
        <f t="shared" si="10"/>
        <v>152</v>
      </c>
      <c r="E361" t="str">
        <f t="shared" si="11"/>
        <v>152. Algeria</v>
      </c>
    </row>
    <row r="362" spans="1:5" x14ac:dyDescent="0.25">
      <c r="A362" t="s">
        <v>67</v>
      </c>
      <c r="B362" t="s">
        <v>391</v>
      </c>
      <c r="C362">
        <v>3.1</v>
      </c>
      <c r="D362">
        <f t="shared" si="10"/>
        <v>153</v>
      </c>
      <c r="E362" t="str">
        <f t="shared" si="11"/>
        <v>153. Egypt, Arab Rep.</v>
      </c>
    </row>
    <row r="363" spans="1:5" x14ac:dyDescent="0.25">
      <c r="A363" t="s">
        <v>159</v>
      </c>
      <c r="B363" t="s">
        <v>391</v>
      </c>
      <c r="C363">
        <v>3.1</v>
      </c>
      <c r="D363">
        <f t="shared" si="10"/>
        <v>154</v>
      </c>
      <c r="E363" t="str">
        <f t="shared" si="11"/>
        <v>154. Peru</v>
      </c>
    </row>
    <row r="364" spans="1:5" x14ac:dyDescent="0.25">
      <c r="A364" t="s">
        <v>41</v>
      </c>
      <c r="B364" t="s">
        <v>391</v>
      </c>
      <c r="C364">
        <v>2.9</v>
      </c>
      <c r="D364">
        <f t="shared" si="10"/>
        <v>155</v>
      </c>
      <c r="E364" t="str">
        <f t="shared" si="11"/>
        <v>155. Central African Republic</v>
      </c>
    </row>
    <row r="365" spans="1:5" x14ac:dyDescent="0.25">
      <c r="A365" t="s">
        <v>75</v>
      </c>
      <c r="B365" t="s">
        <v>391</v>
      </c>
      <c r="C365">
        <v>2.9</v>
      </c>
      <c r="D365">
        <f t="shared" si="10"/>
        <v>156</v>
      </c>
      <c r="E365" t="str">
        <f t="shared" si="11"/>
        <v>156. Micronesia, Fed. Sts.</v>
      </c>
    </row>
    <row r="366" spans="1:5" x14ac:dyDescent="0.25">
      <c r="A366" t="s">
        <v>223</v>
      </c>
      <c r="B366" t="s">
        <v>391</v>
      </c>
      <c r="C366">
        <v>2.9</v>
      </c>
      <c r="D366">
        <f t="shared" si="10"/>
        <v>157</v>
      </c>
      <c r="E366" t="str">
        <f t="shared" si="11"/>
        <v>157. Venezuela, RB</v>
      </c>
    </row>
    <row r="367" spans="1:5" x14ac:dyDescent="0.25">
      <c r="A367" t="s">
        <v>133</v>
      </c>
      <c r="B367" t="s">
        <v>391</v>
      </c>
      <c r="C367">
        <v>2.8</v>
      </c>
      <c r="D367">
        <f t="shared" si="10"/>
        <v>158</v>
      </c>
      <c r="E367" t="str">
        <f t="shared" si="11"/>
        <v>158. Marshall Islands</v>
      </c>
    </row>
    <row r="368" spans="1:5" x14ac:dyDescent="0.25">
      <c r="A368" t="s">
        <v>29</v>
      </c>
      <c r="B368" t="s">
        <v>391</v>
      </c>
      <c r="C368">
        <v>2.6</v>
      </c>
      <c r="D368">
        <f t="shared" si="10"/>
        <v>159</v>
      </c>
      <c r="E368" t="str">
        <f t="shared" si="11"/>
        <v>159. Bahrain</v>
      </c>
    </row>
    <row r="369" spans="1:5" x14ac:dyDescent="0.25">
      <c r="A369" t="s">
        <v>39</v>
      </c>
      <c r="B369" t="s">
        <v>391</v>
      </c>
      <c r="C369">
        <v>2.6</v>
      </c>
      <c r="D369">
        <f t="shared" si="10"/>
        <v>160</v>
      </c>
      <c r="E369" t="str">
        <f t="shared" si="11"/>
        <v>160. Bhutan</v>
      </c>
    </row>
    <row r="370" spans="1:5" x14ac:dyDescent="0.25">
      <c r="A370" t="s">
        <v>212</v>
      </c>
      <c r="B370" t="s">
        <v>391</v>
      </c>
      <c r="C370">
        <v>2.6</v>
      </c>
      <c r="D370">
        <f t="shared" si="10"/>
        <v>161</v>
      </c>
      <c r="E370" t="str">
        <f t="shared" si="11"/>
        <v>161. Virgin Islands (U.S.)</v>
      </c>
    </row>
    <row r="371" spans="1:5" x14ac:dyDescent="0.25">
      <c r="A371" t="s">
        <v>111</v>
      </c>
      <c r="B371" t="s">
        <v>391</v>
      </c>
      <c r="C371">
        <v>2.5</v>
      </c>
      <c r="D371">
        <f t="shared" si="10"/>
        <v>162</v>
      </c>
      <c r="E371" t="str">
        <f t="shared" si="11"/>
        <v>162. Kiribati</v>
      </c>
    </row>
    <row r="372" spans="1:5" x14ac:dyDescent="0.25">
      <c r="A372" t="s">
        <v>145</v>
      </c>
      <c r="B372" t="s">
        <v>391</v>
      </c>
      <c r="C372">
        <v>2.4</v>
      </c>
      <c r="D372">
        <f t="shared" si="10"/>
        <v>163</v>
      </c>
      <c r="E372" t="str">
        <f t="shared" si="11"/>
        <v>163. Malaysia</v>
      </c>
    </row>
    <row r="373" spans="1:5" x14ac:dyDescent="0.25">
      <c r="A373" t="s">
        <v>51</v>
      </c>
      <c r="B373" t="s">
        <v>391</v>
      </c>
      <c r="C373">
        <v>2.2999999999999998</v>
      </c>
      <c r="D373">
        <f t="shared" si="10"/>
        <v>164</v>
      </c>
      <c r="E373" t="str">
        <f t="shared" si="11"/>
        <v>164. Colombia</v>
      </c>
    </row>
    <row r="374" spans="1:5" x14ac:dyDescent="0.25">
      <c r="A374" t="s">
        <v>105</v>
      </c>
      <c r="B374" t="s">
        <v>391</v>
      </c>
      <c r="C374">
        <v>2.2999999999999998</v>
      </c>
      <c r="D374">
        <f t="shared" si="10"/>
        <v>165</v>
      </c>
      <c r="E374" t="str">
        <f t="shared" si="11"/>
        <v>165. Jordan</v>
      </c>
    </row>
    <row r="375" spans="1:5" x14ac:dyDescent="0.25">
      <c r="A375" t="s">
        <v>152</v>
      </c>
      <c r="B375" t="s">
        <v>391</v>
      </c>
      <c r="C375">
        <v>2.2000000000000002</v>
      </c>
      <c r="D375">
        <f t="shared" si="10"/>
        <v>166</v>
      </c>
      <c r="E375" t="str">
        <f t="shared" si="11"/>
        <v>166. Norway</v>
      </c>
    </row>
    <row r="376" spans="1:5" x14ac:dyDescent="0.25">
      <c r="A376" t="s">
        <v>217</v>
      </c>
      <c r="B376" t="s">
        <v>391</v>
      </c>
      <c r="C376">
        <v>2.2000000000000002</v>
      </c>
      <c r="D376">
        <f t="shared" si="10"/>
        <v>167</v>
      </c>
      <c r="E376" t="str">
        <f t="shared" si="11"/>
        <v>167. Yemen, Rep.</v>
      </c>
    </row>
    <row r="377" spans="1:5" x14ac:dyDescent="0.25">
      <c r="A377" t="s">
        <v>155</v>
      </c>
      <c r="B377" t="s">
        <v>391</v>
      </c>
      <c r="C377">
        <v>2</v>
      </c>
      <c r="D377">
        <f t="shared" si="10"/>
        <v>168</v>
      </c>
      <c r="E377" t="str">
        <f t="shared" si="11"/>
        <v>168. New Zealand</v>
      </c>
    </row>
    <row r="378" spans="1:5" x14ac:dyDescent="0.25">
      <c r="A378" t="s">
        <v>45</v>
      </c>
      <c r="B378" t="s">
        <v>391</v>
      </c>
      <c r="C378">
        <v>1.9</v>
      </c>
      <c r="D378">
        <f t="shared" si="10"/>
        <v>169</v>
      </c>
      <c r="E378" t="str">
        <f t="shared" si="11"/>
        <v>169. Chile</v>
      </c>
    </row>
    <row r="379" spans="1:5" x14ac:dyDescent="0.25">
      <c r="A379" t="s">
        <v>83</v>
      </c>
      <c r="B379" t="s">
        <v>391</v>
      </c>
      <c r="C379">
        <v>1.9</v>
      </c>
      <c r="D379">
        <f t="shared" si="10"/>
        <v>170</v>
      </c>
      <c r="E379" t="str">
        <f t="shared" si="11"/>
        <v>170. Equatorial Guinea</v>
      </c>
    </row>
    <row r="380" spans="1:5" x14ac:dyDescent="0.25">
      <c r="A380" t="s">
        <v>88</v>
      </c>
      <c r="B380" t="s">
        <v>391</v>
      </c>
      <c r="C380">
        <v>1.9</v>
      </c>
      <c r="D380">
        <f t="shared" si="10"/>
        <v>171</v>
      </c>
      <c r="E380" t="str">
        <f t="shared" si="11"/>
        <v>171. Guam</v>
      </c>
    </row>
    <row r="381" spans="1:5" x14ac:dyDescent="0.25">
      <c r="A381" t="s">
        <v>90</v>
      </c>
      <c r="B381" t="s">
        <v>391</v>
      </c>
      <c r="C381">
        <v>1.9</v>
      </c>
      <c r="D381">
        <f t="shared" si="10"/>
        <v>172</v>
      </c>
      <c r="E381" t="str">
        <f t="shared" si="11"/>
        <v>172. Hong Kong SAR, China</v>
      </c>
    </row>
    <row r="382" spans="1:5" x14ac:dyDescent="0.25">
      <c r="A382" t="s">
        <v>169</v>
      </c>
      <c r="B382" t="s">
        <v>391</v>
      </c>
      <c r="C382">
        <v>1.8</v>
      </c>
      <c r="D382">
        <f t="shared" si="10"/>
        <v>173</v>
      </c>
      <c r="E382" t="str">
        <f t="shared" si="11"/>
        <v>173. Qatar</v>
      </c>
    </row>
    <row r="383" spans="1:5" x14ac:dyDescent="0.25">
      <c r="A383" t="s">
        <v>222</v>
      </c>
      <c r="B383" t="s">
        <v>391</v>
      </c>
      <c r="C383">
        <v>1.8</v>
      </c>
      <c r="D383">
        <f t="shared" si="10"/>
        <v>174</v>
      </c>
      <c r="E383" t="str">
        <f t="shared" si="11"/>
        <v>174. Somalia, Fed. Rep.</v>
      </c>
    </row>
    <row r="384" spans="1:5" x14ac:dyDescent="0.25">
      <c r="A384" t="s">
        <v>14</v>
      </c>
      <c r="B384" t="s">
        <v>391</v>
      </c>
      <c r="C384">
        <v>1.6</v>
      </c>
      <c r="D384">
        <f t="shared" si="10"/>
        <v>175</v>
      </c>
      <c r="E384" t="str">
        <f t="shared" si="11"/>
        <v>175. Andorra</v>
      </c>
    </row>
    <row r="385" spans="1:5" x14ac:dyDescent="0.25">
      <c r="A385" t="s">
        <v>50</v>
      </c>
      <c r="B385" t="s">
        <v>391</v>
      </c>
      <c r="C385">
        <v>1.6</v>
      </c>
      <c r="D385">
        <f t="shared" si="10"/>
        <v>176</v>
      </c>
      <c r="E385" t="str">
        <f t="shared" si="11"/>
        <v>176. Congo, Rep.</v>
      </c>
    </row>
    <row r="386" spans="1:5" x14ac:dyDescent="0.25">
      <c r="A386" t="s">
        <v>173</v>
      </c>
      <c r="B386" t="s">
        <v>391</v>
      </c>
      <c r="C386">
        <v>1.6</v>
      </c>
      <c r="D386">
        <f t="shared" si="10"/>
        <v>177</v>
      </c>
      <c r="E386" t="str">
        <f t="shared" si="11"/>
        <v>177. Saudi Arabia</v>
      </c>
    </row>
    <row r="387" spans="1:5" x14ac:dyDescent="0.25">
      <c r="A387" t="s">
        <v>214</v>
      </c>
      <c r="B387" t="s">
        <v>391</v>
      </c>
      <c r="C387">
        <v>1.6</v>
      </c>
      <c r="D387">
        <f t="shared" ref="D387:D450" si="12">IF(ROW() = 2, 1, IF(B387 = B386, D386 + 1, 1))</f>
        <v>178</v>
      </c>
      <c r="E387" t="str">
        <f t="shared" ref="E387:E450" si="13">_xlfn.CONCAT(D387, ". ", A387)</f>
        <v>178. Vanuatu</v>
      </c>
    </row>
    <row r="388" spans="1:5" x14ac:dyDescent="0.25">
      <c r="A388" t="s">
        <v>76</v>
      </c>
      <c r="B388" t="s">
        <v>391</v>
      </c>
      <c r="C388">
        <v>1.3</v>
      </c>
      <c r="D388">
        <f t="shared" si="12"/>
        <v>179</v>
      </c>
      <c r="E388" t="str">
        <f t="shared" si="13"/>
        <v>179. Gabon</v>
      </c>
    </row>
    <row r="389" spans="1:5" x14ac:dyDescent="0.25">
      <c r="A389" t="s">
        <v>101</v>
      </c>
      <c r="B389" t="s">
        <v>391</v>
      </c>
      <c r="C389">
        <v>1.2</v>
      </c>
      <c r="D389">
        <f t="shared" si="12"/>
        <v>180</v>
      </c>
      <c r="E389" t="str">
        <f t="shared" si="13"/>
        <v>180. Iceland</v>
      </c>
    </row>
    <row r="390" spans="1:5" x14ac:dyDescent="0.25">
      <c r="A390" t="s">
        <v>193</v>
      </c>
      <c r="B390" t="s">
        <v>391</v>
      </c>
      <c r="C390">
        <v>1.1000000000000001</v>
      </c>
      <c r="D390">
        <f t="shared" si="12"/>
        <v>181</v>
      </c>
      <c r="E390" t="str">
        <f t="shared" si="13"/>
        <v>181. Turks and Caicos Islands</v>
      </c>
    </row>
    <row r="391" spans="1:5" x14ac:dyDescent="0.25">
      <c r="A391" t="s">
        <v>118</v>
      </c>
      <c r="B391" t="s">
        <v>391</v>
      </c>
      <c r="C391">
        <v>1</v>
      </c>
      <c r="D391">
        <f t="shared" si="12"/>
        <v>182</v>
      </c>
      <c r="E391" t="str">
        <f t="shared" si="13"/>
        <v>182. Libya</v>
      </c>
    </row>
    <row r="392" spans="1:5" x14ac:dyDescent="0.25">
      <c r="A392" t="s">
        <v>146</v>
      </c>
      <c r="B392" t="s">
        <v>391</v>
      </c>
      <c r="C392">
        <v>1</v>
      </c>
      <c r="D392">
        <f t="shared" si="12"/>
        <v>183</v>
      </c>
      <c r="E392" t="str">
        <f t="shared" si="13"/>
        <v>183. Namibia</v>
      </c>
    </row>
    <row r="393" spans="1:5" x14ac:dyDescent="0.25">
      <c r="A393" t="s">
        <v>30</v>
      </c>
      <c r="B393" t="s">
        <v>391</v>
      </c>
      <c r="C393">
        <v>0.8</v>
      </c>
      <c r="D393">
        <f t="shared" si="12"/>
        <v>184</v>
      </c>
      <c r="E393" t="str">
        <f t="shared" si="13"/>
        <v>184. Bahamas, The</v>
      </c>
    </row>
    <row r="394" spans="1:5" x14ac:dyDescent="0.25">
      <c r="A394" t="s">
        <v>38</v>
      </c>
      <c r="B394" t="s">
        <v>391</v>
      </c>
      <c r="C394">
        <v>0.8</v>
      </c>
      <c r="D394">
        <f t="shared" si="12"/>
        <v>185</v>
      </c>
      <c r="E394" t="str">
        <f t="shared" si="13"/>
        <v>185. Brunei Darussalam</v>
      </c>
    </row>
    <row r="395" spans="1:5" x14ac:dyDescent="0.25">
      <c r="A395" t="s">
        <v>57</v>
      </c>
      <c r="B395" t="s">
        <v>391</v>
      </c>
      <c r="C395">
        <v>0.8</v>
      </c>
      <c r="D395">
        <f t="shared" si="12"/>
        <v>186</v>
      </c>
      <c r="E395" t="str">
        <f t="shared" si="13"/>
        <v>186. Cayman Islands</v>
      </c>
    </row>
    <row r="396" spans="1:5" x14ac:dyDescent="0.25">
      <c r="A396" t="s">
        <v>176</v>
      </c>
      <c r="B396" t="s">
        <v>391</v>
      </c>
      <c r="C396">
        <v>0.8</v>
      </c>
      <c r="D396">
        <f t="shared" si="12"/>
        <v>187</v>
      </c>
      <c r="E396" t="str">
        <f t="shared" si="13"/>
        <v>187. Singapore</v>
      </c>
    </row>
    <row r="397" spans="1:5" x14ac:dyDescent="0.25">
      <c r="A397" t="s">
        <v>177</v>
      </c>
      <c r="B397" t="s">
        <v>391</v>
      </c>
      <c r="C397">
        <v>0.8</v>
      </c>
      <c r="D397">
        <f t="shared" si="12"/>
        <v>188</v>
      </c>
      <c r="E397" t="str">
        <f t="shared" si="13"/>
        <v>188. Solomon Islands</v>
      </c>
    </row>
    <row r="398" spans="1:5" x14ac:dyDescent="0.25">
      <c r="A398" t="s">
        <v>168</v>
      </c>
      <c r="B398" t="s">
        <v>391</v>
      </c>
      <c r="C398">
        <v>0.7</v>
      </c>
      <c r="D398">
        <f t="shared" si="12"/>
        <v>189</v>
      </c>
      <c r="E398" t="str">
        <f t="shared" si="13"/>
        <v>189. French Polynesia</v>
      </c>
    </row>
    <row r="399" spans="1:5" x14ac:dyDescent="0.25">
      <c r="A399" t="s">
        <v>139</v>
      </c>
      <c r="B399" t="s">
        <v>391</v>
      </c>
      <c r="C399">
        <v>0.7</v>
      </c>
      <c r="D399">
        <f t="shared" si="12"/>
        <v>190</v>
      </c>
      <c r="E399" t="str">
        <f t="shared" si="13"/>
        <v>190. Mongolia</v>
      </c>
    </row>
    <row r="400" spans="1:5" x14ac:dyDescent="0.25">
      <c r="A400" t="s">
        <v>138</v>
      </c>
      <c r="B400" t="s">
        <v>391</v>
      </c>
      <c r="C400">
        <v>0.7</v>
      </c>
      <c r="D400">
        <f t="shared" si="12"/>
        <v>191</v>
      </c>
      <c r="E400" t="str">
        <f t="shared" si="13"/>
        <v>191. Montenegro</v>
      </c>
    </row>
    <row r="401" spans="1:5" x14ac:dyDescent="0.25">
      <c r="A401" t="s">
        <v>161</v>
      </c>
      <c r="B401" t="s">
        <v>391</v>
      </c>
      <c r="C401">
        <v>0.7</v>
      </c>
      <c r="D401">
        <f t="shared" si="12"/>
        <v>192</v>
      </c>
      <c r="E401" t="str">
        <f t="shared" si="13"/>
        <v>192. Palau</v>
      </c>
    </row>
    <row r="402" spans="1:5" x14ac:dyDescent="0.25">
      <c r="A402" t="s">
        <v>162</v>
      </c>
      <c r="B402" t="s">
        <v>391</v>
      </c>
      <c r="C402">
        <v>0.7</v>
      </c>
      <c r="D402">
        <f t="shared" si="12"/>
        <v>193</v>
      </c>
      <c r="E402" t="str">
        <f t="shared" si="13"/>
        <v>193. Papua New Guinea</v>
      </c>
    </row>
    <row r="403" spans="1:5" x14ac:dyDescent="0.25">
      <c r="A403" t="s">
        <v>15</v>
      </c>
      <c r="B403" t="s">
        <v>391</v>
      </c>
      <c r="C403">
        <v>0.7</v>
      </c>
      <c r="D403">
        <f t="shared" si="12"/>
        <v>194</v>
      </c>
      <c r="E403" t="str">
        <f t="shared" si="13"/>
        <v>194. United Arab Emirates</v>
      </c>
    </row>
    <row r="404" spans="1:5" x14ac:dyDescent="0.25">
      <c r="A404" t="s">
        <v>40</v>
      </c>
      <c r="B404" t="s">
        <v>391</v>
      </c>
      <c r="C404">
        <v>0.5</v>
      </c>
      <c r="D404">
        <f t="shared" si="12"/>
        <v>195</v>
      </c>
      <c r="E404" t="str">
        <f t="shared" si="13"/>
        <v>195. Botswana</v>
      </c>
    </row>
    <row r="405" spans="1:5" x14ac:dyDescent="0.25">
      <c r="A405" t="s">
        <v>89</v>
      </c>
      <c r="B405" t="s">
        <v>391</v>
      </c>
      <c r="C405">
        <v>0.5</v>
      </c>
      <c r="D405">
        <f t="shared" si="12"/>
        <v>196</v>
      </c>
      <c r="E405" t="str">
        <f t="shared" si="13"/>
        <v>196. Guyana</v>
      </c>
    </row>
    <row r="406" spans="1:5" x14ac:dyDescent="0.25">
      <c r="A406" t="s">
        <v>114</v>
      </c>
      <c r="B406" t="s">
        <v>391</v>
      </c>
      <c r="C406">
        <v>0.4</v>
      </c>
      <c r="D406">
        <f t="shared" si="12"/>
        <v>197</v>
      </c>
      <c r="E406" t="str">
        <f t="shared" si="13"/>
        <v>197. Kuwait</v>
      </c>
    </row>
    <row r="407" spans="1:5" x14ac:dyDescent="0.25">
      <c r="A407" t="s">
        <v>142</v>
      </c>
      <c r="B407" t="s">
        <v>391</v>
      </c>
      <c r="C407">
        <v>0.4</v>
      </c>
      <c r="D407">
        <f t="shared" si="12"/>
        <v>198</v>
      </c>
      <c r="E407" t="str">
        <f t="shared" si="13"/>
        <v>198. Mauritania</v>
      </c>
    </row>
    <row r="408" spans="1:5" x14ac:dyDescent="0.25">
      <c r="A408" t="s">
        <v>147</v>
      </c>
      <c r="B408" t="s">
        <v>391</v>
      </c>
      <c r="C408">
        <v>0.3</v>
      </c>
      <c r="D408">
        <f t="shared" si="12"/>
        <v>199</v>
      </c>
      <c r="E408" t="str">
        <f t="shared" si="13"/>
        <v>199. New Caledonia</v>
      </c>
    </row>
    <row r="409" spans="1:5" x14ac:dyDescent="0.25">
      <c r="A409" t="s">
        <v>156</v>
      </c>
      <c r="B409" t="s">
        <v>391</v>
      </c>
      <c r="C409">
        <v>0.3</v>
      </c>
      <c r="D409">
        <f t="shared" si="12"/>
        <v>200</v>
      </c>
      <c r="E409" t="str">
        <f t="shared" si="13"/>
        <v>200. Oman</v>
      </c>
    </row>
    <row r="410" spans="1:5" x14ac:dyDescent="0.25">
      <c r="A410" t="s">
        <v>191</v>
      </c>
      <c r="B410" t="s">
        <v>391</v>
      </c>
      <c r="C410">
        <v>0.3</v>
      </c>
      <c r="D410">
        <f t="shared" si="12"/>
        <v>201</v>
      </c>
      <c r="E410" t="str">
        <f t="shared" si="13"/>
        <v>201. Seychelles</v>
      </c>
    </row>
    <row r="411" spans="1:5" x14ac:dyDescent="0.25">
      <c r="A411" t="s">
        <v>185</v>
      </c>
      <c r="B411" t="s">
        <v>391</v>
      </c>
      <c r="C411">
        <v>0.3</v>
      </c>
      <c r="D411">
        <f t="shared" si="12"/>
        <v>202</v>
      </c>
      <c r="E411" t="str">
        <f t="shared" si="13"/>
        <v>202. Suriname</v>
      </c>
    </row>
    <row r="412" spans="1:5" x14ac:dyDescent="0.25">
      <c r="A412" t="s">
        <v>140</v>
      </c>
      <c r="B412" t="s">
        <v>391</v>
      </c>
      <c r="C412">
        <v>0.2</v>
      </c>
      <c r="D412">
        <f t="shared" si="12"/>
        <v>203</v>
      </c>
      <c r="E412" t="str">
        <f t="shared" si="13"/>
        <v>203. Northern Mariana Islands</v>
      </c>
    </row>
    <row r="413" spans="1:5" x14ac:dyDescent="0.25">
      <c r="A413" t="s">
        <v>61</v>
      </c>
      <c r="B413" t="s">
        <v>391</v>
      </c>
      <c r="C413">
        <v>0.1</v>
      </c>
      <c r="D413">
        <f t="shared" si="12"/>
        <v>204</v>
      </c>
      <c r="E413" t="str">
        <f t="shared" si="13"/>
        <v>204. Djibouti</v>
      </c>
    </row>
    <row r="414" spans="1:5" x14ac:dyDescent="0.25">
      <c r="A414" t="s">
        <v>74</v>
      </c>
      <c r="B414" t="s">
        <v>391</v>
      </c>
      <c r="C414">
        <v>0.1</v>
      </c>
      <c r="D414">
        <f t="shared" si="12"/>
        <v>205</v>
      </c>
      <c r="E414" t="str">
        <f t="shared" si="13"/>
        <v>205. Faroe Islands</v>
      </c>
    </row>
    <row r="415" spans="1:5" x14ac:dyDescent="0.25">
      <c r="A415" t="s">
        <v>209</v>
      </c>
      <c r="B415" t="s">
        <v>329</v>
      </c>
      <c r="C415">
        <v>3724</v>
      </c>
      <c r="D415">
        <f t="shared" si="12"/>
        <v>1</v>
      </c>
      <c r="E415" t="str">
        <f t="shared" si="13"/>
        <v>1. United States</v>
      </c>
    </row>
    <row r="416" spans="1:5" x14ac:dyDescent="0.25">
      <c r="A416" t="s">
        <v>46</v>
      </c>
      <c r="B416" t="s">
        <v>329</v>
      </c>
      <c r="C416">
        <v>3140.5</v>
      </c>
      <c r="D416">
        <f t="shared" si="12"/>
        <v>2</v>
      </c>
      <c r="E416" t="str">
        <f t="shared" si="13"/>
        <v>2. China</v>
      </c>
    </row>
    <row r="417" spans="1:5" x14ac:dyDescent="0.25">
      <c r="A417" t="s">
        <v>60</v>
      </c>
      <c r="B417" t="s">
        <v>329</v>
      </c>
      <c r="C417">
        <v>960.7</v>
      </c>
      <c r="D417">
        <f t="shared" si="12"/>
        <v>3</v>
      </c>
      <c r="E417" t="str">
        <f t="shared" si="13"/>
        <v>3. Germany</v>
      </c>
    </row>
    <row r="418" spans="1:5" x14ac:dyDescent="0.25">
      <c r="A418" t="s">
        <v>73</v>
      </c>
      <c r="B418" t="s">
        <v>329</v>
      </c>
      <c r="C418">
        <v>705.7</v>
      </c>
      <c r="D418">
        <f t="shared" si="12"/>
        <v>4</v>
      </c>
      <c r="E418" t="str">
        <f t="shared" si="13"/>
        <v>4. France</v>
      </c>
    </row>
    <row r="419" spans="1:5" x14ac:dyDescent="0.25">
      <c r="A419" t="s">
        <v>77</v>
      </c>
      <c r="B419" t="s">
        <v>329</v>
      </c>
      <c r="C419">
        <v>692.4</v>
      </c>
      <c r="D419">
        <f t="shared" si="12"/>
        <v>5</v>
      </c>
      <c r="E419" t="str">
        <f t="shared" si="13"/>
        <v>5. United Kingdom</v>
      </c>
    </row>
    <row r="420" spans="1:5" x14ac:dyDescent="0.25">
      <c r="A420" t="s">
        <v>42</v>
      </c>
      <c r="B420" t="s">
        <v>329</v>
      </c>
      <c r="C420">
        <v>454.3</v>
      </c>
      <c r="D420">
        <f t="shared" si="12"/>
        <v>6</v>
      </c>
      <c r="E420" t="str">
        <f t="shared" si="13"/>
        <v>6. Canada</v>
      </c>
    </row>
    <row r="421" spans="1:5" x14ac:dyDescent="0.25">
      <c r="A421" t="s">
        <v>36</v>
      </c>
      <c r="B421" t="s">
        <v>329</v>
      </c>
      <c r="C421">
        <v>417.2</v>
      </c>
      <c r="D421">
        <f t="shared" si="12"/>
        <v>7</v>
      </c>
      <c r="E421" t="str">
        <f t="shared" si="13"/>
        <v>7. Brazil</v>
      </c>
    </row>
    <row r="422" spans="1:5" x14ac:dyDescent="0.25">
      <c r="A422" t="s">
        <v>103</v>
      </c>
      <c r="B422" t="s">
        <v>329</v>
      </c>
      <c r="C422">
        <v>409.3</v>
      </c>
      <c r="D422">
        <f t="shared" si="12"/>
        <v>8</v>
      </c>
      <c r="E422" t="str">
        <f t="shared" si="13"/>
        <v>8. Italy</v>
      </c>
    </row>
    <row r="423" spans="1:5" x14ac:dyDescent="0.25">
      <c r="A423" t="s">
        <v>97</v>
      </c>
      <c r="B423" t="s">
        <v>329</v>
      </c>
      <c r="C423">
        <v>375</v>
      </c>
      <c r="D423">
        <f t="shared" si="12"/>
        <v>9</v>
      </c>
      <c r="E423" t="str">
        <f t="shared" si="13"/>
        <v>9. India</v>
      </c>
    </row>
    <row r="424" spans="1:5" x14ac:dyDescent="0.25">
      <c r="A424" t="s">
        <v>171</v>
      </c>
      <c r="B424" t="s">
        <v>329</v>
      </c>
      <c r="C424">
        <v>372</v>
      </c>
      <c r="D424">
        <f t="shared" si="12"/>
        <v>10</v>
      </c>
      <c r="E424" t="str">
        <f t="shared" si="13"/>
        <v>10. Russian Federation</v>
      </c>
    </row>
    <row r="425" spans="1:5" x14ac:dyDescent="0.25">
      <c r="A425" t="s">
        <v>20</v>
      </c>
      <c r="B425" t="s">
        <v>329</v>
      </c>
      <c r="C425">
        <v>368.3</v>
      </c>
      <c r="D425">
        <f t="shared" si="12"/>
        <v>11</v>
      </c>
      <c r="E425" t="str">
        <f t="shared" si="13"/>
        <v>11. Australia</v>
      </c>
    </row>
    <row r="426" spans="1:5" x14ac:dyDescent="0.25">
      <c r="A426" t="s">
        <v>113</v>
      </c>
      <c r="B426" t="s">
        <v>329</v>
      </c>
      <c r="C426">
        <v>323.7</v>
      </c>
      <c r="D426">
        <f t="shared" si="12"/>
        <v>12</v>
      </c>
      <c r="E426" t="str">
        <f t="shared" si="13"/>
        <v>12. Korea, Rep.</v>
      </c>
    </row>
    <row r="427" spans="1:5" x14ac:dyDescent="0.25">
      <c r="A427" t="s">
        <v>68</v>
      </c>
      <c r="B427" t="s">
        <v>329</v>
      </c>
      <c r="C427">
        <v>315.3</v>
      </c>
      <c r="D427">
        <f t="shared" si="12"/>
        <v>13</v>
      </c>
      <c r="E427" t="str">
        <f t="shared" si="13"/>
        <v>13. Spain</v>
      </c>
    </row>
    <row r="428" spans="1:5" x14ac:dyDescent="0.25">
      <c r="A428" t="s">
        <v>151</v>
      </c>
      <c r="B428" t="s">
        <v>329</v>
      </c>
      <c r="C428">
        <v>282.89999999999998</v>
      </c>
      <c r="D428">
        <f t="shared" si="12"/>
        <v>14</v>
      </c>
      <c r="E428" t="str">
        <f t="shared" si="13"/>
        <v>14. Netherlands</v>
      </c>
    </row>
    <row r="429" spans="1:5" x14ac:dyDescent="0.25">
      <c r="A429" t="s">
        <v>173</v>
      </c>
      <c r="B429" t="s">
        <v>329</v>
      </c>
      <c r="C429">
        <v>255.1</v>
      </c>
      <c r="D429">
        <f t="shared" si="12"/>
        <v>15</v>
      </c>
      <c r="E429" t="str">
        <f t="shared" si="13"/>
        <v>15. Saudi Arabia</v>
      </c>
    </row>
    <row r="430" spans="1:5" x14ac:dyDescent="0.25">
      <c r="A430" t="s">
        <v>132</v>
      </c>
      <c r="B430" t="s">
        <v>329</v>
      </c>
      <c r="C430">
        <v>199.1</v>
      </c>
      <c r="D430">
        <f t="shared" si="12"/>
        <v>16</v>
      </c>
      <c r="E430" t="str">
        <f t="shared" si="13"/>
        <v>16. Mexico</v>
      </c>
    </row>
    <row r="431" spans="1:5" x14ac:dyDescent="0.25">
      <c r="A431" t="s">
        <v>163</v>
      </c>
      <c r="B431" t="s">
        <v>329</v>
      </c>
      <c r="C431">
        <v>153.9</v>
      </c>
      <c r="D431">
        <f t="shared" si="12"/>
        <v>17</v>
      </c>
      <c r="E431" t="str">
        <f t="shared" si="13"/>
        <v>17. Poland</v>
      </c>
    </row>
    <row r="432" spans="1:5" x14ac:dyDescent="0.25">
      <c r="A432" t="s">
        <v>24</v>
      </c>
      <c r="B432" t="s">
        <v>329</v>
      </c>
      <c r="C432">
        <v>153.30000000000001</v>
      </c>
      <c r="D432">
        <f t="shared" si="12"/>
        <v>18</v>
      </c>
      <c r="E432" t="str">
        <f t="shared" si="13"/>
        <v>18. Belgium</v>
      </c>
    </row>
    <row r="433" spans="1:5" x14ac:dyDescent="0.25">
      <c r="A433" t="s">
        <v>188</v>
      </c>
      <c r="B433" t="s">
        <v>329</v>
      </c>
      <c r="C433">
        <v>152.4</v>
      </c>
      <c r="D433">
        <f t="shared" si="12"/>
        <v>19</v>
      </c>
      <c r="E433" t="str">
        <f t="shared" si="13"/>
        <v>19. Sweden</v>
      </c>
    </row>
    <row r="434" spans="1:5" x14ac:dyDescent="0.25">
      <c r="A434" t="s">
        <v>203</v>
      </c>
      <c r="B434" t="s">
        <v>329</v>
      </c>
      <c r="C434">
        <v>146.5</v>
      </c>
      <c r="D434">
        <f t="shared" si="12"/>
        <v>20</v>
      </c>
      <c r="E434" t="str">
        <f t="shared" si="13"/>
        <v>20. Turkiye</v>
      </c>
    </row>
    <row r="435" spans="1:5" x14ac:dyDescent="0.25">
      <c r="A435" t="s">
        <v>102</v>
      </c>
      <c r="B435" t="s">
        <v>329</v>
      </c>
      <c r="C435">
        <v>114.3</v>
      </c>
      <c r="D435">
        <f t="shared" si="12"/>
        <v>21</v>
      </c>
      <c r="E435" t="str">
        <f t="shared" si="13"/>
        <v>21. Israel</v>
      </c>
    </row>
    <row r="436" spans="1:5" x14ac:dyDescent="0.25">
      <c r="A436" t="s">
        <v>152</v>
      </c>
      <c r="B436" t="s">
        <v>329</v>
      </c>
      <c r="C436">
        <v>106.5</v>
      </c>
      <c r="D436">
        <f t="shared" si="12"/>
        <v>22</v>
      </c>
      <c r="E436" t="str">
        <f t="shared" si="13"/>
        <v>22. Norway</v>
      </c>
    </row>
    <row r="437" spans="1:5" x14ac:dyDescent="0.25">
      <c r="A437" t="s">
        <v>16</v>
      </c>
      <c r="B437" t="s">
        <v>329</v>
      </c>
      <c r="C437">
        <v>105.9</v>
      </c>
      <c r="D437">
        <f t="shared" si="12"/>
        <v>23</v>
      </c>
      <c r="E437" t="str">
        <f t="shared" si="13"/>
        <v>23. Argentina</v>
      </c>
    </row>
    <row r="438" spans="1:5" x14ac:dyDescent="0.25">
      <c r="A438" t="s">
        <v>21</v>
      </c>
      <c r="B438" t="s">
        <v>329</v>
      </c>
      <c r="C438">
        <v>104.7</v>
      </c>
      <c r="D438">
        <f t="shared" si="12"/>
        <v>24</v>
      </c>
      <c r="E438" t="str">
        <f t="shared" si="13"/>
        <v>24. Austria</v>
      </c>
    </row>
    <row r="439" spans="1:5" x14ac:dyDescent="0.25">
      <c r="A439" t="s">
        <v>95</v>
      </c>
      <c r="B439" t="s">
        <v>329</v>
      </c>
      <c r="C439">
        <v>102.2</v>
      </c>
      <c r="D439">
        <f t="shared" si="12"/>
        <v>25</v>
      </c>
      <c r="E439" t="str">
        <f t="shared" si="13"/>
        <v>25. Indonesia</v>
      </c>
    </row>
    <row r="440" spans="1:5" x14ac:dyDescent="0.25">
      <c r="A440" t="s">
        <v>43</v>
      </c>
      <c r="B440" t="s">
        <v>329</v>
      </c>
      <c r="C440">
        <v>100.7</v>
      </c>
      <c r="D440">
        <f t="shared" si="12"/>
        <v>26</v>
      </c>
      <c r="E440" t="str">
        <f t="shared" si="13"/>
        <v>26. Switzerland</v>
      </c>
    </row>
    <row r="441" spans="1:5" x14ac:dyDescent="0.25">
      <c r="A441" t="s">
        <v>63</v>
      </c>
      <c r="B441" t="s">
        <v>329</v>
      </c>
      <c r="C441">
        <v>91.5</v>
      </c>
      <c r="D441">
        <f t="shared" si="12"/>
        <v>27</v>
      </c>
      <c r="E441" t="str">
        <f t="shared" si="13"/>
        <v>27. Denmark</v>
      </c>
    </row>
    <row r="442" spans="1:5" x14ac:dyDescent="0.25">
      <c r="A442" t="s">
        <v>196</v>
      </c>
      <c r="B442" t="s">
        <v>329</v>
      </c>
      <c r="C442">
        <v>85.7</v>
      </c>
      <c r="D442">
        <f t="shared" si="12"/>
        <v>28</v>
      </c>
      <c r="E442" t="str">
        <f t="shared" si="13"/>
        <v>28. Thailand</v>
      </c>
    </row>
    <row r="443" spans="1:5" x14ac:dyDescent="0.25">
      <c r="A443" t="s">
        <v>207</v>
      </c>
      <c r="B443" t="s">
        <v>329</v>
      </c>
      <c r="C443">
        <v>75.900000000000006</v>
      </c>
      <c r="D443">
        <f t="shared" si="12"/>
        <v>29</v>
      </c>
      <c r="E443" t="str">
        <f t="shared" si="13"/>
        <v>29. Ukraine</v>
      </c>
    </row>
    <row r="444" spans="1:5" x14ac:dyDescent="0.25">
      <c r="A444" t="s">
        <v>71</v>
      </c>
      <c r="B444" t="s">
        <v>329</v>
      </c>
      <c r="C444">
        <v>75.599999999999994</v>
      </c>
      <c r="D444">
        <f t="shared" si="12"/>
        <v>30</v>
      </c>
      <c r="E444" t="str">
        <f t="shared" si="13"/>
        <v>30. Finland</v>
      </c>
    </row>
    <row r="445" spans="1:5" x14ac:dyDescent="0.25">
      <c r="A445" t="s">
        <v>218</v>
      </c>
      <c r="B445" t="s">
        <v>329</v>
      </c>
      <c r="C445">
        <v>73.7</v>
      </c>
      <c r="D445">
        <f t="shared" si="12"/>
        <v>31</v>
      </c>
      <c r="E445" t="str">
        <f t="shared" si="13"/>
        <v>31. South Africa</v>
      </c>
    </row>
    <row r="446" spans="1:5" x14ac:dyDescent="0.25">
      <c r="A446" t="s">
        <v>59</v>
      </c>
      <c r="B446" t="s">
        <v>329</v>
      </c>
      <c r="C446">
        <v>67.5</v>
      </c>
      <c r="D446">
        <f t="shared" si="12"/>
        <v>32</v>
      </c>
      <c r="E446" t="str">
        <f t="shared" si="13"/>
        <v>32. Czechia</v>
      </c>
    </row>
    <row r="447" spans="1:5" x14ac:dyDescent="0.25">
      <c r="A447" t="s">
        <v>98</v>
      </c>
      <c r="B447" t="s">
        <v>329</v>
      </c>
      <c r="C447">
        <v>67.099999999999994</v>
      </c>
      <c r="D447">
        <f t="shared" si="12"/>
        <v>33</v>
      </c>
      <c r="E447" t="str">
        <f t="shared" si="13"/>
        <v>33. Ireland</v>
      </c>
    </row>
    <row r="448" spans="1:5" x14ac:dyDescent="0.25">
      <c r="A448" t="s">
        <v>15</v>
      </c>
      <c r="B448" t="s">
        <v>329</v>
      </c>
      <c r="C448">
        <v>63.9</v>
      </c>
      <c r="D448">
        <f t="shared" si="12"/>
        <v>34</v>
      </c>
      <c r="E448" t="str">
        <f t="shared" si="13"/>
        <v>34. United Arab Emirates</v>
      </c>
    </row>
    <row r="449" spans="1:5" x14ac:dyDescent="0.25">
      <c r="A449" t="s">
        <v>160</v>
      </c>
      <c r="B449" t="s">
        <v>329</v>
      </c>
      <c r="C449">
        <v>62.2</v>
      </c>
      <c r="D449">
        <f t="shared" si="12"/>
        <v>35</v>
      </c>
      <c r="E449" t="str">
        <f t="shared" si="13"/>
        <v>35. Philippines</v>
      </c>
    </row>
    <row r="450" spans="1:5" x14ac:dyDescent="0.25">
      <c r="A450" t="s">
        <v>170</v>
      </c>
      <c r="B450" t="s">
        <v>329</v>
      </c>
      <c r="C450">
        <v>60.1</v>
      </c>
      <c r="D450">
        <f t="shared" si="12"/>
        <v>36</v>
      </c>
      <c r="E450" t="str">
        <f t="shared" si="13"/>
        <v>36. Romania</v>
      </c>
    </row>
    <row r="451" spans="1:5" x14ac:dyDescent="0.25">
      <c r="A451" t="s">
        <v>51</v>
      </c>
      <c r="B451" t="s">
        <v>329</v>
      </c>
      <c r="C451">
        <v>53.7</v>
      </c>
      <c r="D451">
        <f t="shared" ref="D451:D514" si="14">IF(ROW() = 2, 1, IF(B451 = B450, D450 + 1, 1))</f>
        <v>37</v>
      </c>
      <c r="E451" t="str">
        <f t="shared" ref="E451:E514" si="15">_xlfn.CONCAT(D451, ". ", A451)</f>
        <v>37. Colombia</v>
      </c>
    </row>
    <row r="452" spans="1:5" x14ac:dyDescent="0.25">
      <c r="A452" t="s">
        <v>99</v>
      </c>
      <c r="B452" t="s">
        <v>329</v>
      </c>
      <c r="C452">
        <v>52.1</v>
      </c>
      <c r="D452">
        <f t="shared" si="14"/>
        <v>38</v>
      </c>
      <c r="E452" t="str">
        <f t="shared" si="15"/>
        <v>38. Iran, Islamic Rep.</v>
      </c>
    </row>
    <row r="453" spans="1:5" x14ac:dyDescent="0.25">
      <c r="A453" t="s">
        <v>45</v>
      </c>
      <c r="B453" t="s">
        <v>329</v>
      </c>
      <c r="C453">
        <v>51.3</v>
      </c>
      <c r="D453">
        <f t="shared" si="14"/>
        <v>39</v>
      </c>
      <c r="E453" t="str">
        <f t="shared" si="15"/>
        <v>39. Chile</v>
      </c>
    </row>
    <row r="454" spans="1:5" x14ac:dyDescent="0.25">
      <c r="A454" t="s">
        <v>90</v>
      </c>
      <c r="B454" t="s">
        <v>329</v>
      </c>
      <c r="C454">
        <v>50.7</v>
      </c>
      <c r="D454">
        <f t="shared" si="14"/>
        <v>40</v>
      </c>
      <c r="E454" t="str">
        <f t="shared" si="15"/>
        <v>40. Hong Kong SAR, China</v>
      </c>
    </row>
    <row r="455" spans="1:5" x14ac:dyDescent="0.25">
      <c r="A455" t="s">
        <v>176</v>
      </c>
      <c r="B455" t="s">
        <v>329</v>
      </c>
      <c r="C455">
        <v>50.5</v>
      </c>
      <c r="D455">
        <f t="shared" si="14"/>
        <v>41</v>
      </c>
      <c r="E455" t="str">
        <f t="shared" si="15"/>
        <v>41. Singapore</v>
      </c>
    </row>
    <row r="456" spans="1:5" x14ac:dyDescent="0.25">
      <c r="A456" t="s">
        <v>165</v>
      </c>
      <c r="B456" t="s">
        <v>329</v>
      </c>
      <c r="C456">
        <v>48.8</v>
      </c>
      <c r="D456">
        <f t="shared" si="14"/>
        <v>42</v>
      </c>
      <c r="E456" t="str">
        <f t="shared" si="15"/>
        <v>42. Portugal</v>
      </c>
    </row>
    <row r="457" spans="1:5" x14ac:dyDescent="0.25">
      <c r="A457" t="s">
        <v>145</v>
      </c>
      <c r="B457" t="s">
        <v>329</v>
      </c>
      <c r="C457">
        <v>47.8</v>
      </c>
      <c r="D457">
        <f t="shared" si="14"/>
        <v>43</v>
      </c>
      <c r="E457" t="str">
        <f t="shared" si="15"/>
        <v>43. Malaysia</v>
      </c>
    </row>
    <row r="458" spans="1:5" x14ac:dyDescent="0.25">
      <c r="A458" t="s">
        <v>100</v>
      </c>
      <c r="B458" t="s">
        <v>329</v>
      </c>
      <c r="C458">
        <v>47.1</v>
      </c>
      <c r="D458">
        <f t="shared" si="14"/>
        <v>44</v>
      </c>
      <c r="E458" t="str">
        <f t="shared" si="15"/>
        <v>44. Iraq</v>
      </c>
    </row>
    <row r="459" spans="1:5" x14ac:dyDescent="0.25">
      <c r="A459" t="s">
        <v>84</v>
      </c>
      <c r="B459" t="s">
        <v>329</v>
      </c>
      <c r="C459">
        <v>47</v>
      </c>
      <c r="D459">
        <f t="shared" si="14"/>
        <v>45</v>
      </c>
      <c r="E459" t="str">
        <f t="shared" si="15"/>
        <v>45. Greece</v>
      </c>
    </row>
    <row r="460" spans="1:5" x14ac:dyDescent="0.25">
      <c r="A460" t="s">
        <v>65</v>
      </c>
      <c r="B460" t="s">
        <v>329</v>
      </c>
      <c r="C460">
        <v>44.4</v>
      </c>
      <c r="D460">
        <f t="shared" si="14"/>
        <v>46</v>
      </c>
      <c r="E460" t="str">
        <f t="shared" si="15"/>
        <v>46. Algeria</v>
      </c>
    </row>
    <row r="461" spans="1:5" x14ac:dyDescent="0.25">
      <c r="A461" t="s">
        <v>94</v>
      </c>
      <c r="B461" t="s">
        <v>329</v>
      </c>
      <c r="C461">
        <v>42.5</v>
      </c>
      <c r="D461">
        <f t="shared" si="14"/>
        <v>47</v>
      </c>
      <c r="E461" t="str">
        <f t="shared" si="15"/>
        <v>47. Hungary</v>
      </c>
    </row>
    <row r="462" spans="1:5" x14ac:dyDescent="0.25">
      <c r="A462" t="s">
        <v>213</v>
      </c>
      <c r="B462" t="s">
        <v>329</v>
      </c>
      <c r="C462">
        <v>38.4</v>
      </c>
      <c r="D462">
        <f t="shared" si="14"/>
        <v>48</v>
      </c>
      <c r="E462" t="str">
        <f t="shared" si="15"/>
        <v>48. Viet Nam</v>
      </c>
    </row>
    <row r="463" spans="1:5" x14ac:dyDescent="0.25">
      <c r="A463" t="s">
        <v>159</v>
      </c>
      <c r="B463" t="s">
        <v>329</v>
      </c>
      <c r="C463">
        <v>36.200000000000003</v>
      </c>
      <c r="D463">
        <f t="shared" si="14"/>
        <v>49</v>
      </c>
      <c r="E463" t="str">
        <f t="shared" si="15"/>
        <v>49. Peru</v>
      </c>
    </row>
    <row r="464" spans="1:5" x14ac:dyDescent="0.25">
      <c r="A464" t="s">
        <v>157</v>
      </c>
      <c r="B464" t="s">
        <v>329</v>
      </c>
      <c r="C464">
        <v>34.799999999999997</v>
      </c>
      <c r="D464">
        <f t="shared" si="14"/>
        <v>50</v>
      </c>
      <c r="E464" t="str">
        <f t="shared" si="15"/>
        <v>50. Pakistan</v>
      </c>
    </row>
    <row r="465" spans="1:5" x14ac:dyDescent="0.25">
      <c r="A465" t="s">
        <v>107</v>
      </c>
      <c r="B465" t="s">
        <v>329</v>
      </c>
      <c r="C465">
        <v>29.2</v>
      </c>
      <c r="D465">
        <f t="shared" si="14"/>
        <v>51</v>
      </c>
      <c r="E465" t="str">
        <f t="shared" si="15"/>
        <v>51. Kazakhstan</v>
      </c>
    </row>
    <row r="466" spans="1:5" x14ac:dyDescent="0.25">
      <c r="A466" t="s">
        <v>67</v>
      </c>
      <c r="B466" t="s">
        <v>329</v>
      </c>
      <c r="C466">
        <v>26.9</v>
      </c>
      <c r="D466">
        <f t="shared" si="14"/>
        <v>52</v>
      </c>
      <c r="E466" t="str">
        <f t="shared" si="15"/>
        <v>52. Egypt, Arab Rep.</v>
      </c>
    </row>
    <row r="467" spans="1:5" x14ac:dyDescent="0.25">
      <c r="A467" t="s">
        <v>186</v>
      </c>
      <c r="B467" t="s">
        <v>329</v>
      </c>
      <c r="C467">
        <v>26.7</v>
      </c>
      <c r="D467">
        <f t="shared" si="14"/>
        <v>53</v>
      </c>
      <c r="E467" t="str">
        <f t="shared" si="15"/>
        <v>53. Slovak Republic</v>
      </c>
    </row>
    <row r="468" spans="1:5" x14ac:dyDescent="0.25">
      <c r="A468" t="s">
        <v>127</v>
      </c>
      <c r="B468" t="s">
        <v>329</v>
      </c>
      <c r="C468">
        <v>26.1</v>
      </c>
      <c r="D468">
        <f t="shared" si="14"/>
        <v>54</v>
      </c>
      <c r="E468" t="str">
        <f t="shared" si="15"/>
        <v>54. Morocco</v>
      </c>
    </row>
    <row r="469" spans="1:5" x14ac:dyDescent="0.25">
      <c r="A469" t="s">
        <v>27</v>
      </c>
      <c r="B469" t="s">
        <v>329</v>
      </c>
      <c r="C469">
        <v>24.8</v>
      </c>
      <c r="D469">
        <f t="shared" si="14"/>
        <v>55</v>
      </c>
      <c r="E469" t="str">
        <f t="shared" si="15"/>
        <v>55. Bangladesh</v>
      </c>
    </row>
    <row r="470" spans="1:5" x14ac:dyDescent="0.25">
      <c r="A470" t="s">
        <v>156</v>
      </c>
      <c r="B470" t="s">
        <v>329</v>
      </c>
      <c r="C470">
        <v>20.2</v>
      </c>
      <c r="D470">
        <f t="shared" si="14"/>
        <v>56</v>
      </c>
      <c r="E470" t="str">
        <f t="shared" si="15"/>
        <v>56. Oman</v>
      </c>
    </row>
    <row r="471" spans="1:5" x14ac:dyDescent="0.25">
      <c r="A471" t="s">
        <v>28</v>
      </c>
      <c r="B471" t="s">
        <v>329</v>
      </c>
      <c r="C471">
        <v>18.899999999999999</v>
      </c>
      <c r="D471">
        <f t="shared" si="14"/>
        <v>57</v>
      </c>
      <c r="E471" t="str">
        <f t="shared" si="15"/>
        <v>57. Bulgaria</v>
      </c>
    </row>
    <row r="472" spans="1:5" x14ac:dyDescent="0.25">
      <c r="A472" t="s">
        <v>92</v>
      </c>
      <c r="B472" t="s">
        <v>329</v>
      </c>
      <c r="C472">
        <v>18</v>
      </c>
      <c r="D472">
        <f t="shared" si="14"/>
        <v>58</v>
      </c>
      <c r="E472" t="str">
        <f t="shared" si="15"/>
        <v>58. Croatia</v>
      </c>
    </row>
    <row r="473" spans="1:5" x14ac:dyDescent="0.25">
      <c r="A473" t="s">
        <v>66</v>
      </c>
      <c r="B473" t="s">
        <v>329</v>
      </c>
      <c r="C473">
        <v>16.5</v>
      </c>
      <c r="D473">
        <f t="shared" si="14"/>
        <v>59</v>
      </c>
      <c r="E473" t="str">
        <f t="shared" si="15"/>
        <v>59. Ecuador</v>
      </c>
    </row>
    <row r="474" spans="1:5" x14ac:dyDescent="0.25">
      <c r="A474" t="s">
        <v>124</v>
      </c>
      <c r="B474" t="s">
        <v>329</v>
      </c>
      <c r="C474">
        <v>16.3</v>
      </c>
      <c r="D474">
        <f t="shared" si="14"/>
        <v>60</v>
      </c>
      <c r="E474" t="str">
        <f t="shared" si="15"/>
        <v>60. Luxembourg</v>
      </c>
    </row>
    <row r="475" spans="1:5" x14ac:dyDescent="0.25">
      <c r="A475" t="s">
        <v>118</v>
      </c>
      <c r="B475" t="s">
        <v>329</v>
      </c>
      <c r="C475">
        <v>15.9</v>
      </c>
      <c r="D475">
        <f t="shared" si="14"/>
        <v>61</v>
      </c>
      <c r="E475" t="str">
        <f t="shared" si="15"/>
        <v>61. Libya</v>
      </c>
    </row>
    <row r="476" spans="1:5" x14ac:dyDescent="0.25">
      <c r="A476" t="s">
        <v>210</v>
      </c>
      <c r="B476" t="s">
        <v>329</v>
      </c>
      <c r="C476">
        <v>14.9</v>
      </c>
      <c r="D476">
        <f t="shared" si="14"/>
        <v>62</v>
      </c>
      <c r="E476" t="str">
        <f t="shared" si="15"/>
        <v>62. Uzbekistan</v>
      </c>
    </row>
    <row r="477" spans="1:5" x14ac:dyDescent="0.25">
      <c r="A477" t="s">
        <v>182</v>
      </c>
      <c r="B477" t="s">
        <v>329</v>
      </c>
      <c r="C477">
        <v>13.9</v>
      </c>
      <c r="D477">
        <f t="shared" si="14"/>
        <v>63</v>
      </c>
      <c r="E477" t="str">
        <f t="shared" si="15"/>
        <v>63. Serbia</v>
      </c>
    </row>
    <row r="478" spans="1:5" x14ac:dyDescent="0.25">
      <c r="A478" t="s">
        <v>123</v>
      </c>
      <c r="B478" t="s">
        <v>329</v>
      </c>
      <c r="C478">
        <v>13.8</v>
      </c>
      <c r="D478">
        <f t="shared" si="14"/>
        <v>64</v>
      </c>
      <c r="E478" t="str">
        <f t="shared" si="15"/>
        <v>64. Lithuania</v>
      </c>
    </row>
    <row r="479" spans="1:5" x14ac:dyDescent="0.25">
      <c r="A479" t="s">
        <v>64</v>
      </c>
      <c r="B479" t="s">
        <v>329</v>
      </c>
      <c r="C479">
        <v>13.6</v>
      </c>
      <c r="D479">
        <f t="shared" si="14"/>
        <v>65</v>
      </c>
      <c r="E479" t="str">
        <f t="shared" si="15"/>
        <v>65. Dominican Republic</v>
      </c>
    </row>
    <row r="480" spans="1:5" x14ac:dyDescent="0.25">
      <c r="A480" t="s">
        <v>187</v>
      </c>
      <c r="B480" t="s">
        <v>329</v>
      </c>
      <c r="C480">
        <v>13.3</v>
      </c>
      <c r="D480">
        <f t="shared" si="14"/>
        <v>66</v>
      </c>
      <c r="E480" t="str">
        <f t="shared" si="15"/>
        <v>66. Slovenia</v>
      </c>
    </row>
    <row r="481" spans="1:5" x14ac:dyDescent="0.25">
      <c r="A481" t="s">
        <v>32</v>
      </c>
      <c r="B481" t="s">
        <v>329</v>
      </c>
      <c r="C481">
        <v>12.9</v>
      </c>
      <c r="D481">
        <f t="shared" si="14"/>
        <v>67</v>
      </c>
      <c r="E481" t="str">
        <f t="shared" si="15"/>
        <v>67. Belarus</v>
      </c>
    </row>
    <row r="482" spans="1:5" x14ac:dyDescent="0.25">
      <c r="A482" t="s">
        <v>54</v>
      </c>
      <c r="B482" t="s">
        <v>329</v>
      </c>
      <c r="C482">
        <v>12.9</v>
      </c>
      <c r="D482">
        <f t="shared" si="14"/>
        <v>68</v>
      </c>
      <c r="E482" t="str">
        <f t="shared" si="15"/>
        <v>68. Costa Rica</v>
      </c>
    </row>
    <row r="483" spans="1:5" x14ac:dyDescent="0.25">
      <c r="A483" t="s">
        <v>108</v>
      </c>
      <c r="B483" t="s">
        <v>329</v>
      </c>
      <c r="C483">
        <v>12.9</v>
      </c>
      <c r="D483">
        <f t="shared" si="14"/>
        <v>69</v>
      </c>
      <c r="E483" t="str">
        <f t="shared" si="15"/>
        <v>69. Kenya</v>
      </c>
    </row>
    <row r="484" spans="1:5" x14ac:dyDescent="0.25">
      <c r="A484" t="s">
        <v>87</v>
      </c>
      <c r="B484" t="s">
        <v>329</v>
      </c>
      <c r="C484">
        <v>11.7</v>
      </c>
      <c r="D484">
        <f t="shared" si="14"/>
        <v>70</v>
      </c>
      <c r="E484" t="str">
        <f t="shared" si="15"/>
        <v>70. Guatemala</v>
      </c>
    </row>
    <row r="485" spans="1:5" x14ac:dyDescent="0.25">
      <c r="A485" t="s">
        <v>158</v>
      </c>
      <c r="B485" t="s">
        <v>329</v>
      </c>
      <c r="C485">
        <v>10.199999999999999</v>
      </c>
      <c r="D485">
        <f t="shared" si="14"/>
        <v>71</v>
      </c>
      <c r="E485" t="str">
        <f t="shared" si="15"/>
        <v>71. Panama</v>
      </c>
    </row>
    <row r="486" spans="1:5" x14ac:dyDescent="0.25">
      <c r="A486" t="s">
        <v>22</v>
      </c>
      <c r="B486" t="s">
        <v>329</v>
      </c>
      <c r="C486">
        <v>10</v>
      </c>
      <c r="D486">
        <f t="shared" si="14"/>
        <v>72</v>
      </c>
      <c r="E486" t="str">
        <f t="shared" si="15"/>
        <v>72. Azerbaijan</v>
      </c>
    </row>
    <row r="487" spans="1:5" x14ac:dyDescent="0.25">
      <c r="A487" t="s">
        <v>164</v>
      </c>
      <c r="B487" t="s">
        <v>329</v>
      </c>
      <c r="C487">
        <v>10</v>
      </c>
      <c r="D487">
        <f t="shared" si="14"/>
        <v>73</v>
      </c>
      <c r="E487" t="str">
        <f t="shared" si="15"/>
        <v>73. Puerto Rico (US)</v>
      </c>
    </row>
    <row r="488" spans="1:5" x14ac:dyDescent="0.25">
      <c r="A488" t="s">
        <v>202</v>
      </c>
      <c r="B488" t="s">
        <v>329</v>
      </c>
      <c r="C488">
        <v>9.4</v>
      </c>
      <c r="D488">
        <f t="shared" si="14"/>
        <v>74</v>
      </c>
      <c r="E488" t="str">
        <f t="shared" si="15"/>
        <v>74. Tunisia</v>
      </c>
    </row>
    <row r="489" spans="1:5" x14ac:dyDescent="0.25">
      <c r="A489" t="s">
        <v>35</v>
      </c>
      <c r="B489" t="s">
        <v>329</v>
      </c>
      <c r="C489">
        <v>8.6999999999999993</v>
      </c>
      <c r="D489">
        <f t="shared" si="14"/>
        <v>75</v>
      </c>
      <c r="E489" t="str">
        <f t="shared" si="15"/>
        <v>75. Bolivia</v>
      </c>
    </row>
    <row r="490" spans="1:5" x14ac:dyDescent="0.25">
      <c r="A490" t="s">
        <v>125</v>
      </c>
      <c r="B490" t="s">
        <v>329</v>
      </c>
      <c r="C490">
        <v>8.6</v>
      </c>
      <c r="D490">
        <f t="shared" si="14"/>
        <v>76</v>
      </c>
      <c r="E490" t="str">
        <f t="shared" si="15"/>
        <v>76. Latvia</v>
      </c>
    </row>
    <row r="491" spans="1:5" x14ac:dyDescent="0.25">
      <c r="A491" t="s">
        <v>69</v>
      </c>
      <c r="B491" t="s">
        <v>329</v>
      </c>
      <c r="C491">
        <v>8.5</v>
      </c>
      <c r="D491">
        <f t="shared" si="14"/>
        <v>77</v>
      </c>
      <c r="E491" t="str">
        <f t="shared" si="15"/>
        <v>77. Estonia</v>
      </c>
    </row>
    <row r="492" spans="1:5" x14ac:dyDescent="0.25">
      <c r="A492" t="s">
        <v>101</v>
      </c>
      <c r="B492" t="s">
        <v>329</v>
      </c>
      <c r="C492">
        <v>8</v>
      </c>
      <c r="D492">
        <f t="shared" si="14"/>
        <v>78</v>
      </c>
      <c r="E492" t="str">
        <f t="shared" si="15"/>
        <v>78. Iceland</v>
      </c>
    </row>
    <row r="493" spans="1:5" x14ac:dyDescent="0.25">
      <c r="A493" t="s">
        <v>198</v>
      </c>
      <c r="B493" t="s">
        <v>329</v>
      </c>
      <c r="C493">
        <v>7.7</v>
      </c>
      <c r="D493">
        <f t="shared" si="14"/>
        <v>79</v>
      </c>
      <c r="E493" t="str">
        <f t="shared" si="15"/>
        <v>79. Turkmenistan</v>
      </c>
    </row>
    <row r="494" spans="1:5" x14ac:dyDescent="0.25">
      <c r="A494" t="s">
        <v>47</v>
      </c>
      <c r="B494" t="s">
        <v>329</v>
      </c>
      <c r="C494">
        <v>7.2</v>
      </c>
      <c r="D494">
        <f t="shared" si="14"/>
        <v>80</v>
      </c>
      <c r="E494" t="str">
        <f t="shared" si="15"/>
        <v>80. Cote d'Ivoire</v>
      </c>
    </row>
    <row r="495" spans="1:5" x14ac:dyDescent="0.25">
      <c r="A495" t="s">
        <v>174</v>
      </c>
      <c r="B495" t="s">
        <v>329</v>
      </c>
      <c r="C495">
        <v>7</v>
      </c>
      <c r="D495">
        <f t="shared" si="14"/>
        <v>81</v>
      </c>
      <c r="E495" t="str">
        <f t="shared" si="15"/>
        <v>81. Sudan</v>
      </c>
    </row>
    <row r="496" spans="1:5" x14ac:dyDescent="0.25">
      <c r="A496" t="s">
        <v>205</v>
      </c>
      <c r="B496" t="s">
        <v>329</v>
      </c>
      <c r="C496">
        <v>6.9</v>
      </c>
      <c r="D496">
        <f t="shared" si="14"/>
        <v>82</v>
      </c>
      <c r="E496" t="str">
        <f t="shared" si="15"/>
        <v>82. Tanzania</v>
      </c>
    </row>
    <row r="497" spans="1:5" x14ac:dyDescent="0.25">
      <c r="A497" t="s">
        <v>29</v>
      </c>
      <c r="B497" t="s">
        <v>329</v>
      </c>
      <c r="C497">
        <v>6.8</v>
      </c>
      <c r="D497">
        <f t="shared" si="14"/>
        <v>83</v>
      </c>
      <c r="E497" t="str">
        <f t="shared" si="15"/>
        <v>83. Bahrain</v>
      </c>
    </row>
    <row r="498" spans="1:5" x14ac:dyDescent="0.25">
      <c r="A498" t="s">
        <v>179</v>
      </c>
      <c r="B498" t="s">
        <v>329</v>
      </c>
      <c r="C498">
        <v>6.5</v>
      </c>
      <c r="D498">
        <f t="shared" si="14"/>
        <v>84</v>
      </c>
      <c r="E498" t="str">
        <f t="shared" si="15"/>
        <v>84. El Salvador</v>
      </c>
    </row>
    <row r="499" spans="1:5" x14ac:dyDescent="0.25">
      <c r="A499" t="s">
        <v>58</v>
      </c>
      <c r="B499" t="s">
        <v>329</v>
      </c>
      <c r="C499">
        <v>6.3</v>
      </c>
      <c r="D499">
        <f t="shared" si="14"/>
        <v>85</v>
      </c>
      <c r="E499" t="str">
        <f t="shared" si="15"/>
        <v>85. Cyprus</v>
      </c>
    </row>
    <row r="500" spans="1:5" x14ac:dyDescent="0.25">
      <c r="A500" t="s">
        <v>126</v>
      </c>
      <c r="B500" t="s">
        <v>329</v>
      </c>
      <c r="C500">
        <v>6.3</v>
      </c>
      <c r="D500">
        <f t="shared" si="14"/>
        <v>86</v>
      </c>
      <c r="E500" t="str">
        <f t="shared" si="15"/>
        <v>86. Macao SAR, China</v>
      </c>
    </row>
    <row r="501" spans="1:5" x14ac:dyDescent="0.25">
      <c r="A501" t="s">
        <v>40</v>
      </c>
      <c r="B501" t="s">
        <v>329</v>
      </c>
      <c r="C501">
        <v>5.7</v>
      </c>
      <c r="D501">
        <f t="shared" si="14"/>
        <v>87</v>
      </c>
      <c r="E501" t="str">
        <f t="shared" si="15"/>
        <v>87. Botswana</v>
      </c>
    </row>
    <row r="502" spans="1:5" x14ac:dyDescent="0.25">
      <c r="A502" t="s">
        <v>121</v>
      </c>
      <c r="B502" t="s">
        <v>329</v>
      </c>
      <c r="C502">
        <v>5.7</v>
      </c>
      <c r="D502">
        <f t="shared" si="14"/>
        <v>88</v>
      </c>
      <c r="E502" t="str">
        <f t="shared" si="15"/>
        <v>88. Sri Lanka</v>
      </c>
    </row>
    <row r="503" spans="1:5" x14ac:dyDescent="0.25">
      <c r="A503" t="s">
        <v>31</v>
      </c>
      <c r="B503" t="s">
        <v>329</v>
      </c>
      <c r="C503">
        <v>5.3</v>
      </c>
      <c r="D503">
        <f t="shared" si="14"/>
        <v>89</v>
      </c>
      <c r="E503" t="str">
        <f t="shared" si="15"/>
        <v>89. Bosnia and Herzegovina</v>
      </c>
    </row>
    <row r="504" spans="1:5" x14ac:dyDescent="0.25">
      <c r="A504" t="s">
        <v>49</v>
      </c>
      <c r="B504" t="s">
        <v>329</v>
      </c>
      <c r="C504">
        <v>5.3</v>
      </c>
      <c r="D504">
        <f t="shared" si="14"/>
        <v>90</v>
      </c>
      <c r="E504" t="str">
        <f t="shared" si="15"/>
        <v>90. Congo, Dem. Rep.</v>
      </c>
    </row>
    <row r="505" spans="1:5" x14ac:dyDescent="0.25">
      <c r="A505" t="s">
        <v>220</v>
      </c>
      <c r="B505" t="s">
        <v>329</v>
      </c>
      <c r="C505">
        <v>5.3</v>
      </c>
      <c r="D505">
        <f t="shared" si="14"/>
        <v>91</v>
      </c>
      <c r="E505" t="str">
        <f t="shared" si="15"/>
        <v>91. Zimbabwe</v>
      </c>
    </row>
    <row r="506" spans="1:5" x14ac:dyDescent="0.25">
      <c r="A506" t="s">
        <v>48</v>
      </c>
      <c r="B506" t="s">
        <v>329</v>
      </c>
      <c r="C506">
        <v>5.2</v>
      </c>
      <c r="D506">
        <f t="shared" si="14"/>
        <v>92</v>
      </c>
      <c r="E506" t="str">
        <f t="shared" si="15"/>
        <v>92. Cameroon</v>
      </c>
    </row>
    <row r="507" spans="1:5" x14ac:dyDescent="0.25">
      <c r="A507" t="s">
        <v>166</v>
      </c>
      <c r="B507" t="s">
        <v>329</v>
      </c>
      <c r="C507">
        <v>5.2</v>
      </c>
      <c r="D507">
        <f t="shared" si="14"/>
        <v>93</v>
      </c>
      <c r="E507" t="str">
        <f t="shared" si="15"/>
        <v>93. Paraguay</v>
      </c>
    </row>
    <row r="508" spans="1:5" x14ac:dyDescent="0.25">
      <c r="A508" t="s">
        <v>91</v>
      </c>
      <c r="B508" t="s">
        <v>329</v>
      </c>
      <c r="C508">
        <v>5.0999999999999996</v>
      </c>
      <c r="D508">
        <f t="shared" si="14"/>
        <v>94</v>
      </c>
      <c r="E508" t="str">
        <f t="shared" si="15"/>
        <v>94. Honduras</v>
      </c>
    </row>
    <row r="509" spans="1:5" x14ac:dyDescent="0.25">
      <c r="A509" t="s">
        <v>175</v>
      </c>
      <c r="B509" t="s">
        <v>329</v>
      </c>
      <c r="C509">
        <v>4.9000000000000004</v>
      </c>
      <c r="D509">
        <f t="shared" si="14"/>
        <v>95</v>
      </c>
      <c r="E509" t="str">
        <f t="shared" si="15"/>
        <v>95. Senegal</v>
      </c>
    </row>
    <row r="510" spans="1:5" x14ac:dyDescent="0.25">
      <c r="A510" t="s">
        <v>206</v>
      </c>
      <c r="B510" t="s">
        <v>329</v>
      </c>
      <c r="C510">
        <v>4.7</v>
      </c>
      <c r="D510">
        <f t="shared" si="14"/>
        <v>96</v>
      </c>
      <c r="E510" t="str">
        <f t="shared" si="15"/>
        <v>96. Uganda</v>
      </c>
    </row>
    <row r="511" spans="1:5" x14ac:dyDescent="0.25">
      <c r="A511" t="s">
        <v>12</v>
      </c>
      <c r="B511" t="s">
        <v>329</v>
      </c>
      <c r="C511">
        <v>4.4000000000000004</v>
      </c>
      <c r="D511">
        <f t="shared" si="14"/>
        <v>97</v>
      </c>
      <c r="E511" t="str">
        <f t="shared" si="15"/>
        <v>97. Angola</v>
      </c>
    </row>
    <row r="512" spans="1:5" x14ac:dyDescent="0.25">
      <c r="A512" t="s">
        <v>79</v>
      </c>
      <c r="B512" t="s">
        <v>329</v>
      </c>
      <c r="C512">
        <v>4.4000000000000004</v>
      </c>
      <c r="D512">
        <f t="shared" si="14"/>
        <v>98</v>
      </c>
      <c r="E512" t="str">
        <f t="shared" si="15"/>
        <v>98. Ghana</v>
      </c>
    </row>
    <row r="513" spans="1:5" x14ac:dyDescent="0.25">
      <c r="A513" t="s">
        <v>26</v>
      </c>
      <c r="B513" t="s">
        <v>329</v>
      </c>
      <c r="C513">
        <v>4.0999999999999996</v>
      </c>
      <c r="D513">
        <f t="shared" si="14"/>
        <v>99</v>
      </c>
      <c r="E513" t="str">
        <f t="shared" si="15"/>
        <v>99. Burkina Faso</v>
      </c>
    </row>
    <row r="514" spans="1:5" x14ac:dyDescent="0.25">
      <c r="A514" t="s">
        <v>78</v>
      </c>
      <c r="B514" t="s">
        <v>329</v>
      </c>
      <c r="C514">
        <v>3.7</v>
      </c>
      <c r="D514">
        <f t="shared" si="14"/>
        <v>100</v>
      </c>
      <c r="E514" t="str">
        <f t="shared" si="15"/>
        <v>100. Georgia</v>
      </c>
    </row>
    <row r="515" spans="1:5" x14ac:dyDescent="0.25">
      <c r="A515" t="s">
        <v>136</v>
      </c>
      <c r="B515" t="s">
        <v>329</v>
      </c>
      <c r="C515">
        <v>3.7</v>
      </c>
      <c r="D515">
        <f t="shared" ref="D515:D578" si="16">IF(ROW() = 2, 1, IF(B515 = B514, D514 + 1, 1))</f>
        <v>101</v>
      </c>
      <c r="E515" t="str">
        <f t="shared" ref="E515:E578" si="17">_xlfn.CONCAT(D515, ". ", A515)</f>
        <v>101. Malta</v>
      </c>
    </row>
    <row r="516" spans="1:5" x14ac:dyDescent="0.25">
      <c r="A516" t="s">
        <v>219</v>
      </c>
      <c r="B516" t="s">
        <v>329</v>
      </c>
      <c r="C516">
        <v>3.7</v>
      </c>
      <c r="D516">
        <f t="shared" si="16"/>
        <v>102</v>
      </c>
      <c r="E516" t="str">
        <f t="shared" si="17"/>
        <v>102. Zambia</v>
      </c>
    </row>
    <row r="517" spans="1:5" x14ac:dyDescent="0.25">
      <c r="A517" t="s">
        <v>11</v>
      </c>
      <c r="B517" t="s">
        <v>329</v>
      </c>
      <c r="C517">
        <v>3.6</v>
      </c>
      <c r="D517">
        <f t="shared" si="16"/>
        <v>103</v>
      </c>
      <c r="E517" t="str">
        <f t="shared" si="17"/>
        <v>103. Afghanistan</v>
      </c>
    </row>
    <row r="518" spans="1:5" x14ac:dyDescent="0.25">
      <c r="A518" t="s">
        <v>141</v>
      </c>
      <c r="B518" t="s">
        <v>329</v>
      </c>
      <c r="C518">
        <v>3.6</v>
      </c>
      <c r="D518">
        <f t="shared" si="16"/>
        <v>104</v>
      </c>
      <c r="E518" t="str">
        <f t="shared" si="17"/>
        <v>104. Mozambique</v>
      </c>
    </row>
    <row r="519" spans="1:5" x14ac:dyDescent="0.25">
      <c r="A519" t="s">
        <v>167</v>
      </c>
      <c r="B519" t="s">
        <v>329</v>
      </c>
      <c r="C519">
        <v>3.6</v>
      </c>
      <c r="D519">
        <f t="shared" si="16"/>
        <v>105</v>
      </c>
      <c r="E519" t="str">
        <f t="shared" si="17"/>
        <v>105. West Bank and Gaza</v>
      </c>
    </row>
    <row r="520" spans="1:5" x14ac:dyDescent="0.25">
      <c r="A520" t="s">
        <v>38</v>
      </c>
      <c r="B520" t="s">
        <v>329</v>
      </c>
      <c r="C520">
        <v>3.5</v>
      </c>
      <c r="D520">
        <f t="shared" si="16"/>
        <v>106</v>
      </c>
      <c r="E520" t="str">
        <f t="shared" si="17"/>
        <v>106. Brunei Darussalam</v>
      </c>
    </row>
    <row r="521" spans="1:5" x14ac:dyDescent="0.25">
      <c r="A521" t="s">
        <v>17</v>
      </c>
      <c r="B521" t="s">
        <v>329</v>
      </c>
      <c r="C521">
        <v>3.4</v>
      </c>
      <c r="D521">
        <f t="shared" si="16"/>
        <v>107</v>
      </c>
      <c r="E521" t="str">
        <f t="shared" si="17"/>
        <v>107. Armenia</v>
      </c>
    </row>
    <row r="522" spans="1:5" x14ac:dyDescent="0.25">
      <c r="A522" t="s">
        <v>83</v>
      </c>
      <c r="B522" t="s">
        <v>329</v>
      </c>
      <c r="C522">
        <v>3.2</v>
      </c>
      <c r="D522">
        <f t="shared" si="16"/>
        <v>108</v>
      </c>
      <c r="E522" t="str">
        <f t="shared" si="17"/>
        <v>108. Equatorial Guinea</v>
      </c>
    </row>
    <row r="523" spans="1:5" x14ac:dyDescent="0.25">
      <c r="A523" t="s">
        <v>135</v>
      </c>
      <c r="B523" t="s">
        <v>329</v>
      </c>
      <c r="C523">
        <v>3.2</v>
      </c>
      <c r="D523">
        <f t="shared" si="16"/>
        <v>109</v>
      </c>
      <c r="E523" t="str">
        <f t="shared" si="17"/>
        <v>109. Mali</v>
      </c>
    </row>
    <row r="524" spans="1:5" x14ac:dyDescent="0.25">
      <c r="A524" t="s">
        <v>80</v>
      </c>
      <c r="B524" t="s">
        <v>329</v>
      </c>
      <c r="C524">
        <v>3</v>
      </c>
      <c r="D524">
        <f t="shared" si="16"/>
        <v>110</v>
      </c>
      <c r="E524" t="str">
        <f t="shared" si="17"/>
        <v>110. Guinea</v>
      </c>
    </row>
    <row r="525" spans="1:5" x14ac:dyDescent="0.25">
      <c r="A525" t="s">
        <v>129</v>
      </c>
      <c r="B525" t="s">
        <v>329</v>
      </c>
      <c r="C525">
        <v>3</v>
      </c>
      <c r="D525">
        <f t="shared" si="16"/>
        <v>111</v>
      </c>
      <c r="E525" t="str">
        <f t="shared" si="17"/>
        <v>111. Moldova</v>
      </c>
    </row>
    <row r="526" spans="1:5" x14ac:dyDescent="0.25">
      <c r="A526" t="s">
        <v>13</v>
      </c>
      <c r="B526" t="s">
        <v>329</v>
      </c>
      <c r="C526">
        <v>2.8</v>
      </c>
      <c r="D526">
        <f t="shared" si="16"/>
        <v>112</v>
      </c>
      <c r="E526" t="str">
        <f t="shared" si="17"/>
        <v>112. Albania</v>
      </c>
    </row>
    <row r="527" spans="1:5" x14ac:dyDescent="0.25">
      <c r="A527" t="s">
        <v>146</v>
      </c>
      <c r="B527" t="s">
        <v>329</v>
      </c>
      <c r="C527">
        <v>2.7</v>
      </c>
      <c r="D527">
        <f t="shared" si="16"/>
        <v>113</v>
      </c>
      <c r="E527" t="str">
        <f t="shared" si="17"/>
        <v>113. Namibia</v>
      </c>
    </row>
    <row r="528" spans="1:5" x14ac:dyDescent="0.25">
      <c r="A528" t="s">
        <v>153</v>
      </c>
      <c r="B528" t="s">
        <v>329</v>
      </c>
      <c r="C528">
        <v>2.7</v>
      </c>
      <c r="D528">
        <f t="shared" si="16"/>
        <v>114</v>
      </c>
      <c r="E528" t="str">
        <f t="shared" si="17"/>
        <v>114. Nepal</v>
      </c>
    </row>
    <row r="529" spans="1:5" x14ac:dyDescent="0.25">
      <c r="A529" t="s">
        <v>110</v>
      </c>
      <c r="B529" t="s">
        <v>329</v>
      </c>
      <c r="C529">
        <v>2.6</v>
      </c>
      <c r="D529">
        <f t="shared" si="16"/>
        <v>115</v>
      </c>
      <c r="E529" t="str">
        <f t="shared" si="17"/>
        <v>115. Cambodia</v>
      </c>
    </row>
    <row r="530" spans="1:5" x14ac:dyDescent="0.25">
      <c r="A530" t="s">
        <v>139</v>
      </c>
      <c r="B530" t="s">
        <v>329</v>
      </c>
      <c r="C530">
        <v>2.6</v>
      </c>
      <c r="D530">
        <f t="shared" si="16"/>
        <v>116</v>
      </c>
      <c r="E530" t="str">
        <f t="shared" si="17"/>
        <v>116. Mongolia</v>
      </c>
    </row>
    <row r="531" spans="1:5" x14ac:dyDescent="0.25">
      <c r="A531" t="s">
        <v>130</v>
      </c>
      <c r="B531" t="s">
        <v>329</v>
      </c>
      <c r="C531">
        <v>2.5</v>
      </c>
      <c r="D531">
        <f t="shared" si="16"/>
        <v>117</v>
      </c>
      <c r="E531" t="str">
        <f t="shared" si="17"/>
        <v>117. Madagascar</v>
      </c>
    </row>
    <row r="532" spans="1:5" x14ac:dyDescent="0.25">
      <c r="A532" t="s">
        <v>76</v>
      </c>
      <c r="B532" t="s">
        <v>329</v>
      </c>
      <c r="C532">
        <v>2.4</v>
      </c>
      <c r="D532">
        <f t="shared" si="16"/>
        <v>118</v>
      </c>
      <c r="E532" t="str">
        <f t="shared" si="17"/>
        <v>118. Gabon</v>
      </c>
    </row>
    <row r="533" spans="1:5" x14ac:dyDescent="0.25">
      <c r="A533" t="s">
        <v>109</v>
      </c>
      <c r="B533" t="s">
        <v>329</v>
      </c>
      <c r="C533">
        <v>2.4</v>
      </c>
      <c r="D533">
        <f t="shared" si="16"/>
        <v>119</v>
      </c>
      <c r="E533" t="str">
        <f t="shared" si="17"/>
        <v>119. Kyrgyz Republic</v>
      </c>
    </row>
    <row r="534" spans="1:5" x14ac:dyDescent="0.25">
      <c r="A534" t="s">
        <v>134</v>
      </c>
      <c r="B534" t="s">
        <v>329</v>
      </c>
      <c r="C534">
        <v>2.4</v>
      </c>
      <c r="D534">
        <f t="shared" si="16"/>
        <v>120</v>
      </c>
      <c r="E534" t="str">
        <f t="shared" si="17"/>
        <v>120. North Macedonia</v>
      </c>
    </row>
    <row r="535" spans="1:5" x14ac:dyDescent="0.25">
      <c r="A535" t="s">
        <v>150</v>
      </c>
      <c r="B535" t="s">
        <v>329</v>
      </c>
      <c r="C535">
        <v>2.2999999999999998</v>
      </c>
      <c r="D535">
        <f t="shared" si="16"/>
        <v>121</v>
      </c>
      <c r="E535" t="str">
        <f t="shared" si="17"/>
        <v>121. Nicaragua</v>
      </c>
    </row>
    <row r="536" spans="1:5" x14ac:dyDescent="0.25">
      <c r="A536" t="s">
        <v>172</v>
      </c>
      <c r="B536" t="s">
        <v>329</v>
      </c>
      <c r="C536">
        <v>2.2999999999999998</v>
      </c>
      <c r="D536">
        <f t="shared" si="16"/>
        <v>122</v>
      </c>
      <c r="E536" t="str">
        <f t="shared" si="17"/>
        <v>122. Rwanda</v>
      </c>
    </row>
    <row r="537" spans="1:5" x14ac:dyDescent="0.25">
      <c r="A537" t="s">
        <v>148</v>
      </c>
      <c r="B537" t="s">
        <v>329</v>
      </c>
      <c r="C537">
        <v>2.2000000000000002</v>
      </c>
      <c r="D537">
        <f t="shared" si="16"/>
        <v>123</v>
      </c>
      <c r="E537" t="str">
        <f t="shared" si="17"/>
        <v>123. Niger</v>
      </c>
    </row>
    <row r="538" spans="1:5" x14ac:dyDescent="0.25">
      <c r="A538" t="s">
        <v>30</v>
      </c>
      <c r="B538" t="s">
        <v>329</v>
      </c>
      <c r="C538">
        <v>2</v>
      </c>
      <c r="D538">
        <f t="shared" si="16"/>
        <v>124</v>
      </c>
      <c r="E538" t="str">
        <f t="shared" si="17"/>
        <v>124. Bahamas, The</v>
      </c>
    </row>
    <row r="539" spans="1:5" x14ac:dyDescent="0.25">
      <c r="A539" t="s">
        <v>50</v>
      </c>
      <c r="B539" t="s">
        <v>329</v>
      </c>
      <c r="C539">
        <v>2</v>
      </c>
      <c r="D539">
        <f t="shared" si="16"/>
        <v>125</v>
      </c>
      <c r="E539" t="str">
        <f t="shared" si="17"/>
        <v>125. Congo, Rep.</v>
      </c>
    </row>
    <row r="540" spans="1:5" x14ac:dyDescent="0.25">
      <c r="A540" t="s">
        <v>168</v>
      </c>
      <c r="B540" t="s">
        <v>329</v>
      </c>
      <c r="C540">
        <v>2</v>
      </c>
      <c r="D540">
        <f t="shared" si="16"/>
        <v>126</v>
      </c>
      <c r="E540" t="str">
        <f t="shared" si="17"/>
        <v>126. French Polynesia</v>
      </c>
    </row>
    <row r="541" spans="1:5" x14ac:dyDescent="0.25">
      <c r="A541" t="s">
        <v>143</v>
      </c>
      <c r="B541" t="s">
        <v>329</v>
      </c>
      <c r="C541">
        <v>2</v>
      </c>
      <c r="D541">
        <f t="shared" si="16"/>
        <v>127</v>
      </c>
      <c r="E541" t="str">
        <f t="shared" si="17"/>
        <v>127. Mauritius</v>
      </c>
    </row>
    <row r="542" spans="1:5" x14ac:dyDescent="0.25">
      <c r="A542" t="s">
        <v>25</v>
      </c>
      <c r="B542" t="s">
        <v>329</v>
      </c>
      <c r="C542">
        <v>1.9</v>
      </c>
      <c r="D542">
        <f t="shared" si="16"/>
        <v>128</v>
      </c>
      <c r="E542" t="str">
        <f t="shared" si="17"/>
        <v>128. Benin</v>
      </c>
    </row>
    <row r="543" spans="1:5" x14ac:dyDescent="0.25">
      <c r="A543" t="s">
        <v>142</v>
      </c>
      <c r="B543" t="s">
        <v>329</v>
      </c>
      <c r="C543">
        <v>1.8</v>
      </c>
      <c r="D543">
        <f t="shared" si="16"/>
        <v>129</v>
      </c>
      <c r="E543" t="str">
        <f t="shared" si="17"/>
        <v>129. Mauritania</v>
      </c>
    </row>
    <row r="544" spans="1:5" x14ac:dyDescent="0.25">
      <c r="A544" t="s">
        <v>194</v>
      </c>
      <c r="B544" t="s">
        <v>329</v>
      </c>
      <c r="C544">
        <v>1.7</v>
      </c>
      <c r="D544">
        <f t="shared" si="16"/>
        <v>130</v>
      </c>
      <c r="E544" t="str">
        <f t="shared" si="17"/>
        <v>130. Chad</v>
      </c>
    </row>
    <row r="545" spans="1:5" x14ac:dyDescent="0.25">
      <c r="A545" t="s">
        <v>86</v>
      </c>
      <c r="B545" t="s">
        <v>329</v>
      </c>
      <c r="C545">
        <v>1.4</v>
      </c>
      <c r="D545">
        <f t="shared" si="16"/>
        <v>131</v>
      </c>
      <c r="E545" t="str">
        <f t="shared" si="17"/>
        <v>131. Greenland</v>
      </c>
    </row>
    <row r="546" spans="1:5" x14ac:dyDescent="0.25">
      <c r="A546" t="s">
        <v>216</v>
      </c>
      <c r="B546" t="s">
        <v>329</v>
      </c>
      <c r="C546">
        <v>1.3</v>
      </c>
      <c r="D546">
        <f t="shared" si="16"/>
        <v>132</v>
      </c>
      <c r="E546" t="str">
        <f t="shared" si="17"/>
        <v>132. Kosovo</v>
      </c>
    </row>
    <row r="547" spans="1:5" x14ac:dyDescent="0.25">
      <c r="A547" t="s">
        <v>138</v>
      </c>
      <c r="B547" t="s">
        <v>329</v>
      </c>
      <c r="C547">
        <v>1.3</v>
      </c>
      <c r="D547">
        <f t="shared" si="16"/>
        <v>133</v>
      </c>
      <c r="E547" t="str">
        <f t="shared" si="17"/>
        <v>133. Montenegro</v>
      </c>
    </row>
    <row r="548" spans="1:5" x14ac:dyDescent="0.25">
      <c r="A548" t="s">
        <v>197</v>
      </c>
      <c r="B548" t="s">
        <v>329</v>
      </c>
      <c r="C548">
        <v>1.3</v>
      </c>
      <c r="D548">
        <f t="shared" si="16"/>
        <v>134</v>
      </c>
      <c r="E548" t="str">
        <f t="shared" si="17"/>
        <v>134. Tajikistan</v>
      </c>
    </row>
    <row r="549" spans="1:5" x14ac:dyDescent="0.25">
      <c r="A549" t="s">
        <v>93</v>
      </c>
      <c r="B549" t="s">
        <v>329</v>
      </c>
      <c r="C549">
        <v>1.2</v>
      </c>
      <c r="D549">
        <f t="shared" si="16"/>
        <v>135</v>
      </c>
      <c r="E549" t="str">
        <f t="shared" si="17"/>
        <v>135. Haiti</v>
      </c>
    </row>
    <row r="550" spans="1:5" x14ac:dyDescent="0.25">
      <c r="A550" t="s">
        <v>195</v>
      </c>
      <c r="B550" t="s">
        <v>329</v>
      </c>
      <c r="C550">
        <v>1.2</v>
      </c>
      <c r="D550">
        <f t="shared" si="16"/>
        <v>136</v>
      </c>
      <c r="E550" t="str">
        <f t="shared" si="17"/>
        <v>136. Togo</v>
      </c>
    </row>
    <row r="551" spans="1:5" x14ac:dyDescent="0.25">
      <c r="A551" t="s">
        <v>74</v>
      </c>
      <c r="B551" t="s">
        <v>329</v>
      </c>
      <c r="C551">
        <v>1.1000000000000001</v>
      </c>
      <c r="D551">
        <f t="shared" si="16"/>
        <v>137</v>
      </c>
      <c r="E551" t="str">
        <f t="shared" si="17"/>
        <v>137. Faroe Islands</v>
      </c>
    </row>
    <row r="552" spans="1:5" x14ac:dyDescent="0.25">
      <c r="A552" t="s">
        <v>72</v>
      </c>
      <c r="B552" t="s">
        <v>329</v>
      </c>
      <c r="C552">
        <v>1.1000000000000001</v>
      </c>
      <c r="D552">
        <f t="shared" si="16"/>
        <v>138</v>
      </c>
      <c r="E552" t="str">
        <f t="shared" si="17"/>
        <v>138. Fiji</v>
      </c>
    </row>
    <row r="553" spans="1:5" x14ac:dyDescent="0.25">
      <c r="A553" t="s">
        <v>131</v>
      </c>
      <c r="B553" t="s">
        <v>329</v>
      </c>
      <c r="C553">
        <v>1.1000000000000001</v>
      </c>
      <c r="D553">
        <f t="shared" si="16"/>
        <v>139</v>
      </c>
      <c r="E553" t="str">
        <f t="shared" si="17"/>
        <v>139. Maldives</v>
      </c>
    </row>
    <row r="554" spans="1:5" x14ac:dyDescent="0.25">
      <c r="A554" t="s">
        <v>199</v>
      </c>
      <c r="B554" t="s">
        <v>329</v>
      </c>
      <c r="C554">
        <v>1.1000000000000001</v>
      </c>
      <c r="D554">
        <f t="shared" si="16"/>
        <v>140</v>
      </c>
      <c r="E554" t="str">
        <f t="shared" si="17"/>
        <v>140. Timor-Leste</v>
      </c>
    </row>
    <row r="555" spans="1:5" x14ac:dyDescent="0.25">
      <c r="A555" t="s">
        <v>34</v>
      </c>
      <c r="B555" t="s">
        <v>329</v>
      </c>
      <c r="C555">
        <v>1</v>
      </c>
      <c r="D555">
        <f t="shared" si="16"/>
        <v>141</v>
      </c>
      <c r="E555" t="str">
        <f t="shared" si="17"/>
        <v>141. Bermuda</v>
      </c>
    </row>
    <row r="556" spans="1:5" x14ac:dyDescent="0.25">
      <c r="A556" t="s">
        <v>116</v>
      </c>
      <c r="B556" t="s">
        <v>329</v>
      </c>
      <c r="C556">
        <v>1</v>
      </c>
      <c r="D556">
        <f t="shared" si="16"/>
        <v>142</v>
      </c>
      <c r="E556" t="str">
        <f t="shared" si="17"/>
        <v>142. Lebanon</v>
      </c>
    </row>
    <row r="557" spans="1:5" x14ac:dyDescent="0.25">
      <c r="A557" t="s">
        <v>189</v>
      </c>
      <c r="B557" t="s">
        <v>329</v>
      </c>
      <c r="C557">
        <v>0.9</v>
      </c>
      <c r="D557">
        <f t="shared" si="16"/>
        <v>143</v>
      </c>
      <c r="E557" t="str">
        <f t="shared" si="17"/>
        <v>143. Eswatini</v>
      </c>
    </row>
    <row r="558" spans="1:5" x14ac:dyDescent="0.25">
      <c r="A558" t="s">
        <v>23</v>
      </c>
      <c r="B558" t="s">
        <v>329</v>
      </c>
      <c r="C558">
        <v>0.8</v>
      </c>
      <c r="D558">
        <f t="shared" si="16"/>
        <v>144</v>
      </c>
      <c r="E558" t="str">
        <f t="shared" si="17"/>
        <v>144. Burundi</v>
      </c>
    </row>
    <row r="559" spans="1:5" x14ac:dyDescent="0.25">
      <c r="A559" t="s">
        <v>122</v>
      </c>
      <c r="B559" t="s">
        <v>329</v>
      </c>
      <c r="C559">
        <v>0.8</v>
      </c>
      <c r="D559">
        <f t="shared" si="16"/>
        <v>145</v>
      </c>
      <c r="E559" t="str">
        <f t="shared" si="17"/>
        <v>145. Lesotho</v>
      </c>
    </row>
    <row r="560" spans="1:5" x14ac:dyDescent="0.25">
      <c r="A560" t="s">
        <v>222</v>
      </c>
      <c r="B560" t="s">
        <v>329</v>
      </c>
      <c r="C560">
        <v>0.8</v>
      </c>
      <c r="D560">
        <f t="shared" si="16"/>
        <v>146</v>
      </c>
      <c r="E560" t="str">
        <f t="shared" si="17"/>
        <v>146. Somalia, Fed. Rep.</v>
      </c>
    </row>
    <row r="561" spans="1:5" x14ac:dyDescent="0.25">
      <c r="A561" t="s">
        <v>10</v>
      </c>
      <c r="B561" t="s">
        <v>329</v>
      </c>
      <c r="C561">
        <v>0.7</v>
      </c>
      <c r="D561">
        <f t="shared" si="16"/>
        <v>147</v>
      </c>
      <c r="E561" t="str">
        <f t="shared" si="17"/>
        <v>147. Aruba</v>
      </c>
    </row>
    <row r="562" spans="1:5" x14ac:dyDescent="0.25">
      <c r="A562" t="s">
        <v>61</v>
      </c>
      <c r="B562" t="s">
        <v>329</v>
      </c>
      <c r="C562">
        <v>0.7</v>
      </c>
      <c r="D562">
        <f t="shared" si="16"/>
        <v>148</v>
      </c>
      <c r="E562" t="str">
        <f t="shared" si="17"/>
        <v>148. Djibouti</v>
      </c>
    </row>
    <row r="563" spans="1:5" x14ac:dyDescent="0.25">
      <c r="A563" t="s">
        <v>39</v>
      </c>
      <c r="B563" t="s">
        <v>329</v>
      </c>
      <c r="C563">
        <v>0.6</v>
      </c>
      <c r="D563">
        <f t="shared" si="16"/>
        <v>149</v>
      </c>
      <c r="E563" t="str">
        <f t="shared" si="17"/>
        <v>149. Bhutan</v>
      </c>
    </row>
    <row r="564" spans="1:5" x14ac:dyDescent="0.25">
      <c r="A564" t="s">
        <v>53</v>
      </c>
      <c r="B564" t="s">
        <v>329</v>
      </c>
      <c r="C564">
        <v>0.6</v>
      </c>
      <c r="D564">
        <f t="shared" si="16"/>
        <v>150</v>
      </c>
      <c r="E564" t="str">
        <f t="shared" si="17"/>
        <v>150. Cabo Verde</v>
      </c>
    </row>
    <row r="565" spans="1:5" x14ac:dyDescent="0.25">
      <c r="A565" t="s">
        <v>33</v>
      </c>
      <c r="B565" t="s">
        <v>329</v>
      </c>
      <c r="C565">
        <v>0.5</v>
      </c>
      <c r="D565">
        <f t="shared" si="16"/>
        <v>151</v>
      </c>
      <c r="E565" t="str">
        <f t="shared" si="17"/>
        <v>151. Belize</v>
      </c>
    </row>
    <row r="566" spans="1:5" x14ac:dyDescent="0.25">
      <c r="A566" t="s">
        <v>191</v>
      </c>
      <c r="B566" t="s">
        <v>329</v>
      </c>
      <c r="C566">
        <v>0.5</v>
      </c>
      <c r="D566">
        <f t="shared" si="16"/>
        <v>152</v>
      </c>
      <c r="E566" t="str">
        <f t="shared" si="17"/>
        <v>152. Seychelles</v>
      </c>
    </row>
    <row r="567" spans="1:5" x14ac:dyDescent="0.25">
      <c r="A567" t="s">
        <v>178</v>
      </c>
      <c r="B567" t="s">
        <v>329</v>
      </c>
      <c r="C567">
        <v>0.4</v>
      </c>
      <c r="D567">
        <f t="shared" si="16"/>
        <v>153</v>
      </c>
      <c r="E567" t="str">
        <f t="shared" si="17"/>
        <v>153. Sierra Leone</v>
      </c>
    </row>
    <row r="568" spans="1:5" x14ac:dyDescent="0.25">
      <c r="A568" t="s">
        <v>82</v>
      </c>
      <c r="B568" t="s">
        <v>329</v>
      </c>
      <c r="C568">
        <v>0.3</v>
      </c>
      <c r="D568">
        <f t="shared" si="16"/>
        <v>154</v>
      </c>
      <c r="E568" t="str">
        <f t="shared" si="17"/>
        <v>154. Guinea-Bissau</v>
      </c>
    </row>
    <row r="569" spans="1:5" x14ac:dyDescent="0.25">
      <c r="A569" t="s">
        <v>41</v>
      </c>
      <c r="B569" t="s">
        <v>329</v>
      </c>
      <c r="C569">
        <v>0.2</v>
      </c>
      <c r="D569">
        <f t="shared" si="16"/>
        <v>155</v>
      </c>
      <c r="E569" t="str">
        <f t="shared" si="17"/>
        <v>155. Central African Republic</v>
      </c>
    </row>
    <row r="570" spans="1:5" x14ac:dyDescent="0.25">
      <c r="A570" t="s">
        <v>81</v>
      </c>
      <c r="B570" t="s">
        <v>329</v>
      </c>
      <c r="C570">
        <v>0.2</v>
      </c>
      <c r="D570">
        <f t="shared" si="16"/>
        <v>156</v>
      </c>
      <c r="E570" t="str">
        <f t="shared" si="17"/>
        <v>156. Gambia, The</v>
      </c>
    </row>
    <row r="571" spans="1:5" x14ac:dyDescent="0.25">
      <c r="A571" t="s">
        <v>215</v>
      </c>
      <c r="B571" t="s">
        <v>329</v>
      </c>
      <c r="C571">
        <v>0.2</v>
      </c>
      <c r="D571">
        <f t="shared" si="16"/>
        <v>157</v>
      </c>
      <c r="E571" t="str">
        <f t="shared" si="17"/>
        <v>157. Samoa</v>
      </c>
    </row>
    <row r="572" spans="1:5" x14ac:dyDescent="0.25">
      <c r="A572" t="s">
        <v>52</v>
      </c>
      <c r="B572" t="s">
        <v>329</v>
      </c>
      <c r="C572">
        <v>0.1</v>
      </c>
      <c r="D572">
        <f t="shared" si="16"/>
        <v>158</v>
      </c>
      <c r="E572" t="str">
        <f t="shared" si="17"/>
        <v>158. Comoros</v>
      </c>
    </row>
    <row r="573" spans="1:5" x14ac:dyDescent="0.25">
      <c r="A573" t="s">
        <v>133</v>
      </c>
      <c r="B573" t="s">
        <v>329</v>
      </c>
      <c r="C573">
        <v>0.1</v>
      </c>
      <c r="D573">
        <f t="shared" si="16"/>
        <v>159</v>
      </c>
      <c r="E573" t="str">
        <f t="shared" si="17"/>
        <v>159. Marshall Islands</v>
      </c>
    </row>
    <row r="574" spans="1:5" x14ac:dyDescent="0.25">
      <c r="A574" t="s">
        <v>200</v>
      </c>
      <c r="B574" t="s">
        <v>329</v>
      </c>
      <c r="C574">
        <v>0.1</v>
      </c>
      <c r="D574">
        <f t="shared" si="16"/>
        <v>160</v>
      </c>
      <c r="E574" t="str">
        <f t="shared" si="17"/>
        <v>160. Tonga</v>
      </c>
    </row>
    <row r="575" spans="1:5" x14ac:dyDescent="0.25">
      <c r="A575" t="s">
        <v>133</v>
      </c>
      <c r="B575" t="s">
        <v>330</v>
      </c>
      <c r="C575">
        <v>53.5</v>
      </c>
      <c r="D575">
        <f t="shared" si="16"/>
        <v>1</v>
      </c>
      <c r="E575" t="str">
        <f t="shared" si="17"/>
        <v>1. Marshall Islands</v>
      </c>
    </row>
    <row r="576" spans="1:5" x14ac:dyDescent="0.25">
      <c r="A576" t="s">
        <v>199</v>
      </c>
      <c r="B576" t="s">
        <v>330</v>
      </c>
      <c r="C576">
        <v>52.9</v>
      </c>
      <c r="D576">
        <f t="shared" si="16"/>
        <v>2</v>
      </c>
      <c r="E576" t="str">
        <f t="shared" si="17"/>
        <v>2. Timor-Leste</v>
      </c>
    </row>
    <row r="577" spans="1:5" x14ac:dyDescent="0.25">
      <c r="A577" t="s">
        <v>207</v>
      </c>
      <c r="B577" t="s">
        <v>330</v>
      </c>
      <c r="C577">
        <v>41.9</v>
      </c>
      <c r="D577">
        <f t="shared" si="16"/>
        <v>3</v>
      </c>
      <c r="E577" t="str">
        <f t="shared" si="17"/>
        <v>3. Ukraine</v>
      </c>
    </row>
    <row r="578" spans="1:5" x14ac:dyDescent="0.25">
      <c r="A578" t="s">
        <v>86</v>
      </c>
      <c r="B578" t="s">
        <v>330</v>
      </c>
      <c r="C578">
        <v>41.7</v>
      </c>
      <c r="D578">
        <f t="shared" si="16"/>
        <v>4</v>
      </c>
      <c r="E578" t="str">
        <f t="shared" si="17"/>
        <v>4. Greenland</v>
      </c>
    </row>
    <row r="579" spans="1:5" x14ac:dyDescent="0.25">
      <c r="A579" t="s">
        <v>122</v>
      </c>
      <c r="B579" t="s">
        <v>330</v>
      </c>
      <c r="C579">
        <v>35.6</v>
      </c>
      <c r="D579">
        <f t="shared" ref="D579:D642" si="18">IF(ROW() = 2, 1, IF(B579 = B578, D578 + 1, 1))</f>
        <v>5</v>
      </c>
      <c r="E579" t="str">
        <f t="shared" ref="E579:E642" si="19">_xlfn.CONCAT(D579, ". ", A579)</f>
        <v>5. Lesotho</v>
      </c>
    </row>
    <row r="580" spans="1:5" x14ac:dyDescent="0.25">
      <c r="A580" t="s">
        <v>118</v>
      </c>
      <c r="B580" t="s">
        <v>330</v>
      </c>
      <c r="C580">
        <v>35.299999999999997</v>
      </c>
      <c r="D580">
        <f t="shared" si="18"/>
        <v>6</v>
      </c>
      <c r="E580" t="str">
        <f t="shared" si="19"/>
        <v>6. Libya</v>
      </c>
    </row>
    <row r="581" spans="1:5" x14ac:dyDescent="0.25">
      <c r="A581" t="s">
        <v>23</v>
      </c>
      <c r="B581" t="s">
        <v>330</v>
      </c>
      <c r="C581">
        <v>30.7</v>
      </c>
      <c r="D581">
        <f t="shared" si="18"/>
        <v>7</v>
      </c>
      <c r="E581" t="str">
        <f t="shared" si="19"/>
        <v>7. Burundi</v>
      </c>
    </row>
    <row r="582" spans="1:5" x14ac:dyDescent="0.25">
      <c r="A582" t="s">
        <v>168</v>
      </c>
      <c r="B582" t="s">
        <v>330</v>
      </c>
      <c r="C582">
        <v>30.5</v>
      </c>
      <c r="D582">
        <f t="shared" si="18"/>
        <v>8</v>
      </c>
      <c r="E582" t="str">
        <f t="shared" si="19"/>
        <v>8. French Polynesia</v>
      </c>
    </row>
    <row r="583" spans="1:5" x14ac:dyDescent="0.25">
      <c r="A583" t="s">
        <v>40</v>
      </c>
      <c r="B583" t="s">
        <v>330</v>
      </c>
      <c r="C583">
        <v>29.3</v>
      </c>
      <c r="D583">
        <f t="shared" si="18"/>
        <v>9</v>
      </c>
      <c r="E583" t="str">
        <f t="shared" si="19"/>
        <v>9. Botswana</v>
      </c>
    </row>
    <row r="584" spans="1:5" x14ac:dyDescent="0.25">
      <c r="A584" t="s">
        <v>200</v>
      </c>
      <c r="B584" t="s">
        <v>330</v>
      </c>
      <c r="C584">
        <v>29.1</v>
      </c>
      <c r="D584">
        <f t="shared" si="18"/>
        <v>10</v>
      </c>
      <c r="E584" t="str">
        <f t="shared" si="19"/>
        <v>10. Tonga</v>
      </c>
    </row>
    <row r="585" spans="1:5" x14ac:dyDescent="0.25">
      <c r="A585" t="s">
        <v>74</v>
      </c>
      <c r="B585" t="s">
        <v>330</v>
      </c>
      <c r="C585">
        <v>27.3</v>
      </c>
      <c r="D585">
        <f t="shared" si="18"/>
        <v>11</v>
      </c>
      <c r="E585" t="str">
        <f t="shared" si="19"/>
        <v>11. Faroe Islands</v>
      </c>
    </row>
    <row r="586" spans="1:5" x14ac:dyDescent="0.25">
      <c r="A586" t="s">
        <v>83</v>
      </c>
      <c r="B586" t="s">
        <v>330</v>
      </c>
      <c r="C586">
        <v>26.2</v>
      </c>
      <c r="D586">
        <f t="shared" si="18"/>
        <v>12</v>
      </c>
      <c r="E586" t="str">
        <f t="shared" si="19"/>
        <v>12. Equatorial Guinea</v>
      </c>
    </row>
    <row r="587" spans="1:5" x14ac:dyDescent="0.25">
      <c r="A587" t="s">
        <v>188</v>
      </c>
      <c r="B587" t="s">
        <v>330</v>
      </c>
      <c r="C587">
        <v>26</v>
      </c>
      <c r="D587">
        <f t="shared" si="18"/>
        <v>13</v>
      </c>
      <c r="E587" t="str">
        <f t="shared" si="19"/>
        <v>13. Sweden</v>
      </c>
    </row>
    <row r="588" spans="1:5" x14ac:dyDescent="0.25">
      <c r="A588" t="s">
        <v>71</v>
      </c>
      <c r="B588" t="s">
        <v>330</v>
      </c>
      <c r="C588">
        <v>25.6</v>
      </c>
      <c r="D588">
        <f t="shared" si="18"/>
        <v>14</v>
      </c>
      <c r="E588" t="str">
        <f t="shared" si="19"/>
        <v>14. Finland</v>
      </c>
    </row>
    <row r="589" spans="1:5" x14ac:dyDescent="0.25">
      <c r="A589" t="s">
        <v>55</v>
      </c>
      <c r="B589" t="s">
        <v>330</v>
      </c>
      <c r="C589">
        <v>25.5</v>
      </c>
      <c r="D589">
        <f t="shared" si="18"/>
        <v>15</v>
      </c>
      <c r="E589" t="str">
        <f t="shared" si="19"/>
        <v>15. Cuba</v>
      </c>
    </row>
    <row r="590" spans="1:5" x14ac:dyDescent="0.25">
      <c r="A590" t="s">
        <v>101</v>
      </c>
      <c r="B590" t="s">
        <v>330</v>
      </c>
      <c r="C590">
        <v>25.3</v>
      </c>
      <c r="D590">
        <f t="shared" si="18"/>
        <v>16</v>
      </c>
      <c r="E590" t="str">
        <f t="shared" si="19"/>
        <v>16. Iceland</v>
      </c>
    </row>
    <row r="591" spans="1:5" x14ac:dyDescent="0.25">
      <c r="A591" t="s">
        <v>151</v>
      </c>
      <c r="B591" t="s">
        <v>330</v>
      </c>
      <c r="C591">
        <v>24.5</v>
      </c>
      <c r="D591">
        <f t="shared" si="18"/>
        <v>17</v>
      </c>
      <c r="E591" t="str">
        <f t="shared" si="19"/>
        <v>17. Netherlands</v>
      </c>
    </row>
    <row r="592" spans="1:5" x14ac:dyDescent="0.25">
      <c r="A592" t="s">
        <v>191</v>
      </c>
      <c r="B592" t="s">
        <v>330</v>
      </c>
      <c r="C592">
        <v>24.4</v>
      </c>
      <c r="D592">
        <f t="shared" si="18"/>
        <v>18</v>
      </c>
      <c r="E592" t="str">
        <f t="shared" si="19"/>
        <v>18. Seychelles</v>
      </c>
    </row>
    <row r="593" spans="1:5" x14ac:dyDescent="0.25">
      <c r="A593" t="s">
        <v>24</v>
      </c>
      <c r="B593" t="s">
        <v>330</v>
      </c>
      <c r="C593">
        <v>23.8</v>
      </c>
      <c r="D593">
        <f t="shared" si="18"/>
        <v>19</v>
      </c>
      <c r="E593" t="str">
        <f t="shared" si="19"/>
        <v>19. Belgium</v>
      </c>
    </row>
    <row r="594" spans="1:5" x14ac:dyDescent="0.25">
      <c r="A594" t="s">
        <v>73</v>
      </c>
      <c r="B594" t="s">
        <v>330</v>
      </c>
      <c r="C594">
        <v>23.1</v>
      </c>
      <c r="D594">
        <f t="shared" si="18"/>
        <v>20</v>
      </c>
      <c r="E594" t="str">
        <f t="shared" si="19"/>
        <v>20. France</v>
      </c>
    </row>
    <row r="595" spans="1:5" x14ac:dyDescent="0.25">
      <c r="A595" t="s">
        <v>38</v>
      </c>
      <c r="B595" t="s">
        <v>330</v>
      </c>
      <c r="C595">
        <v>22.9</v>
      </c>
      <c r="D595">
        <f t="shared" si="18"/>
        <v>21</v>
      </c>
      <c r="E595" t="str">
        <f t="shared" si="19"/>
        <v>21. Brunei Darussalam</v>
      </c>
    </row>
    <row r="596" spans="1:5" x14ac:dyDescent="0.25">
      <c r="A596" t="s">
        <v>63</v>
      </c>
      <c r="B596" t="s">
        <v>330</v>
      </c>
      <c r="C596">
        <v>22.5</v>
      </c>
      <c r="D596">
        <f t="shared" si="18"/>
        <v>22</v>
      </c>
      <c r="E596" t="str">
        <f t="shared" si="19"/>
        <v>22. Denmark</v>
      </c>
    </row>
    <row r="597" spans="1:5" x14ac:dyDescent="0.25">
      <c r="A597" t="s">
        <v>102</v>
      </c>
      <c r="B597" t="s">
        <v>330</v>
      </c>
      <c r="C597">
        <v>22.3</v>
      </c>
      <c r="D597">
        <f t="shared" si="18"/>
        <v>23</v>
      </c>
      <c r="E597" t="str">
        <f t="shared" si="19"/>
        <v>23. Israel</v>
      </c>
    </row>
    <row r="598" spans="1:5" x14ac:dyDescent="0.25">
      <c r="A598" t="s">
        <v>152</v>
      </c>
      <c r="B598" t="s">
        <v>330</v>
      </c>
      <c r="C598">
        <v>22</v>
      </c>
      <c r="D598">
        <f t="shared" si="18"/>
        <v>24</v>
      </c>
      <c r="E598" t="str">
        <f t="shared" si="19"/>
        <v>24. Norway</v>
      </c>
    </row>
    <row r="599" spans="1:5" x14ac:dyDescent="0.25">
      <c r="A599" t="s">
        <v>146</v>
      </c>
      <c r="B599" t="s">
        <v>330</v>
      </c>
      <c r="C599">
        <v>21.8</v>
      </c>
      <c r="D599">
        <f t="shared" si="18"/>
        <v>25</v>
      </c>
      <c r="E599" t="str">
        <f t="shared" si="19"/>
        <v>25. Namibia</v>
      </c>
    </row>
    <row r="600" spans="1:5" x14ac:dyDescent="0.25">
      <c r="A600" t="s">
        <v>53</v>
      </c>
      <c r="B600" t="s">
        <v>330</v>
      </c>
      <c r="C600">
        <v>21.7</v>
      </c>
      <c r="D600">
        <f t="shared" si="18"/>
        <v>26</v>
      </c>
      <c r="E600" t="str">
        <f t="shared" si="19"/>
        <v>26. Cabo Verde</v>
      </c>
    </row>
    <row r="601" spans="1:5" x14ac:dyDescent="0.25">
      <c r="A601" t="s">
        <v>20</v>
      </c>
      <c r="B601" t="s">
        <v>330</v>
      </c>
      <c r="C601">
        <v>21.3</v>
      </c>
      <c r="D601">
        <f t="shared" si="18"/>
        <v>27</v>
      </c>
      <c r="E601" t="str">
        <f t="shared" si="19"/>
        <v>27. Australia</v>
      </c>
    </row>
    <row r="602" spans="1:5" x14ac:dyDescent="0.25">
      <c r="A602" t="s">
        <v>92</v>
      </c>
      <c r="B602" t="s">
        <v>330</v>
      </c>
      <c r="C602">
        <v>21.3</v>
      </c>
      <c r="D602">
        <f t="shared" si="18"/>
        <v>28</v>
      </c>
      <c r="E602" t="str">
        <f t="shared" si="19"/>
        <v>28. Croatia</v>
      </c>
    </row>
    <row r="603" spans="1:5" x14ac:dyDescent="0.25">
      <c r="A603" t="s">
        <v>11</v>
      </c>
      <c r="B603" t="s">
        <v>330</v>
      </c>
      <c r="C603">
        <v>21.2</v>
      </c>
      <c r="D603">
        <f t="shared" si="18"/>
        <v>29</v>
      </c>
      <c r="E603" t="str">
        <f t="shared" si="19"/>
        <v>29. Afghanistan</v>
      </c>
    </row>
    <row r="604" spans="1:5" x14ac:dyDescent="0.25">
      <c r="A604" t="s">
        <v>60</v>
      </c>
      <c r="B604" t="s">
        <v>330</v>
      </c>
      <c r="C604">
        <v>21.2</v>
      </c>
      <c r="D604">
        <f t="shared" si="18"/>
        <v>30</v>
      </c>
      <c r="E604" t="str">
        <f t="shared" si="19"/>
        <v>30. Germany</v>
      </c>
    </row>
    <row r="605" spans="1:5" x14ac:dyDescent="0.25">
      <c r="A605" t="s">
        <v>42</v>
      </c>
      <c r="B605" t="s">
        <v>330</v>
      </c>
      <c r="C605">
        <v>20.9</v>
      </c>
      <c r="D605">
        <f t="shared" si="18"/>
        <v>31</v>
      </c>
      <c r="E605" t="str">
        <f t="shared" si="19"/>
        <v>31. Canada</v>
      </c>
    </row>
    <row r="606" spans="1:5" x14ac:dyDescent="0.25">
      <c r="A606" t="s">
        <v>173</v>
      </c>
      <c r="B606" t="s">
        <v>330</v>
      </c>
      <c r="C606">
        <v>20.9</v>
      </c>
      <c r="D606">
        <f t="shared" si="18"/>
        <v>32</v>
      </c>
      <c r="E606" t="str">
        <f t="shared" si="19"/>
        <v>32. Saudi Arabia</v>
      </c>
    </row>
    <row r="607" spans="1:5" x14ac:dyDescent="0.25">
      <c r="A607" t="s">
        <v>72</v>
      </c>
      <c r="B607" t="s">
        <v>330</v>
      </c>
      <c r="C607">
        <v>20.8</v>
      </c>
      <c r="D607">
        <f t="shared" si="18"/>
        <v>33</v>
      </c>
      <c r="E607" t="str">
        <f t="shared" si="19"/>
        <v>33. Fiji</v>
      </c>
    </row>
    <row r="608" spans="1:5" x14ac:dyDescent="0.25">
      <c r="A608" t="s">
        <v>69</v>
      </c>
      <c r="B608" t="s">
        <v>330</v>
      </c>
      <c r="C608">
        <v>20.6</v>
      </c>
      <c r="D608">
        <f t="shared" si="18"/>
        <v>34</v>
      </c>
      <c r="E608" t="str">
        <f t="shared" si="19"/>
        <v>34. Estonia</v>
      </c>
    </row>
    <row r="609" spans="1:5" x14ac:dyDescent="0.25">
      <c r="A609" t="s">
        <v>21</v>
      </c>
      <c r="B609" t="s">
        <v>330</v>
      </c>
      <c r="C609">
        <v>20.5</v>
      </c>
      <c r="D609">
        <f t="shared" si="18"/>
        <v>35</v>
      </c>
      <c r="E609" t="str">
        <f t="shared" si="19"/>
        <v>35. Austria</v>
      </c>
    </row>
    <row r="610" spans="1:5" x14ac:dyDescent="0.25">
      <c r="A610" t="s">
        <v>77</v>
      </c>
      <c r="B610" t="s">
        <v>330</v>
      </c>
      <c r="C610">
        <v>20.5</v>
      </c>
      <c r="D610">
        <f t="shared" si="18"/>
        <v>36</v>
      </c>
      <c r="E610" t="str">
        <f t="shared" si="19"/>
        <v>36. United Kingdom</v>
      </c>
    </row>
    <row r="611" spans="1:5" x14ac:dyDescent="0.25">
      <c r="A611" t="s">
        <v>39</v>
      </c>
      <c r="B611" t="s">
        <v>330</v>
      </c>
      <c r="C611">
        <v>20.3</v>
      </c>
      <c r="D611">
        <f t="shared" si="18"/>
        <v>37</v>
      </c>
      <c r="E611" t="str">
        <f t="shared" si="19"/>
        <v>37. Bhutan</v>
      </c>
    </row>
    <row r="612" spans="1:5" x14ac:dyDescent="0.25">
      <c r="A612" t="s">
        <v>125</v>
      </c>
      <c r="B612" t="s">
        <v>330</v>
      </c>
      <c r="C612">
        <v>20.2</v>
      </c>
      <c r="D612">
        <f t="shared" si="18"/>
        <v>38</v>
      </c>
      <c r="E612" t="str">
        <f t="shared" si="19"/>
        <v>38. Latvia</v>
      </c>
    </row>
    <row r="613" spans="1:5" x14ac:dyDescent="0.25">
      <c r="A613" t="s">
        <v>167</v>
      </c>
      <c r="B613" t="s">
        <v>330</v>
      </c>
      <c r="C613">
        <v>20.2</v>
      </c>
      <c r="D613">
        <f t="shared" si="18"/>
        <v>39</v>
      </c>
      <c r="E613" t="str">
        <f t="shared" si="19"/>
        <v>39. West Bank and Gaza</v>
      </c>
    </row>
    <row r="614" spans="1:5" x14ac:dyDescent="0.25">
      <c r="A614" t="s">
        <v>26</v>
      </c>
      <c r="B614" t="s">
        <v>330</v>
      </c>
      <c r="C614">
        <v>20</v>
      </c>
      <c r="D614">
        <f t="shared" si="18"/>
        <v>40</v>
      </c>
      <c r="E614" t="str">
        <f t="shared" si="19"/>
        <v>40. Burkina Faso</v>
      </c>
    </row>
    <row r="615" spans="1:5" x14ac:dyDescent="0.25">
      <c r="A615" t="s">
        <v>186</v>
      </c>
      <c r="B615" t="s">
        <v>330</v>
      </c>
      <c r="C615">
        <v>20</v>
      </c>
      <c r="D615">
        <f t="shared" si="18"/>
        <v>41</v>
      </c>
      <c r="E615" t="str">
        <f t="shared" si="19"/>
        <v>41. Slovak Republic</v>
      </c>
    </row>
    <row r="616" spans="1:5" x14ac:dyDescent="0.25">
      <c r="A616" t="s">
        <v>94</v>
      </c>
      <c r="B616" t="s">
        <v>330</v>
      </c>
      <c r="C616">
        <v>19.899999999999999</v>
      </c>
      <c r="D616">
        <f t="shared" si="18"/>
        <v>42</v>
      </c>
      <c r="E616" t="str">
        <f t="shared" si="19"/>
        <v>42. Hungary</v>
      </c>
    </row>
    <row r="617" spans="1:5" x14ac:dyDescent="0.25">
      <c r="A617" t="s">
        <v>59</v>
      </c>
      <c r="B617" t="s">
        <v>330</v>
      </c>
      <c r="C617">
        <v>19.7</v>
      </c>
      <c r="D617">
        <f t="shared" si="18"/>
        <v>43</v>
      </c>
      <c r="E617" t="str">
        <f t="shared" si="19"/>
        <v>43. Czechia</v>
      </c>
    </row>
    <row r="618" spans="1:5" x14ac:dyDescent="0.25">
      <c r="A618" t="s">
        <v>10</v>
      </c>
      <c r="B618" t="s">
        <v>330</v>
      </c>
      <c r="C618">
        <v>19.600000000000001</v>
      </c>
      <c r="D618">
        <f t="shared" si="18"/>
        <v>44</v>
      </c>
      <c r="E618" t="str">
        <f t="shared" si="19"/>
        <v>44. Aruba</v>
      </c>
    </row>
    <row r="619" spans="1:5" x14ac:dyDescent="0.25">
      <c r="A619" t="s">
        <v>189</v>
      </c>
      <c r="B619" t="s">
        <v>330</v>
      </c>
      <c r="C619">
        <v>19.5</v>
      </c>
      <c r="D619">
        <f t="shared" si="18"/>
        <v>45</v>
      </c>
      <c r="E619" t="str">
        <f t="shared" si="19"/>
        <v>45. Eswatini</v>
      </c>
    </row>
    <row r="620" spans="1:5" x14ac:dyDescent="0.25">
      <c r="A620" t="s">
        <v>68</v>
      </c>
      <c r="B620" t="s">
        <v>330</v>
      </c>
      <c r="C620">
        <v>19.5</v>
      </c>
      <c r="D620">
        <f t="shared" si="18"/>
        <v>46</v>
      </c>
      <c r="E620" t="str">
        <f t="shared" si="19"/>
        <v>46. Spain</v>
      </c>
    </row>
    <row r="621" spans="1:5" x14ac:dyDescent="0.25">
      <c r="A621" t="s">
        <v>202</v>
      </c>
      <c r="B621" t="s">
        <v>330</v>
      </c>
      <c r="C621">
        <v>19.399999999999999</v>
      </c>
      <c r="D621">
        <f t="shared" si="18"/>
        <v>47</v>
      </c>
      <c r="E621" t="str">
        <f t="shared" si="19"/>
        <v>47. Tunisia</v>
      </c>
    </row>
    <row r="622" spans="1:5" x14ac:dyDescent="0.25">
      <c r="A622" t="s">
        <v>35</v>
      </c>
      <c r="B622" t="s">
        <v>330</v>
      </c>
      <c r="C622">
        <v>19.3</v>
      </c>
      <c r="D622">
        <f t="shared" si="18"/>
        <v>48</v>
      </c>
      <c r="E622" t="str">
        <f t="shared" si="19"/>
        <v>48. Bolivia</v>
      </c>
    </row>
    <row r="623" spans="1:5" x14ac:dyDescent="0.25">
      <c r="A623" t="s">
        <v>84</v>
      </c>
      <c r="B623" t="s">
        <v>330</v>
      </c>
      <c r="C623">
        <v>19.3</v>
      </c>
      <c r="D623">
        <f t="shared" si="18"/>
        <v>49</v>
      </c>
      <c r="E623" t="str">
        <f t="shared" si="19"/>
        <v>49. Greece</v>
      </c>
    </row>
    <row r="624" spans="1:5" x14ac:dyDescent="0.25">
      <c r="A624" t="s">
        <v>218</v>
      </c>
      <c r="B624" t="s">
        <v>330</v>
      </c>
      <c r="C624">
        <v>19.3</v>
      </c>
      <c r="D624">
        <f t="shared" si="18"/>
        <v>50</v>
      </c>
      <c r="E624" t="str">
        <f t="shared" si="19"/>
        <v>50. South Africa</v>
      </c>
    </row>
    <row r="625" spans="1:5" x14ac:dyDescent="0.25">
      <c r="A625" t="s">
        <v>187</v>
      </c>
      <c r="B625" t="s">
        <v>330</v>
      </c>
      <c r="C625">
        <v>19.2</v>
      </c>
      <c r="D625">
        <f t="shared" si="18"/>
        <v>51</v>
      </c>
      <c r="E625" t="str">
        <f t="shared" si="19"/>
        <v>51. Slovenia</v>
      </c>
    </row>
    <row r="626" spans="1:5" x14ac:dyDescent="0.25">
      <c r="A626" t="s">
        <v>31</v>
      </c>
      <c r="B626" t="s">
        <v>330</v>
      </c>
      <c r="C626">
        <v>19.100000000000001</v>
      </c>
      <c r="D626">
        <f t="shared" si="18"/>
        <v>52</v>
      </c>
      <c r="E626" t="str">
        <f t="shared" si="19"/>
        <v>52. Bosnia and Herzegovina</v>
      </c>
    </row>
    <row r="627" spans="1:5" x14ac:dyDescent="0.25">
      <c r="A627" t="s">
        <v>179</v>
      </c>
      <c r="B627" t="s">
        <v>330</v>
      </c>
      <c r="C627">
        <v>19.100000000000001</v>
      </c>
      <c r="D627">
        <f t="shared" si="18"/>
        <v>53</v>
      </c>
      <c r="E627" t="str">
        <f t="shared" si="19"/>
        <v>53. El Salvador</v>
      </c>
    </row>
    <row r="628" spans="1:5" x14ac:dyDescent="0.25">
      <c r="A628" t="s">
        <v>156</v>
      </c>
      <c r="B628" t="s">
        <v>330</v>
      </c>
      <c r="C628">
        <v>19.100000000000001</v>
      </c>
      <c r="D628">
        <f t="shared" si="18"/>
        <v>54</v>
      </c>
      <c r="E628" t="str">
        <f t="shared" si="19"/>
        <v>54. Oman</v>
      </c>
    </row>
    <row r="629" spans="1:5" x14ac:dyDescent="0.25">
      <c r="A629" t="s">
        <v>36</v>
      </c>
      <c r="B629" t="s">
        <v>330</v>
      </c>
      <c r="C629">
        <v>19</v>
      </c>
      <c r="D629">
        <f t="shared" si="18"/>
        <v>55</v>
      </c>
      <c r="E629" t="str">
        <f t="shared" si="19"/>
        <v>55. Brazil</v>
      </c>
    </row>
    <row r="630" spans="1:5" x14ac:dyDescent="0.25">
      <c r="A630" t="s">
        <v>113</v>
      </c>
      <c r="B630" t="s">
        <v>330</v>
      </c>
      <c r="C630">
        <v>18.899999999999999</v>
      </c>
      <c r="D630">
        <f t="shared" si="18"/>
        <v>56</v>
      </c>
      <c r="E630" t="str">
        <f t="shared" si="19"/>
        <v>56. Korea, Rep.</v>
      </c>
    </row>
    <row r="631" spans="1:5" x14ac:dyDescent="0.25">
      <c r="A631" t="s">
        <v>163</v>
      </c>
      <c r="B631" t="s">
        <v>330</v>
      </c>
      <c r="C631">
        <v>18.899999999999999</v>
      </c>
      <c r="D631">
        <f t="shared" si="18"/>
        <v>57</v>
      </c>
      <c r="E631" t="str">
        <f t="shared" si="19"/>
        <v>57. Poland</v>
      </c>
    </row>
    <row r="632" spans="1:5" x14ac:dyDescent="0.25">
      <c r="A632" t="s">
        <v>58</v>
      </c>
      <c r="B632" t="s">
        <v>330</v>
      </c>
      <c r="C632">
        <v>18.600000000000001</v>
      </c>
      <c r="D632">
        <f t="shared" si="18"/>
        <v>58</v>
      </c>
      <c r="E632" t="str">
        <f t="shared" si="19"/>
        <v>58. Cyprus</v>
      </c>
    </row>
    <row r="633" spans="1:5" x14ac:dyDescent="0.25">
      <c r="A633" t="s">
        <v>124</v>
      </c>
      <c r="B633" t="s">
        <v>330</v>
      </c>
      <c r="C633">
        <v>18.600000000000001</v>
      </c>
      <c r="D633">
        <f t="shared" si="18"/>
        <v>59</v>
      </c>
      <c r="E633" t="str">
        <f t="shared" si="19"/>
        <v>59. Luxembourg</v>
      </c>
    </row>
    <row r="634" spans="1:5" x14ac:dyDescent="0.25">
      <c r="A634" t="s">
        <v>28</v>
      </c>
      <c r="B634" t="s">
        <v>330</v>
      </c>
      <c r="C634">
        <v>18.399999999999999</v>
      </c>
      <c r="D634">
        <f t="shared" si="18"/>
        <v>60</v>
      </c>
      <c r="E634" t="str">
        <f t="shared" si="19"/>
        <v>60. Bulgaria</v>
      </c>
    </row>
    <row r="635" spans="1:5" x14ac:dyDescent="0.25">
      <c r="A635" t="s">
        <v>215</v>
      </c>
      <c r="B635" t="s">
        <v>330</v>
      </c>
      <c r="C635">
        <v>18.2</v>
      </c>
      <c r="D635">
        <f t="shared" si="18"/>
        <v>61</v>
      </c>
      <c r="E635" t="str">
        <f t="shared" si="19"/>
        <v>61. Samoa</v>
      </c>
    </row>
    <row r="636" spans="1:5" x14ac:dyDescent="0.25">
      <c r="A636" t="s">
        <v>127</v>
      </c>
      <c r="B636" t="s">
        <v>330</v>
      </c>
      <c r="C636">
        <v>18.100000000000001</v>
      </c>
      <c r="D636">
        <f t="shared" si="18"/>
        <v>62</v>
      </c>
      <c r="E636" t="str">
        <f t="shared" si="19"/>
        <v>62. Morocco</v>
      </c>
    </row>
    <row r="637" spans="1:5" x14ac:dyDescent="0.25">
      <c r="A637" t="s">
        <v>171</v>
      </c>
      <c r="B637" t="s">
        <v>330</v>
      </c>
      <c r="C637">
        <v>18</v>
      </c>
      <c r="D637">
        <f t="shared" si="18"/>
        <v>63</v>
      </c>
      <c r="E637" t="str">
        <f t="shared" si="19"/>
        <v>63. Russian Federation</v>
      </c>
    </row>
    <row r="638" spans="1:5" x14ac:dyDescent="0.25">
      <c r="A638" t="s">
        <v>65</v>
      </c>
      <c r="B638" t="s">
        <v>330</v>
      </c>
      <c r="C638">
        <v>17.899999999999999</v>
      </c>
      <c r="D638">
        <f t="shared" si="18"/>
        <v>64</v>
      </c>
      <c r="E638" t="str">
        <f t="shared" si="19"/>
        <v>64. Algeria</v>
      </c>
    </row>
    <row r="639" spans="1:5" x14ac:dyDescent="0.25">
      <c r="A639" t="s">
        <v>32</v>
      </c>
      <c r="B639" t="s">
        <v>330</v>
      </c>
      <c r="C639">
        <v>17.899999999999999</v>
      </c>
      <c r="D639">
        <f t="shared" si="18"/>
        <v>65</v>
      </c>
      <c r="E639" t="str">
        <f t="shared" si="19"/>
        <v>65. Belarus</v>
      </c>
    </row>
    <row r="640" spans="1:5" x14ac:dyDescent="0.25">
      <c r="A640" t="s">
        <v>129</v>
      </c>
      <c r="B640" t="s">
        <v>330</v>
      </c>
      <c r="C640">
        <v>17.899999999999999</v>
      </c>
      <c r="D640">
        <f t="shared" si="18"/>
        <v>66</v>
      </c>
      <c r="E640" t="str">
        <f t="shared" si="19"/>
        <v>66. Moldova</v>
      </c>
    </row>
    <row r="641" spans="1:5" x14ac:dyDescent="0.25">
      <c r="A641" t="s">
        <v>138</v>
      </c>
      <c r="B641" t="s">
        <v>330</v>
      </c>
      <c r="C641">
        <v>17.899999999999999</v>
      </c>
      <c r="D641">
        <f t="shared" si="18"/>
        <v>67</v>
      </c>
      <c r="E641" t="str">
        <f t="shared" si="19"/>
        <v>67. Montenegro</v>
      </c>
    </row>
    <row r="642" spans="1:5" x14ac:dyDescent="0.25">
      <c r="A642" t="s">
        <v>103</v>
      </c>
      <c r="B642" t="s">
        <v>330</v>
      </c>
      <c r="C642">
        <v>17.8</v>
      </c>
      <c r="D642">
        <f t="shared" si="18"/>
        <v>68</v>
      </c>
      <c r="E642" t="str">
        <f t="shared" si="19"/>
        <v>68. Italy</v>
      </c>
    </row>
    <row r="643" spans="1:5" x14ac:dyDescent="0.25">
      <c r="A643" t="s">
        <v>100</v>
      </c>
      <c r="B643" t="s">
        <v>330</v>
      </c>
      <c r="C643">
        <v>17.5</v>
      </c>
      <c r="D643">
        <f t="shared" ref="D643:D706" si="20">IF(ROW() = 2, 1, IF(B643 = B642, D642 + 1, 1))</f>
        <v>69</v>
      </c>
      <c r="E643" t="str">
        <f t="shared" ref="E643:E706" si="21">_xlfn.CONCAT(D643, ". ", A643)</f>
        <v>69. Iraq</v>
      </c>
    </row>
    <row r="644" spans="1:5" x14ac:dyDescent="0.25">
      <c r="A644" t="s">
        <v>174</v>
      </c>
      <c r="B644" t="s">
        <v>330</v>
      </c>
      <c r="C644">
        <v>17.399999999999999</v>
      </c>
      <c r="D644">
        <f t="shared" si="20"/>
        <v>70</v>
      </c>
      <c r="E644" t="str">
        <f t="shared" si="21"/>
        <v>70. Sudan</v>
      </c>
    </row>
    <row r="645" spans="1:5" x14ac:dyDescent="0.25">
      <c r="A645" t="s">
        <v>123</v>
      </c>
      <c r="B645" t="s">
        <v>330</v>
      </c>
      <c r="C645">
        <v>17.3</v>
      </c>
      <c r="D645">
        <f t="shared" si="20"/>
        <v>71</v>
      </c>
      <c r="E645" t="str">
        <f t="shared" si="21"/>
        <v>71. Lithuania</v>
      </c>
    </row>
    <row r="646" spans="1:5" x14ac:dyDescent="0.25">
      <c r="A646" t="s">
        <v>46</v>
      </c>
      <c r="B646" t="s">
        <v>330</v>
      </c>
      <c r="C646">
        <v>17.2</v>
      </c>
      <c r="D646">
        <f t="shared" si="20"/>
        <v>72</v>
      </c>
      <c r="E646" t="str">
        <f t="shared" si="21"/>
        <v>72. China</v>
      </c>
    </row>
    <row r="647" spans="1:5" x14ac:dyDescent="0.25">
      <c r="A647" t="s">
        <v>142</v>
      </c>
      <c r="B647" t="s">
        <v>330</v>
      </c>
      <c r="C647">
        <v>17.2</v>
      </c>
      <c r="D647">
        <f t="shared" si="20"/>
        <v>73</v>
      </c>
      <c r="E647" t="str">
        <f t="shared" si="21"/>
        <v>73. Mauritania</v>
      </c>
    </row>
    <row r="648" spans="1:5" x14ac:dyDescent="0.25">
      <c r="A648" t="s">
        <v>141</v>
      </c>
      <c r="B648" t="s">
        <v>330</v>
      </c>
      <c r="C648">
        <v>17.2</v>
      </c>
      <c r="D648">
        <f t="shared" si="20"/>
        <v>74</v>
      </c>
      <c r="E648" t="str">
        <f t="shared" si="21"/>
        <v>74. Mozambique</v>
      </c>
    </row>
    <row r="649" spans="1:5" x14ac:dyDescent="0.25">
      <c r="A649" t="s">
        <v>131</v>
      </c>
      <c r="B649" t="s">
        <v>330</v>
      </c>
      <c r="C649">
        <v>17.100000000000001</v>
      </c>
      <c r="D649">
        <f t="shared" si="20"/>
        <v>75</v>
      </c>
      <c r="E649" t="str">
        <f t="shared" si="21"/>
        <v>75. Maldives</v>
      </c>
    </row>
    <row r="650" spans="1:5" x14ac:dyDescent="0.25">
      <c r="A650" t="s">
        <v>170</v>
      </c>
      <c r="B650" t="s">
        <v>330</v>
      </c>
      <c r="C650">
        <v>17.100000000000001</v>
      </c>
      <c r="D650">
        <f t="shared" si="20"/>
        <v>76</v>
      </c>
      <c r="E650" t="str">
        <f t="shared" si="21"/>
        <v>76. Romania</v>
      </c>
    </row>
    <row r="651" spans="1:5" x14ac:dyDescent="0.25">
      <c r="A651" t="s">
        <v>182</v>
      </c>
      <c r="B651" t="s">
        <v>330</v>
      </c>
      <c r="C651">
        <v>17.100000000000001</v>
      </c>
      <c r="D651">
        <f t="shared" si="20"/>
        <v>77</v>
      </c>
      <c r="E651" t="str">
        <f t="shared" si="21"/>
        <v>77. Serbia</v>
      </c>
    </row>
    <row r="652" spans="1:5" x14ac:dyDescent="0.25">
      <c r="A652" t="s">
        <v>61</v>
      </c>
      <c r="B652" t="s">
        <v>330</v>
      </c>
      <c r="C652">
        <v>17</v>
      </c>
      <c r="D652">
        <f t="shared" si="20"/>
        <v>78</v>
      </c>
      <c r="E652" t="str">
        <f t="shared" si="21"/>
        <v>78. Djibouti</v>
      </c>
    </row>
    <row r="653" spans="1:5" x14ac:dyDescent="0.25">
      <c r="A653" t="s">
        <v>165</v>
      </c>
      <c r="B653" t="s">
        <v>330</v>
      </c>
      <c r="C653">
        <v>16.8</v>
      </c>
      <c r="D653">
        <f t="shared" si="20"/>
        <v>79</v>
      </c>
      <c r="E653" t="str">
        <f t="shared" si="21"/>
        <v>79. Portugal</v>
      </c>
    </row>
    <row r="654" spans="1:5" x14ac:dyDescent="0.25">
      <c r="A654" t="s">
        <v>136</v>
      </c>
      <c r="B654" t="s">
        <v>330</v>
      </c>
      <c r="C654">
        <v>16.7</v>
      </c>
      <c r="D654">
        <f t="shared" si="20"/>
        <v>80</v>
      </c>
      <c r="E654" t="str">
        <f t="shared" si="21"/>
        <v>80. Malta</v>
      </c>
    </row>
    <row r="655" spans="1:5" x14ac:dyDescent="0.25">
      <c r="A655" t="s">
        <v>196</v>
      </c>
      <c r="B655" t="s">
        <v>330</v>
      </c>
      <c r="C655">
        <v>16.600000000000001</v>
      </c>
      <c r="D655">
        <f t="shared" si="20"/>
        <v>81</v>
      </c>
      <c r="E655" t="str">
        <f t="shared" si="21"/>
        <v>81. Thailand</v>
      </c>
    </row>
    <row r="656" spans="1:5" x14ac:dyDescent="0.25">
      <c r="A656" t="s">
        <v>16</v>
      </c>
      <c r="B656" t="s">
        <v>330</v>
      </c>
      <c r="C656">
        <v>16.399999999999999</v>
      </c>
      <c r="D656">
        <f t="shared" si="20"/>
        <v>82</v>
      </c>
      <c r="E656" t="str">
        <f t="shared" si="21"/>
        <v>82. Argentina</v>
      </c>
    </row>
    <row r="657" spans="1:5" x14ac:dyDescent="0.25">
      <c r="A657" t="s">
        <v>172</v>
      </c>
      <c r="B657" t="s">
        <v>330</v>
      </c>
      <c r="C657">
        <v>16.3</v>
      </c>
      <c r="D657">
        <f t="shared" si="20"/>
        <v>83</v>
      </c>
      <c r="E657" t="str">
        <f t="shared" si="21"/>
        <v>83. Rwanda</v>
      </c>
    </row>
    <row r="658" spans="1:5" x14ac:dyDescent="0.25">
      <c r="A658" t="s">
        <v>82</v>
      </c>
      <c r="B658" t="s">
        <v>330</v>
      </c>
      <c r="C658">
        <v>16.100000000000001</v>
      </c>
      <c r="D658">
        <f t="shared" si="20"/>
        <v>84</v>
      </c>
      <c r="E658" t="str">
        <f t="shared" si="21"/>
        <v>84. Guinea-Bissau</v>
      </c>
    </row>
    <row r="659" spans="1:5" x14ac:dyDescent="0.25">
      <c r="A659" t="s">
        <v>109</v>
      </c>
      <c r="B659" t="s">
        <v>330</v>
      </c>
      <c r="C659">
        <v>16</v>
      </c>
      <c r="D659">
        <f t="shared" si="20"/>
        <v>85</v>
      </c>
      <c r="E659" t="str">
        <f t="shared" si="21"/>
        <v>85. Kyrgyz Republic</v>
      </c>
    </row>
    <row r="660" spans="1:5" x14ac:dyDescent="0.25">
      <c r="A660" t="s">
        <v>175</v>
      </c>
      <c r="B660" t="s">
        <v>330</v>
      </c>
      <c r="C660">
        <v>15.8</v>
      </c>
      <c r="D660">
        <f t="shared" si="20"/>
        <v>86</v>
      </c>
      <c r="E660" t="str">
        <f t="shared" si="21"/>
        <v>86. Senegal</v>
      </c>
    </row>
    <row r="661" spans="1:5" x14ac:dyDescent="0.25">
      <c r="A661" t="s">
        <v>33</v>
      </c>
      <c r="B661" t="s">
        <v>330</v>
      </c>
      <c r="C661">
        <v>15.7</v>
      </c>
      <c r="D661">
        <f t="shared" si="20"/>
        <v>87</v>
      </c>
      <c r="E661" t="str">
        <f t="shared" si="21"/>
        <v>87. Belize</v>
      </c>
    </row>
    <row r="662" spans="1:5" x14ac:dyDescent="0.25">
      <c r="A662" t="s">
        <v>130</v>
      </c>
      <c r="B662" t="s">
        <v>330</v>
      </c>
      <c r="C662">
        <v>15.6</v>
      </c>
      <c r="D662">
        <f t="shared" si="20"/>
        <v>88</v>
      </c>
      <c r="E662" t="str">
        <f t="shared" si="21"/>
        <v>88. Madagascar</v>
      </c>
    </row>
    <row r="663" spans="1:5" x14ac:dyDescent="0.25">
      <c r="A663" t="s">
        <v>45</v>
      </c>
      <c r="B663" t="s">
        <v>330</v>
      </c>
      <c r="C663">
        <v>15.3</v>
      </c>
      <c r="D663">
        <f t="shared" si="20"/>
        <v>89</v>
      </c>
      <c r="E663" t="str">
        <f t="shared" si="21"/>
        <v>89. Chile</v>
      </c>
    </row>
    <row r="664" spans="1:5" x14ac:dyDescent="0.25">
      <c r="A664" t="s">
        <v>220</v>
      </c>
      <c r="B664" t="s">
        <v>330</v>
      </c>
      <c r="C664">
        <v>15.1</v>
      </c>
      <c r="D664">
        <f t="shared" si="20"/>
        <v>90</v>
      </c>
      <c r="E664" t="str">
        <f t="shared" si="21"/>
        <v>90. Zimbabwe</v>
      </c>
    </row>
    <row r="665" spans="1:5" x14ac:dyDescent="0.25">
      <c r="A665" t="s">
        <v>54</v>
      </c>
      <c r="B665" t="s">
        <v>330</v>
      </c>
      <c r="C665">
        <v>14.9</v>
      </c>
      <c r="D665">
        <f t="shared" si="20"/>
        <v>91</v>
      </c>
      <c r="E665" t="str">
        <f t="shared" si="21"/>
        <v>91. Costa Rica</v>
      </c>
    </row>
    <row r="666" spans="1:5" x14ac:dyDescent="0.25">
      <c r="A666" t="s">
        <v>91</v>
      </c>
      <c r="B666" t="s">
        <v>330</v>
      </c>
      <c r="C666">
        <v>14.9</v>
      </c>
      <c r="D666">
        <f t="shared" si="20"/>
        <v>92</v>
      </c>
      <c r="E666" t="str">
        <f t="shared" si="21"/>
        <v>92. Honduras</v>
      </c>
    </row>
    <row r="667" spans="1:5" x14ac:dyDescent="0.25">
      <c r="A667" t="s">
        <v>134</v>
      </c>
      <c r="B667" t="s">
        <v>330</v>
      </c>
      <c r="C667">
        <v>14.9</v>
      </c>
      <c r="D667">
        <f t="shared" si="20"/>
        <v>93</v>
      </c>
      <c r="E667" t="str">
        <f t="shared" si="21"/>
        <v>93. North Macedonia</v>
      </c>
    </row>
    <row r="668" spans="1:5" x14ac:dyDescent="0.25">
      <c r="A668" t="s">
        <v>51</v>
      </c>
      <c r="B668" t="s">
        <v>330</v>
      </c>
      <c r="C668">
        <v>14.7</v>
      </c>
      <c r="D668">
        <f t="shared" si="20"/>
        <v>94</v>
      </c>
      <c r="E668" t="str">
        <f t="shared" si="21"/>
        <v>94. Colombia</v>
      </c>
    </row>
    <row r="669" spans="1:5" x14ac:dyDescent="0.25">
      <c r="A669" t="s">
        <v>29</v>
      </c>
      <c r="B669" t="s">
        <v>330</v>
      </c>
      <c r="C669">
        <v>14.6</v>
      </c>
      <c r="D669">
        <f t="shared" si="20"/>
        <v>95</v>
      </c>
      <c r="E669" t="str">
        <f t="shared" si="21"/>
        <v>95. Bahrain</v>
      </c>
    </row>
    <row r="670" spans="1:5" x14ac:dyDescent="0.25">
      <c r="A670" t="s">
        <v>210</v>
      </c>
      <c r="B670" t="s">
        <v>330</v>
      </c>
      <c r="C670">
        <v>14.5</v>
      </c>
      <c r="D670">
        <f t="shared" si="20"/>
        <v>96</v>
      </c>
      <c r="E670" t="str">
        <f t="shared" si="21"/>
        <v>96. Uzbekistan</v>
      </c>
    </row>
    <row r="671" spans="1:5" x14ac:dyDescent="0.25">
      <c r="A671" t="s">
        <v>143</v>
      </c>
      <c r="B671" t="s">
        <v>330</v>
      </c>
      <c r="C671">
        <v>14.3</v>
      </c>
      <c r="D671">
        <f t="shared" si="20"/>
        <v>97</v>
      </c>
      <c r="E671" t="str">
        <f t="shared" si="21"/>
        <v>97. Mauritius</v>
      </c>
    </row>
    <row r="672" spans="1:5" x14ac:dyDescent="0.25">
      <c r="A672" t="s">
        <v>160</v>
      </c>
      <c r="B672" t="s">
        <v>330</v>
      </c>
      <c r="C672">
        <v>14.2</v>
      </c>
      <c r="D672">
        <f t="shared" si="20"/>
        <v>98</v>
      </c>
      <c r="E672" t="str">
        <f t="shared" si="21"/>
        <v>98. Philippines</v>
      </c>
    </row>
    <row r="673" spans="1:5" x14ac:dyDescent="0.25">
      <c r="A673" t="s">
        <v>17</v>
      </c>
      <c r="B673" t="s">
        <v>330</v>
      </c>
      <c r="C673">
        <v>14.1</v>
      </c>
      <c r="D673">
        <f t="shared" si="20"/>
        <v>99</v>
      </c>
      <c r="E673" t="str">
        <f t="shared" si="21"/>
        <v>99. Armenia</v>
      </c>
    </row>
    <row r="674" spans="1:5" x14ac:dyDescent="0.25">
      <c r="A674" t="s">
        <v>22</v>
      </c>
      <c r="B674" t="s">
        <v>330</v>
      </c>
      <c r="C674">
        <v>13.8</v>
      </c>
      <c r="D674">
        <f t="shared" si="20"/>
        <v>100</v>
      </c>
      <c r="E674" t="str">
        <f t="shared" si="21"/>
        <v>100. Azerbaijan</v>
      </c>
    </row>
    <row r="675" spans="1:5" x14ac:dyDescent="0.25">
      <c r="A675" t="s">
        <v>126</v>
      </c>
      <c r="B675" t="s">
        <v>330</v>
      </c>
      <c r="C675">
        <v>13.8</v>
      </c>
      <c r="D675">
        <f t="shared" si="20"/>
        <v>101</v>
      </c>
      <c r="E675" t="str">
        <f t="shared" si="21"/>
        <v>101. Macao SAR, China</v>
      </c>
    </row>
    <row r="676" spans="1:5" x14ac:dyDescent="0.25">
      <c r="A676" t="s">
        <v>66</v>
      </c>
      <c r="B676" t="s">
        <v>330</v>
      </c>
      <c r="C676">
        <v>13.6</v>
      </c>
      <c r="D676">
        <f t="shared" si="20"/>
        <v>102</v>
      </c>
      <c r="E676" t="str">
        <f t="shared" si="21"/>
        <v>102. Ecuador</v>
      </c>
    </row>
    <row r="677" spans="1:5" x14ac:dyDescent="0.25">
      <c r="A677" t="s">
        <v>159</v>
      </c>
      <c r="B677" t="s">
        <v>330</v>
      </c>
      <c r="C677">
        <v>13.6</v>
      </c>
      <c r="D677">
        <f t="shared" si="20"/>
        <v>103</v>
      </c>
      <c r="E677" t="str">
        <f t="shared" si="21"/>
        <v>103. Peru</v>
      </c>
    </row>
    <row r="678" spans="1:5" x14ac:dyDescent="0.25">
      <c r="A678" t="s">
        <v>80</v>
      </c>
      <c r="B678" t="s">
        <v>330</v>
      </c>
      <c r="C678">
        <v>13.5</v>
      </c>
      <c r="D678">
        <f t="shared" si="20"/>
        <v>104</v>
      </c>
      <c r="E678" t="str">
        <f t="shared" si="21"/>
        <v>104. Guinea</v>
      </c>
    </row>
    <row r="679" spans="1:5" x14ac:dyDescent="0.25">
      <c r="A679" t="s">
        <v>148</v>
      </c>
      <c r="B679" t="s">
        <v>330</v>
      </c>
      <c r="C679">
        <v>13.4</v>
      </c>
      <c r="D679">
        <f t="shared" si="20"/>
        <v>105</v>
      </c>
      <c r="E679" t="str">
        <f t="shared" si="21"/>
        <v>105. Niger</v>
      </c>
    </row>
    <row r="680" spans="1:5" x14ac:dyDescent="0.25">
      <c r="A680" t="s">
        <v>209</v>
      </c>
      <c r="B680" t="s">
        <v>330</v>
      </c>
      <c r="C680">
        <v>13.4</v>
      </c>
      <c r="D680">
        <f t="shared" si="20"/>
        <v>106</v>
      </c>
      <c r="E680" t="str">
        <f t="shared" si="21"/>
        <v>106. United States</v>
      </c>
    </row>
    <row r="681" spans="1:5" x14ac:dyDescent="0.25">
      <c r="A681" t="s">
        <v>90</v>
      </c>
      <c r="B681" t="s">
        <v>330</v>
      </c>
      <c r="C681">
        <v>13.3</v>
      </c>
      <c r="D681">
        <f t="shared" si="20"/>
        <v>107</v>
      </c>
      <c r="E681" t="str">
        <f t="shared" si="21"/>
        <v>107. Hong Kong SAR, China</v>
      </c>
    </row>
    <row r="682" spans="1:5" x14ac:dyDescent="0.25">
      <c r="A682" t="s">
        <v>219</v>
      </c>
      <c r="B682" t="s">
        <v>330</v>
      </c>
      <c r="C682">
        <v>13.3</v>
      </c>
      <c r="D682">
        <f t="shared" si="20"/>
        <v>108</v>
      </c>
      <c r="E682" t="str">
        <f t="shared" si="21"/>
        <v>108. Zambia</v>
      </c>
    </row>
    <row r="683" spans="1:5" x14ac:dyDescent="0.25">
      <c r="A683" t="s">
        <v>30</v>
      </c>
      <c r="B683" t="s">
        <v>330</v>
      </c>
      <c r="C683">
        <v>13.1</v>
      </c>
      <c r="D683">
        <f t="shared" si="20"/>
        <v>109</v>
      </c>
      <c r="E683" t="str">
        <f t="shared" si="21"/>
        <v>109. Bahamas, The</v>
      </c>
    </row>
    <row r="684" spans="1:5" x14ac:dyDescent="0.25">
      <c r="A684" t="s">
        <v>50</v>
      </c>
      <c r="B684" t="s">
        <v>330</v>
      </c>
      <c r="C684">
        <v>13.1</v>
      </c>
      <c r="D684">
        <f t="shared" si="20"/>
        <v>110</v>
      </c>
      <c r="E684" t="str">
        <f t="shared" si="21"/>
        <v>110. Congo, Rep.</v>
      </c>
    </row>
    <row r="685" spans="1:5" x14ac:dyDescent="0.25">
      <c r="A685" t="s">
        <v>135</v>
      </c>
      <c r="B685" t="s">
        <v>330</v>
      </c>
      <c r="C685">
        <v>13.1</v>
      </c>
      <c r="D685">
        <f t="shared" si="20"/>
        <v>111</v>
      </c>
      <c r="E685" t="str">
        <f t="shared" si="21"/>
        <v>111. Mali</v>
      </c>
    </row>
    <row r="686" spans="1:5" x14ac:dyDescent="0.25">
      <c r="A686" t="s">
        <v>203</v>
      </c>
      <c r="B686" t="s">
        <v>330</v>
      </c>
      <c r="C686">
        <v>13.1</v>
      </c>
      <c r="D686">
        <f t="shared" si="20"/>
        <v>112</v>
      </c>
      <c r="E686" t="str">
        <f t="shared" si="21"/>
        <v>112. Turkiye</v>
      </c>
    </row>
    <row r="687" spans="1:5" x14ac:dyDescent="0.25">
      <c r="A687" t="s">
        <v>139</v>
      </c>
      <c r="B687" t="s">
        <v>330</v>
      </c>
      <c r="C687">
        <v>13</v>
      </c>
      <c r="D687">
        <f t="shared" si="20"/>
        <v>113</v>
      </c>
      <c r="E687" t="str">
        <f t="shared" si="21"/>
        <v>113. Mongolia</v>
      </c>
    </row>
    <row r="688" spans="1:5" x14ac:dyDescent="0.25">
      <c r="A688" t="s">
        <v>99</v>
      </c>
      <c r="B688" t="s">
        <v>330</v>
      </c>
      <c r="C688">
        <v>12.9</v>
      </c>
      <c r="D688">
        <f t="shared" si="20"/>
        <v>114</v>
      </c>
      <c r="E688" t="str">
        <f t="shared" si="21"/>
        <v>114. Iran, Islamic Rep.</v>
      </c>
    </row>
    <row r="689" spans="1:5" x14ac:dyDescent="0.25">
      <c r="A689" t="s">
        <v>150</v>
      </c>
      <c r="B689" t="s">
        <v>330</v>
      </c>
      <c r="C689">
        <v>12.9</v>
      </c>
      <c r="D689">
        <f t="shared" si="20"/>
        <v>115</v>
      </c>
      <c r="E689" t="str">
        <f t="shared" si="21"/>
        <v>115. Nicaragua</v>
      </c>
    </row>
    <row r="690" spans="1:5" x14ac:dyDescent="0.25">
      <c r="A690" t="s">
        <v>198</v>
      </c>
      <c r="B690" t="s">
        <v>330</v>
      </c>
      <c r="C690">
        <v>12.7</v>
      </c>
      <c r="D690">
        <f t="shared" si="20"/>
        <v>116</v>
      </c>
      <c r="E690" t="str">
        <f t="shared" si="21"/>
        <v>116. Turkmenistan</v>
      </c>
    </row>
    <row r="691" spans="1:5" x14ac:dyDescent="0.25">
      <c r="A691" t="s">
        <v>216</v>
      </c>
      <c r="B691" t="s">
        <v>330</v>
      </c>
      <c r="C691">
        <v>12.6</v>
      </c>
      <c r="D691">
        <f t="shared" si="20"/>
        <v>117</v>
      </c>
      <c r="E691" t="str">
        <f t="shared" si="21"/>
        <v>117. Kosovo</v>
      </c>
    </row>
    <row r="692" spans="1:5" x14ac:dyDescent="0.25">
      <c r="A692" t="s">
        <v>195</v>
      </c>
      <c r="B692" t="s">
        <v>330</v>
      </c>
      <c r="C692">
        <v>12.6</v>
      </c>
      <c r="D692">
        <f t="shared" si="20"/>
        <v>118</v>
      </c>
      <c r="E692" t="str">
        <f t="shared" si="21"/>
        <v>118. Togo</v>
      </c>
    </row>
    <row r="693" spans="1:5" x14ac:dyDescent="0.25">
      <c r="A693" t="s">
        <v>15</v>
      </c>
      <c r="B693" t="s">
        <v>330</v>
      </c>
      <c r="C693">
        <v>12.4</v>
      </c>
      <c r="D693">
        <f t="shared" si="20"/>
        <v>119</v>
      </c>
      <c r="E693" t="str">
        <f t="shared" si="21"/>
        <v>119. United Arab Emirates</v>
      </c>
    </row>
    <row r="694" spans="1:5" x14ac:dyDescent="0.25">
      <c r="A694" t="s">
        <v>98</v>
      </c>
      <c r="B694" t="s">
        <v>330</v>
      </c>
      <c r="C694">
        <v>12.2</v>
      </c>
      <c r="D694">
        <f t="shared" si="20"/>
        <v>120</v>
      </c>
      <c r="E694" t="str">
        <f t="shared" si="21"/>
        <v>120. Ireland</v>
      </c>
    </row>
    <row r="695" spans="1:5" x14ac:dyDescent="0.25">
      <c r="A695" t="s">
        <v>158</v>
      </c>
      <c r="B695" t="s">
        <v>330</v>
      </c>
      <c r="C695">
        <v>12.2</v>
      </c>
      <c r="D695">
        <f t="shared" si="20"/>
        <v>121</v>
      </c>
      <c r="E695" t="str">
        <f t="shared" si="21"/>
        <v>121. Panama</v>
      </c>
    </row>
    <row r="696" spans="1:5" x14ac:dyDescent="0.25">
      <c r="A696" t="s">
        <v>78</v>
      </c>
      <c r="B696" t="s">
        <v>330</v>
      </c>
      <c r="C696">
        <v>12.1</v>
      </c>
      <c r="D696">
        <f t="shared" si="20"/>
        <v>122</v>
      </c>
      <c r="E696" t="str">
        <f t="shared" si="21"/>
        <v>122. Georgia</v>
      </c>
    </row>
    <row r="697" spans="1:5" x14ac:dyDescent="0.25">
      <c r="A697" t="s">
        <v>166</v>
      </c>
      <c r="B697" t="s">
        <v>330</v>
      </c>
      <c r="C697">
        <v>12.1</v>
      </c>
      <c r="D697">
        <f t="shared" si="20"/>
        <v>123</v>
      </c>
      <c r="E697" t="str">
        <f t="shared" si="21"/>
        <v>123. Paraguay</v>
      </c>
    </row>
    <row r="698" spans="1:5" x14ac:dyDescent="0.25">
      <c r="A698" t="s">
        <v>13</v>
      </c>
      <c r="B698" t="s">
        <v>330</v>
      </c>
      <c r="C698">
        <v>12</v>
      </c>
      <c r="D698">
        <f t="shared" si="20"/>
        <v>124</v>
      </c>
      <c r="E698" t="str">
        <f t="shared" si="21"/>
        <v>124. Albania</v>
      </c>
    </row>
    <row r="699" spans="1:5" x14ac:dyDescent="0.25">
      <c r="A699" t="s">
        <v>108</v>
      </c>
      <c r="B699" t="s">
        <v>330</v>
      </c>
      <c r="C699">
        <v>11.9</v>
      </c>
      <c r="D699">
        <f t="shared" si="20"/>
        <v>125</v>
      </c>
      <c r="E699" t="str">
        <f t="shared" si="21"/>
        <v>125. Kenya</v>
      </c>
    </row>
    <row r="700" spans="1:5" x14ac:dyDescent="0.25">
      <c r="A700" t="s">
        <v>145</v>
      </c>
      <c r="B700" t="s">
        <v>330</v>
      </c>
      <c r="C700">
        <v>11.9</v>
      </c>
      <c r="D700">
        <f t="shared" si="20"/>
        <v>126</v>
      </c>
      <c r="E700" t="str">
        <f t="shared" si="21"/>
        <v>126. Malaysia</v>
      </c>
    </row>
    <row r="701" spans="1:5" x14ac:dyDescent="0.25">
      <c r="A701" t="s">
        <v>76</v>
      </c>
      <c r="B701" t="s">
        <v>330</v>
      </c>
      <c r="C701">
        <v>11.8</v>
      </c>
      <c r="D701">
        <f t="shared" si="20"/>
        <v>127</v>
      </c>
      <c r="E701" t="str">
        <f t="shared" si="21"/>
        <v>127. Gabon</v>
      </c>
    </row>
    <row r="702" spans="1:5" x14ac:dyDescent="0.25">
      <c r="A702" t="s">
        <v>34</v>
      </c>
      <c r="B702" t="s">
        <v>330</v>
      </c>
      <c r="C702">
        <v>11.4</v>
      </c>
      <c r="D702">
        <f t="shared" si="20"/>
        <v>128</v>
      </c>
      <c r="E702" t="str">
        <f t="shared" si="21"/>
        <v>128. Bermuda</v>
      </c>
    </row>
    <row r="703" spans="1:5" x14ac:dyDescent="0.25">
      <c r="A703" t="s">
        <v>64</v>
      </c>
      <c r="B703" t="s">
        <v>330</v>
      </c>
      <c r="C703">
        <v>11.3</v>
      </c>
      <c r="D703">
        <f t="shared" si="20"/>
        <v>129</v>
      </c>
      <c r="E703" t="str">
        <f t="shared" si="21"/>
        <v>129. Dominican Republic</v>
      </c>
    </row>
    <row r="704" spans="1:5" x14ac:dyDescent="0.25">
      <c r="A704" t="s">
        <v>43</v>
      </c>
      <c r="B704" t="s">
        <v>330</v>
      </c>
      <c r="C704">
        <v>11.3</v>
      </c>
      <c r="D704">
        <f t="shared" si="20"/>
        <v>130</v>
      </c>
      <c r="E704" t="str">
        <f t="shared" si="21"/>
        <v>130. Switzerland</v>
      </c>
    </row>
    <row r="705" spans="1:5" x14ac:dyDescent="0.25">
      <c r="A705" t="s">
        <v>87</v>
      </c>
      <c r="B705" t="s">
        <v>330</v>
      </c>
      <c r="C705">
        <v>11.2</v>
      </c>
      <c r="D705">
        <f t="shared" si="20"/>
        <v>131</v>
      </c>
      <c r="E705" t="str">
        <f t="shared" si="21"/>
        <v>131. Guatemala</v>
      </c>
    </row>
    <row r="706" spans="1:5" x14ac:dyDescent="0.25">
      <c r="A706" t="s">
        <v>107</v>
      </c>
      <c r="B706" t="s">
        <v>330</v>
      </c>
      <c r="C706">
        <v>11.1</v>
      </c>
      <c r="D706">
        <f t="shared" si="20"/>
        <v>132</v>
      </c>
      <c r="E706" t="str">
        <f t="shared" si="21"/>
        <v>132. Kazakhstan</v>
      </c>
    </row>
    <row r="707" spans="1:5" x14ac:dyDescent="0.25">
      <c r="A707" t="s">
        <v>132</v>
      </c>
      <c r="B707" t="s">
        <v>330</v>
      </c>
      <c r="C707">
        <v>11.1</v>
      </c>
      <c r="D707">
        <f t="shared" ref="D707:D770" si="22">IF(ROW() = 2, 1, IF(B707 = B706, D706 + 1, 1))</f>
        <v>133</v>
      </c>
      <c r="E707" t="str">
        <f t="shared" ref="E707:E770" si="23">_xlfn.CONCAT(D707, ". ", A707)</f>
        <v>133. Mexico</v>
      </c>
    </row>
    <row r="708" spans="1:5" x14ac:dyDescent="0.25">
      <c r="A708" t="s">
        <v>197</v>
      </c>
      <c r="B708" t="s">
        <v>330</v>
      </c>
      <c r="C708">
        <v>10.7</v>
      </c>
      <c r="D708">
        <f t="shared" si="22"/>
        <v>134</v>
      </c>
      <c r="E708" t="str">
        <f t="shared" si="23"/>
        <v>134. Tajikistan</v>
      </c>
    </row>
    <row r="709" spans="1:5" x14ac:dyDescent="0.25">
      <c r="A709" t="s">
        <v>48</v>
      </c>
      <c r="B709" t="s">
        <v>330</v>
      </c>
      <c r="C709">
        <v>10.6</v>
      </c>
      <c r="D709">
        <f t="shared" si="22"/>
        <v>135</v>
      </c>
      <c r="E709" t="str">
        <f t="shared" si="23"/>
        <v>135. Cameroon</v>
      </c>
    </row>
    <row r="710" spans="1:5" x14ac:dyDescent="0.25">
      <c r="A710" t="s">
        <v>97</v>
      </c>
      <c r="B710" t="s">
        <v>330</v>
      </c>
      <c r="C710">
        <v>10.3</v>
      </c>
      <c r="D710">
        <f t="shared" si="22"/>
        <v>136</v>
      </c>
      <c r="E710" t="str">
        <f t="shared" si="23"/>
        <v>136. India</v>
      </c>
    </row>
    <row r="711" spans="1:5" x14ac:dyDescent="0.25">
      <c r="A711" t="s">
        <v>157</v>
      </c>
      <c r="B711" t="s">
        <v>330</v>
      </c>
      <c r="C711">
        <v>10.3</v>
      </c>
      <c r="D711">
        <f t="shared" si="22"/>
        <v>137</v>
      </c>
      <c r="E711" t="str">
        <f t="shared" si="23"/>
        <v>137. Pakistan</v>
      </c>
    </row>
    <row r="712" spans="1:5" x14ac:dyDescent="0.25">
      <c r="A712" t="s">
        <v>176</v>
      </c>
      <c r="B712" t="s">
        <v>330</v>
      </c>
      <c r="C712">
        <v>10</v>
      </c>
      <c r="D712">
        <f t="shared" si="22"/>
        <v>138</v>
      </c>
      <c r="E712" t="str">
        <f t="shared" si="23"/>
        <v>138. Singapore</v>
      </c>
    </row>
    <row r="713" spans="1:5" x14ac:dyDescent="0.25">
      <c r="A713" t="s">
        <v>206</v>
      </c>
      <c r="B713" t="s">
        <v>330</v>
      </c>
      <c r="C713">
        <v>9.6</v>
      </c>
      <c r="D713">
        <f t="shared" si="22"/>
        <v>139</v>
      </c>
      <c r="E713" t="str">
        <f t="shared" si="23"/>
        <v>139. Uganda</v>
      </c>
    </row>
    <row r="714" spans="1:5" x14ac:dyDescent="0.25">
      <c r="A714" t="s">
        <v>25</v>
      </c>
      <c r="B714" t="s">
        <v>330</v>
      </c>
      <c r="C714">
        <v>9.5</v>
      </c>
      <c r="D714">
        <f t="shared" si="22"/>
        <v>140</v>
      </c>
      <c r="E714" t="str">
        <f t="shared" si="23"/>
        <v>140. Benin</v>
      </c>
    </row>
    <row r="715" spans="1:5" x14ac:dyDescent="0.25">
      <c r="A715" t="s">
        <v>52</v>
      </c>
      <c r="B715" t="s">
        <v>330</v>
      </c>
      <c r="C715">
        <v>9.4</v>
      </c>
      <c r="D715">
        <f t="shared" si="22"/>
        <v>141</v>
      </c>
      <c r="E715" t="str">
        <f t="shared" si="23"/>
        <v>141. Comoros</v>
      </c>
    </row>
    <row r="716" spans="1:5" x14ac:dyDescent="0.25">
      <c r="A716" t="s">
        <v>194</v>
      </c>
      <c r="B716" t="s">
        <v>330</v>
      </c>
      <c r="C716">
        <v>9</v>
      </c>
      <c r="D716">
        <f t="shared" si="22"/>
        <v>142</v>
      </c>
      <c r="E716" t="str">
        <f t="shared" si="23"/>
        <v>142. Chad</v>
      </c>
    </row>
    <row r="717" spans="1:5" x14ac:dyDescent="0.25">
      <c r="A717" t="s">
        <v>47</v>
      </c>
      <c r="B717" t="s">
        <v>330</v>
      </c>
      <c r="C717">
        <v>9</v>
      </c>
      <c r="D717">
        <f t="shared" si="22"/>
        <v>143</v>
      </c>
      <c r="E717" t="str">
        <f t="shared" si="23"/>
        <v>143. Cote d'Ivoire</v>
      </c>
    </row>
    <row r="718" spans="1:5" x14ac:dyDescent="0.25">
      <c r="A718" t="s">
        <v>205</v>
      </c>
      <c r="B718" t="s">
        <v>330</v>
      </c>
      <c r="C718">
        <v>8.8000000000000007</v>
      </c>
      <c r="D718">
        <f t="shared" si="22"/>
        <v>144</v>
      </c>
      <c r="E718" t="str">
        <f t="shared" si="23"/>
        <v>144. Tanzania</v>
      </c>
    </row>
    <row r="719" spans="1:5" x14ac:dyDescent="0.25">
      <c r="A719" t="s">
        <v>213</v>
      </c>
      <c r="B719" t="s">
        <v>330</v>
      </c>
      <c r="C719">
        <v>8.8000000000000007</v>
      </c>
      <c r="D719">
        <f t="shared" si="22"/>
        <v>145</v>
      </c>
      <c r="E719" t="str">
        <f t="shared" si="23"/>
        <v>145. Viet Nam</v>
      </c>
    </row>
    <row r="720" spans="1:5" x14ac:dyDescent="0.25">
      <c r="A720" t="s">
        <v>164</v>
      </c>
      <c r="B720" t="s">
        <v>330</v>
      </c>
      <c r="C720">
        <v>8.4</v>
      </c>
      <c r="D720">
        <f t="shared" si="22"/>
        <v>146</v>
      </c>
      <c r="E720" t="str">
        <f t="shared" si="23"/>
        <v>146. Puerto Rico (US)</v>
      </c>
    </row>
    <row r="721" spans="1:5" x14ac:dyDescent="0.25">
      <c r="A721" t="s">
        <v>41</v>
      </c>
      <c r="B721" t="s">
        <v>330</v>
      </c>
      <c r="C721">
        <v>8.3000000000000007</v>
      </c>
      <c r="D721">
        <f t="shared" si="22"/>
        <v>147</v>
      </c>
      <c r="E721" t="str">
        <f t="shared" si="23"/>
        <v>147. Central African Republic</v>
      </c>
    </row>
    <row r="722" spans="1:5" x14ac:dyDescent="0.25">
      <c r="A722" t="s">
        <v>49</v>
      </c>
      <c r="B722" t="s">
        <v>330</v>
      </c>
      <c r="C722">
        <v>7.9</v>
      </c>
      <c r="D722">
        <f t="shared" si="22"/>
        <v>148</v>
      </c>
      <c r="E722" t="str">
        <f t="shared" si="23"/>
        <v>148. Congo, Dem. Rep.</v>
      </c>
    </row>
    <row r="723" spans="1:5" x14ac:dyDescent="0.25">
      <c r="A723" t="s">
        <v>95</v>
      </c>
      <c r="B723" t="s">
        <v>330</v>
      </c>
      <c r="C723">
        <v>7.5</v>
      </c>
      <c r="D723">
        <f t="shared" si="22"/>
        <v>149</v>
      </c>
      <c r="E723" t="str">
        <f t="shared" si="23"/>
        <v>149. Indonesia</v>
      </c>
    </row>
    <row r="724" spans="1:5" x14ac:dyDescent="0.25">
      <c r="A724" t="s">
        <v>81</v>
      </c>
      <c r="B724" t="s">
        <v>330</v>
      </c>
      <c r="C724">
        <v>7.4</v>
      </c>
      <c r="D724">
        <f t="shared" si="22"/>
        <v>150</v>
      </c>
      <c r="E724" t="str">
        <f t="shared" si="23"/>
        <v>150. Gambia, The</v>
      </c>
    </row>
    <row r="725" spans="1:5" x14ac:dyDescent="0.25">
      <c r="A725" t="s">
        <v>222</v>
      </c>
      <c r="B725" t="s">
        <v>330</v>
      </c>
      <c r="C725">
        <v>7.3</v>
      </c>
      <c r="D725">
        <f t="shared" si="22"/>
        <v>151</v>
      </c>
      <c r="E725" t="str">
        <f t="shared" si="23"/>
        <v>151. Somalia, Fed. Rep.</v>
      </c>
    </row>
    <row r="726" spans="1:5" x14ac:dyDescent="0.25">
      <c r="A726" t="s">
        <v>67</v>
      </c>
      <c r="B726" t="s">
        <v>330</v>
      </c>
      <c r="C726">
        <v>6.8</v>
      </c>
      <c r="D726">
        <f t="shared" si="22"/>
        <v>152</v>
      </c>
      <c r="E726" t="str">
        <f t="shared" si="23"/>
        <v>152. Egypt, Arab Rep.</v>
      </c>
    </row>
    <row r="727" spans="1:5" x14ac:dyDescent="0.25">
      <c r="A727" t="s">
        <v>121</v>
      </c>
      <c r="B727" t="s">
        <v>330</v>
      </c>
      <c r="C727">
        <v>6.8</v>
      </c>
      <c r="D727">
        <f t="shared" si="22"/>
        <v>153</v>
      </c>
      <c r="E727" t="str">
        <f t="shared" si="23"/>
        <v>153. Sri Lanka</v>
      </c>
    </row>
    <row r="728" spans="1:5" x14ac:dyDescent="0.25">
      <c r="A728" t="s">
        <v>153</v>
      </c>
      <c r="B728" t="s">
        <v>330</v>
      </c>
      <c r="C728">
        <v>6.6</v>
      </c>
      <c r="D728">
        <f t="shared" si="22"/>
        <v>154</v>
      </c>
      <c r="E728" t="str">
        <f t="shared" si="23"/>
        <v>154. Nepal</v>
      </c>
    </row>
    <row r="729" spans="1:5" x14ac:dyDescent="0.25">
      <c r="A729" t="s">
        <v>70</v>
      </c>
      <c r="B729" t="s">
        <v>330</v>
      </c>
      <c r="C729">
        <v>6.3</v>
      </c>
      <c r="D729">
        <f t="shared" si="22"/>
        <v>155</v>
      </c>
      <c r="E729" t="str">
        <f t="shared" si="23"/>
        <v>155. Ethiopia</v>
      </c>
    </row>
    <row r="730" spans="1:5" x14ac:dyDescent="0.25">
      <c r="A730" t="s">
        <v>93</v>
      </c>
      <c r="B730" t="s">
        <v>330</v>
      </c>
      <c r="C730">
        <v>6.2</v>
      </c>
      <c r="D730">
        <f t="shared" si="22"/>
        <v>156</v>
      </c>
      <c r="E730" t="str">
        <f t="shared" si="23"/>
        <v>156. Haiti</v>
      </c>
    </row>
    <row r="731" spans="1:5" x14ac:dyDescent="0.25">
      <c r="A731" t="s">
        <v>110</v>
      </c>
      <c r="B731" t="s">
        <v>330</v>
      </c>
      <c r="C731">
        <v>6.1</v>
      </c>
      <c r="D731">
        <f t="shared" si="22"/>
        <v>157</v>
      </c>
      <c r="E731" t="str">
        <f t="shared" si="23"/>
        <v>157. Cambodia</v>
      </c>
    </row>
    <row r="732" spans="1:5" x14ac:dyDescent="0.25">
      <c r="A732" t="s">
        <v>27</v>
      </c>
      <c r="B732" t="s">
        <v>330</v>
      </c>
      <c r="C732">
        <v>5.7</v>
      </c>
      <c r="D732">
        <f t="shared" si="22"/>
        <v>158</v>
      </c>
      <c r="E732" t="str">
        <f t="shared" si="23"/>
        <v>158. Bangladesh</v>
      </c>
    </row>
    <row r="733" spans="1:5" x14ac:dyDescent="0.25">
      <c r="A733" t="s">
        <v>79</v>
      </c>
      <c r="B733" t="s">
        <v>330</v>
      </c>
      <c r="C733">
        <v>5.5</v>
      </c>
      <c r="D733">
        <f t="shared" si="22"/>
        <v>159</v>
      </c>
      <c r="E733" t="str">
        <f t="shared" si="23"/>
        <v>159. Ghana</v>
      </c>
    </row>
    <row r="734" spans="1:5" x14ac:dyDescent="0.25">
      <c r="A734" t="s">
        <v>178</v>
      </c>
      <c r="B734" t="s">
        <v>330</v>
      </c>
      <c r="C734">
        <v>5.5</v>
      </c>
      <c r="D734">
        <f t="shared" si="22"/>
        <v>160</v>
      </c>
      <c r="E734" t="str">
        <f t="shared" si="23"/>
        <v>160. Sierra Leone</v>
      </c>
    </row>
    <row r="735" spans="1:5" x14ac:dyDescent="0.25">
      <c r="A735" t="s">
        <v>12</v>
      </c>
      <c r="B735" t="s">
        <v>330</v>
      </c>
      <c r="C735">
        <v>5.2</v>
      </c>
      <c r="D735">
        <f t="shared" si="22"/>
        <v>161</v>
      </c>
      <c r="E735" t="str">
        <f t="shared" si="23"/>
        <v>161. Angola</v>
      </c>
    </row>
    <row r="736" spans="1:5" x14ac:dyDescent="0.25">
      <c r="A736" t="s">
        <v>116</v>
      </c>
      <c r="B736" t="s">
        <v>330</v>
      </c>
      <c r="C736">
        <v>5.2</v>
      </c>
      <c r="D736">
        <f t="shared" si="22"/>
        <v>162</v>
      </c>
      <c r="E736" t="str">
        <f t="shared" si="23"/>
        <v>162. Lebanon</v>
      </c>
    </row>
    <row r="737" spans="1:5" x14ac:dyDescent="0.25">
      <c r="A737" s="49" t="s">
        <v>106</v>
      </c>
      <c r="B737" s="50" t="s">
        <v>339</v>
      </c>
      <c r="C737" s="49">
        <v>248</v>
      </c>
      <c r="D737">
        <f t="shared" si="22"/>
        <v>1</v>
      </c>
      <c r="E737" t="str">
        <f t="shared" si="23"/>
        <v>1. Japan</v>
      </c>
    </row>
    <row r="738" spans="1:5" x14ac:dyDescent="0.25">
      <c r="A738" s="49" t="s">
        <v>84</v>
      </c>
      <c r="B738" s="50" t="s">
        <v>339</v>
      </c>
      <c r="C738" s="49">
        <v>176.9</v>
      </c>
      <c r="D738">
        <f t="shared" si="22"/>
        <v>2</v>
      </c>
      <c r="E738" t="str">
        <f t="shared" si="23"/>
        <v>2. Greece</v>
      </c>
    </row>
    <row r="739" spans="1:5" x14ac:dyDescent="0.25">
      <c r="A739" s="49" t="s">
        <v>116</v>
      </c>
      <c r="B739" s="50" t="s">
        <v>339</v>
      </c>
      <c r="C739" s="49">
        <v>138.4</v>
      </c>
      <c r="D739">
        <f t="shared" si="22"/>
        <v>3</v>
      </c>
      <c r="E739" t="str">
        <f t="shared" si="23"/>
        <v>3. Lebanon</v>
      </c>
    </row>
    <row r="740" spans="1:5" x14ac:dyDescent="0.25">
      <c r="A740" s="49" t="s">
        <v>103</v>
      </c>
      <c r="B740" s="50" t="s">
        <v>339</v>
      </c>
      <c r="C740" s="49">
        <v>132.69999999999999</v>
      </c>
      <c r="D740">
        <f t="shared" si="22"/>
        <v>4</v>
      </c>
      <c r="E740" t="str">
        <f t="shared" si="23"/>
        <v>4. Italy</v>
      </c>
    </row>
    <row r="741" spans="1:5" x14ac:dyDescent="0.25">
      <c r="A741" s="49" t="s">
        <v>165</v>
      </c>
      <c r="B741" s="50" t="s">
        <v>339</v>
      </c>
      <c r="C741" s="49">
        <v>129</v>
      </c>
      <c r="D741">
        <f t="shared" si="22"/>
        <v>5</v>
      </c>
      <c r="E741" t="str">
        <f t="shared" si="23"/>
        <v>5. Portugal</v>
      </c>
    </row>
    <row r="742" spans="1:5" x14ac:dyDescent="0.25">
      <c r="A742" s="49" t="s">
        <v>224</v>
      </c>
      <c r="B742" s="50" t="s">
        <v>339</v>
      </c>
      <c r="C742" s="49">
        <v>127.1</v>
      </c>
      <c r="D742">
        <f t="shared" si="22"/>
        <v>6</v>
      </c>
      <c r="E742" t="str">
        <f t="shared" si="23"/>
        <v>6. Eritrea</v>
      </c>
    </row>
    <row r="743" spans="1:5" x14ac:dyDescent="0.25">
      <c r="A743" s="49" t="s">
        <v>104</v>
      </c>
      <c r="B743" s="50" t="s">
        <v>339</v>
      </c>
      <c r="C743" s="49">
        <v>122.1</v>
      </c>
      <c r="D743">
        <f t="shared" si="22"/>
        <v>7</v>
      </c>
      <c r="E743" t="str">
        <f t="shared" si="23"/>
        <v>7. Jamaica</v>
      </c>
    </row>
    <row r="744" spans="1:5" x14ac:dyDescent="0.25">
      <c r="A744" s="49" t="s">
        <v>53</v>
      </c>
      <c r="B744" s="50" t="s">
        <v>339</v>
      </c>
      <c r="C744" s="49">
        <v>120.5</v>
      </c>
      <c r="D744">
        <f t="shared" si="22"/>
        <v>8</v>
      </c>
      <c r="E744" t="str">
        <f t="shared" si="23"/>
        <v>8. Cabo Verde</v>
      </c>
    </row>
    <row r="745" spans="1:5" x14ac:dyDescent="0.25">
      <c r="A745" s="49" t="s">
        <v>58</v>
      </c>
      <c r="B745" s="50" t="s">
        <v>339</v>
      </c>
      <c r="C745" s="49">
        <v>108.9</v>
      </c>
      <c r="D745">
        <f t="shared" si="22"/>
        <v>9</v>
      </c>
      <c r="E745" t="str">
        <f t="shared" si="23"/>
        <v>9. Cyprus</v>
      </c>
    </row>
    <row r="746" spans="1:5" x14ac:dyDescent="0.25">
      <c r="A746" s="49" t="s">
        <v>24</v>
      </c>
      <c r="B746" s="50" t="s">
        <v>339</v>
      </c>
      <c r="C746" s="49">
        <v>106.1</v>
      </c>
      <c r="D746">
        <f t="shared" si="22"/>
        <v>10</v>
      </c>
      <c r="E746" t="str">
        <f t="shared" si="23"/>
        <v>10. Belgium</v>
      </c>
    </row>
    <row r="747" spans="1:5" x14ac:dyDescent="0.25">
      <c r="A747" s="49" t="s">
        <v>37</v>
      </c>
      <c r="B747" s="50" t="s">
        <v>339</v>
      </c>
      <c r="C747" s="49">
        <v>105.5</v>
      </c>
      <c r="D747">
        <f t="shared" si="22"/>
        <v>11</v>
      </c>
      <c r="E747" t="str">
        <f t="shared" si="23"/>
        <v>11. Barbados</v>
      </c>
    </row>
    <row r="748" spans="1:5" x14ac:dyDescent="0.25">
      <c r="A748" s="49" t="s">
        <v>209</v>
      </c>
      <c r="B748" s="50" t="s">
        <v>339</v>
      </c>
      <c r="C748" s="49">
        <v>105.2</v>
      </c>
      <c r="D748">
        <f t="shared" si="22"/>
        <v>12</v>
      </c>
      <c r="E748" t="str">
        <f t="shared" si="23"/>
        <v>12. United States</v>
      </c>
    </row>
    <row r="749" spans="1:5" x14ac:dyDescent="0.25">
      <c r="A749" s="49" t="s">
        <v>176</v>
      </c>
      <c r="B749" s="50" t="s">
        <v>339</v>
      </c>
      <c r="C749" s="49">
        <v>104.7</v>
      </c>
      <c r="D749">
        <f t="shared" si="22"/>
        <v>13</v>
      </c>
      <c r="E749" t="str">
        <f t="shared" si="23"/>
        <v>13. Singapore</v>
      </c>
    </row>
    <row r="750" spans="1:5" x14ac:dyDescent="0.25">
      <c r="A750" s="49" t="s">
        <v>19</v>
      </c>
      <c r="B750" s="50" t="s">
        <v>339</v>
      </c>
      <c r="C750" s="49">
        <v>104.4</v>
      </c>
      <c r="D750">
        <f t="shared" si="22"/>
        <v>14</v>
      </c>
      <c r="E750" t="str">
        <f t="shared" si="23"/>
        <v>14. Antigua and Barbuda</v>
      </c>
    </row>
    <row r="751" spans="1:5" x14ac:dyDescent="0.25">
      <c r="A751" s="49" t="s">
        <v>68</v>
      </c>
      <c r="B751" s="50" t="s">
        <v>339</v>
      </c>
      <c r="C751" s="49">
        <v>99.3</v>
      </c>
      <c r="D751">
        <f t="shared" si="22"/>
        <v>15</v>
      </c>
      <c r="E751" t="str">
        <f t="shared" si="23"/>
        <v>15. Spain</v>
      </c>
    </row>
    <row r="752" spans="1:5" x14ac:dyDescent="0.25">
      <c r="A752" s="49" t="s">
        <v>73</v>
      </c>
      <c r="B752" s="50" t="s">
        <v>339</v>
      </c>
      <c r="C752" s="49">
        <v>96.1</v>
      </c>
      <c r="D752">
        <f t="shared" si="22"/>
        <v>16</v>
      </c>
      <c r="E752" t="str">
        <f t="shared" si="23"/>
        <v>16. France</v>
      </c>
    </row>
    <row r="753" spans="1:5" x14ac:dyDescent="0.25">
      <c r="A753" s="49" t="s">
        <v>39</v>
      </c>
      <c r="B753" s="50" t="s">
        <v>339</v>
      </c>
      <c r="C753" s="49">
        <v>94.8</v>
      </c>
      <c r="D753">
        <f t="shared" si="22"/>
        <v>17</v>
      </c>
      <c r="E753" t="str">
        <f t="shared" si="23"/>
        <v>17. Bhutan</v>
      </c>
    </row>
    <row r="754" spans="1:5" x14ac:dyDescent="0.25">
      <c r="A754" s="49" t="s">
        <v>105</v>
      </c>
      <c r="B754" s="50" t="s">
        <v>339</v>
      </c>
      <c r="C754" s="49">
        <v>93.4</v>
      </c>
      <c r="D754">
        <f t="shared" si="22"/>
        <v>18</v>
      </c>
      <c r="E754" t="str">
        <f t="shared" si="23"/>
        <v>18. Jordan</v>
      </c>
    </row>
    <row r="755" spans="1:5" x14ac:dyDescent="0.25">
      <c r="A755" s="49" t="s">
        <v>81</v>
      </c>
      <c r="B755" s="50" t="s">
        <v>339</v>
      </c>
      <c r="C755" s="49">
        <v>91.6</v>
      </c>
      <c r="D755">
        <f t="shared" si="22"/>
        <v>19</v>
      </c>
      <c r="E755" t="str">
        <f t="shared" si="23"/>
        <v>19. Gambia, The</v>
      </c>
    </row>
    <row r="756" spans="1:5" x14ac:dyDescent="0.25">
      <c r="A756" s="49" t="s">
        <v>42</v>
      </c>
      <c r="B756" s="50" t="s">
        <v>339</v>
      </c>
      <c r="C756" s="49">
        <v>91.5</v>
      </c>
      <c r="D756">
        <f t="shared" si="22"/>
        <v>20</v>
      </c>
      <c r="E756" t="str">
        <f t="shared" si="23"/>
        <v>20. Canada</v>
      </c>
    </row>
    <row r="757" spans="1:5" x14ac:dyDescent="0.25">
      <c r="A757" s="49" t="s">
        <v>85</v>
      </c>
      <c r="B757" s="50" t="s">
        <v>339</v>
      </c>
      <c r="C757" s="49">
        <v>91.4</v>
      </c>
      <c r="D757">
        <f t="shared" si="22"/>
        <v>21</v>
      </c>
      <c r="E757" t="str">
        <f t="shared" si="23"/>
        <v>21. Grenada</v>
      </c>
    </row>
    <row r="758" spans="1:5" x14ac:dyDescent="0.25">
      <c r="A758" s="49" t="s">
        <v>142</v>
      </c>
      <c r="B758" s="50" t="s">
        <v>339</v>
      </c>
      <c r="C758" s="49">
        <v>91.2</v>
      </c>
      <c r="D758">
        <f t="shared" si="22"/>
        <v>22</v>
      </c>
      <c r="E758" t="str">
        <f t="shared" si="23"/>
        <v>22. Mauritania</v>
      </c>
    </row>
    <row r="759" spans="1:5" x14ac:dyDescent="0.25">
      <c r="A759" s="49" t="s">
        <v>422</v>
      </c>
      <c r="B759" s="50" t="s">
        <v>339</v>
      </c>
      <c r="C759" s="49">
        <v>89</v>
      </c>
      <c r="D759">
        <f t="shared" si="22"/>
        <v>23</v>
      </c>
      <c r="E759" t="str">
        <f t="shared" si="23"/>
        <v>23. Egypt</v>
      </c>
    </row>
    <row r="760" spans="1:5" x14ac:dyDescent="0.25">
      <c r="A760" s="49" t="s">
        <v>77</v>
      </c>
      <c r="B760" s="50" t="s">
        <v>339</v>
      </c>
      <c r="C760" s="49">
        <v>89</v>
      </c>
      <c r="D760">
        <f t="shared" si="22"/>
        <v>24</v>
      </c>
      <c r="E760" t="str">
        <f t="shared" si="23"/>
        <v>24. United Kingdom</v>
      </c>
    </row>
    <row r="761" spans="1:5" x14ac:dyDescent="0.25">
      <c r="A761" s="49" t="s">
        <v>92</v>
      </c>
      <c r="B761" s="50" t="s">
        <v>339</v>
      </c>
      <c r="C761" s="49">
        <v>86.7</v>
      </c>
      <c r="D761">
        <f t="shared" si="22"/>
        <v>25</v>
      </c>
      <c r="E761" t="str">
        <f t="shared" si="23"/>
        <v>25. Croatia</v>
      </c>
    </row>
    <row r="762" spans="1:5" x14ac:dyDescent="0.25">
      <c r="A762" s="49" t="s">
        <v>21</v>
      </c>
      <c r="B762" s="50" t="s">
        <v>339</v>
      </c>
      <c r="C762" s="49">
        <v>86.2</v>
      </c>
      <c r="D762">
        <f t="shared" si="22"/>
        <v>26</v>
      </c>
      <c r="E762" t="str">
        <f t="shared" si="23"/>
        <v>26. Austria</v>
      </c>
    </row>
    <row r="763" spans="1:5" x14ac:dyDescent="0.25">
      <c r="A763" s="49" t="s">
        <v>141</v>
      </c>
      <c r="B763" s="50" t="s">
        <v>339</v>
      </c>
      <c r="C763" s="49">
        <v>86</v>
      </c>
      <c r="D763">
        <f t="shared" si="22"/>
        <v>27</v>
      </c>
      <c r="E763" t="str">
        <f t="shared" si="23"/>
        <v>27. Mozambique</v>
      </c>
    </row>
    <row r="764" spans="1:5" x14ac:dyDescent="0.25">
      <c r="A764" s="49" t="s">
        <v>187</v>
      </c>
      <c r="B764" s="50" t="s">
        <v>339</v>
      </c>
      <c r="C764" s="49">
        <v>83.2</v>
      </c>
      <c r="D764">
        <f t="shared" si="22"/>
        <v>28</v>
      </c>
      <c r="E764" t="str">
        <f t="shared" si="23"/>
        <v>28. Slovenia</v>
      </c>
    </row>
    <row r="765" spans="1:5" x14ac:dyDescent="0.25">
      <c r="A765" s="49" t="s">
        <v>62</v>
      </c>
      <c r="B765" s="50" t="s">
        <v>339</v>
      </c>
      <c r="C765" s="49">
        <v>83</v>
      </c>
      <c r="D765">
        <f t="shared" si="22"/>
        <v>29</v>
      </c>
      <c r="E765" t="str">
        <f t="shared" si="23"/>
        <v>29. Dominica</v>
      </c>
    </row>
    <row r="766" spans="1:5" x14ac:dyDescent="0.25">
      <c r="A766" s="49" t="s">
        <v>434</v>
      </c>
      <c r="B766" s="50" t="s">
        <v>339</v>
      </c>
      <c r="C766" s="49">
        <v>82.3</v>
      </c>
      <c r="D766">
        <f t="shared" si="22"/>
        <v>30</v>
      </c>
      <c r="E766" t="str">
        <f t="shared" si="23"/>
        <v>30. São Tomé and Príncipe</v>
      </c>
    </row>
    <row r="767" spans="1:5" x14ac:dyDescent="0.25">
      <c r="A767" s="49" t="s">
        <v>33</v>
      </c>
      <c r="B767" s="50" t="s">
        <v>339</v>
      </c>
      <c r="C767" s="49">
        <v>82.1</v>
      </c>
      <c r="D767">
        <f t="shared" si="22"/>
        <v>31</v>
      </c>
      <c r="E767" t="str">
        <f t="shared" si="23"/>
        <v>31. Belize</v>
      </c>
    </row>
    <row r="768" spans="1:5" x14ac:dyDescent="0.25">
      <c r="A768" s="49" t="s">
        <v>207</v>
      </c>
      <c r="B768" s="50" t="s">
        <v>339</v>
      </c>
      <c r="C768" s="49">
        <v>80.099999999999994</v>
      </c>
      <c r="D768">
        <f t="shared" si="22"/>
        <v>32</v>
      </c>
      <c r="E768" t="str">
        <f t="shared" si="23"/>
        <v>32. Ukraine</v>
      </c>
    </row>
    <row r="769" spans="1:5" x14ac:dyDescent="0.25">
      <c r="A769" s="49" t="s">
        <v>432</v>
      </c>
      <c r="B769" s="50" t="s">
        <v>339</v>
      </c>
      <c r="C769" s="49">
        <v>79.3</v>
      </c>
      <c r="D769">
        <f t="shared" si="22"/>
        <v>33</v>
      </c>
      <c r="E769" t="str">
        <f t="shared" si="23"/>
        <v>33. Saint Vincent and the Grenadines</v>
      </c>
    </row>
    <row r="770" spans="1:5" x14ac:dyDescent="0.25">
      <c r="A770" s="49" t="s">
        <v>431</v>
      </c>
      <c r="B770" s="50" t="s">
        <v>339</v>
      </c>
      <c r="C770" s="49">
        <v>79.2</v>
      </c>
      <c r="D770">
        <f t="shared" si="22"/>
        <v>34</v>
      </c>
      <c r="E770" t="str">
        <f t="shared" si="23"/>
        <v>34. Saint Lucia</v>
      </c>
    </row>
    <row r="771" spans="1:5" x14ac:dyDescent="0.25">
      <c r="A771" s="49" t="s">
        <v>98</v>
      </c>
      <c r="B771" s="50" t="s">
        <v>339</v>
      </c>
      <c r="C771" s="49">
        <v>78.7</v>
      </c>
      <c r="D771">
        <f t="shared" ref="D771:D834" si="24">IF(ROW() = 2, 1, IF(B771 = B770, D770 + 1, 1))</f>
        <v>35</v>
      </c>
      <c r="E771" t="str">
        <f t="shared" ref="E771:E834" si="25">_xlfn.CONCAT(D771, ". ", A771)</f>
        <v>35. Ireland</v>
      </c>
    </row>
    <row r="772" spans="1:5" x14ac:dyDescent="0.25">
      <c r="A772" s="49" t="s">
        <v>182</v>
      </c>
      <c r="B772" s="50" t="s">
        <v>339</v>
      </c>
      <c r="C772" s="49">
        <v>77.400000000000006</v>
      </c>
      <c r="D772">
        <f t="shared" si="24"/>
        <v>36</v>
      </c>
      <c r="E772" t="str">
        <f t="shared" si="25"/>
        <v>36. Serbia</v>
      </c>
    </row>
    <row r="773" spans="1:5" x14ac:dyDescent="0.25">
      <c r="A773" s="49" t="s">
        <v>121</v>
      </c>
      <c r="B773" s="50" t="s">
        <v>339</v>
      </c>
      <c r="C773" s="49">
        <v>76</v>
      </c>
      <c r="D773">
        <f t="shared" si="24"/>
        <v>37</v>
      </c>
      <c r="E773" t="str">
        <f t="shared" si="25"/>
        <v>37. Sri Lanka</v>
      </c>
    </row>
    <row r="774" spans="1:5" x14ac:dyDescent="0.25">
      <c r="A774" s="49" t="s">
        <v>94</v>
      </c>
      <c r="B774" s="50" t="s">
        <v>339</v>
      </c>
      <c r="C774" s="49">
        <v>75.3</v>
      </c>
      <c r="D774">
        <f t="shared" si="24"/>
        <v>38</v>
      </c>
      <c r="E774" t="str">
        <f t="shared" si="25"/>
        <v>38. Hungary</v>
      </c>
    </row>
    <row r="775" spans="1:5" x14ac:dyDescent="0.25">
      <c r="A775" s="49" t="s">
        <v>118</v>
      </c>
      <c r="B775" s="50" t="s">
        <v>339</v>
      </c>
      <c r="C775" s="49">
        <v>73.8</v>
      </c>
      <c r="D775">
        <f t="shared" si="24"/>
        <v>39</v>
      </c>
      <c r="E775" t="str">
        <f t="shared" si="25"/>
        <v>39. Libya</v>
      </c>
    </row>
    <row r="776" spans="1:5" x14ac:dyDescent="0.25">
      <c r="A776" s="49" t="s">
        <v>36</v>
      </c>
      <c r="B776" s="50" t="s">
        <v>339</v>
      </c>
      <c r="C776" s="49">
        <v>73.7</v>
      </c>
      <c r="D776">
        <f t="shared" si="24"/>
        <v>40</v>
      </c>
      <c r="E776" t="str">
        <f t="shared" si="25"/>
        <v>40. Brazil</v>
      </c>
    </row>
    <row r="777" spans="1:5" x14ac:dyDescent="0.25">
      <c r="A777" s="49" t="s">
        <v>13</v>
      </c>
      <c r="B777" s="50" t="s">
        <v>339</v>
      </c>
      <c r="C777" s="49">
        <v>73.3</v>
      </c>
      <c r="D777">
        <f t="shared" si="24"/>
        <v>41</v>
      </c>
      <c r="E777" t="str">
        <f t="shared" si="25"/>
        <v>41. Albania</v>
      </c>
    </row>
    <row r="778" spans="1:5" x14ac:dyDescent="0.25">
      <c r="A778" s="49" t="s">
        <v>131</v>
      </c>
      <c r="B778" s="50" t="s">
        <v>339</v>
      </c>
      <c r="C778" s="49">
        <v>73.099999999999994</v>
      </c>
      <c r="D778">
        <f t="shared" si="24"/>
        <v>42</v>
      </c>
      <c r="E778" t="str">
        <f t="shared" si="25"/>
        <v>42. Maldives</v>
      </c>
    </row>
    <row r="779" spans="1:5" x14ac:dyDescent="0.25">
      <c r="A779" s="49" t="s">
        <v>144</v>
      </c>
      <c r="B779" s="50" t="s">
        <v>339</v>
      </c>
      <c r="C779" s="49">
        <v>73</v>
      </c>
      <c r="D779">
        <f t="shared" si="24"/>
        <v>43</v>
      </c>
      <c r="E779" t="str">
        <f t="shared" si="25"/>
        <v>43. Malawi</v>
      </c>
    </row>
    <row r="780" spans="1:5" x14ac:dyDescent="0.25">
      <c r="A780" s="49" t="s">
        <v>174</v>
      </c>
      <c r="B780" s="50" t="s">
        <v>339</v>
      </c>
      <c r="C780" s="49">
        <v>72.900000000000006</v>
      </c>
      <c r="D780">
        <f t="shared" si="24"/>
        <v>44</v>
      </c>
      <c r="E780" t="str">
        <f t="shared" si="25"/>
        <v>44. Sudan</v>
      </c>
    </row>
    <row r="781" spans="1:5" x14ac:dyDescent="0.25">
      <c r="A781" s="49" t="s">
        <v>60</v>
      </c>
      <c r="B781" s="50" t="s">
        <v>339</v>
      </c>
      <c r="C781" s="49">
        <v>71</v>
      </c>
      <c r="D781">
        <f t="shared" si="24"/>
        <v>45</v>
      </c>
      <c r="E781" t="str">
        <f t="shared" si="25"/>
        <v>45. Germany</v>
      </c>
    </row>
    <row r="782" spans="1:5" x14ac:dyDescent="0.25">
      <c r="A782" s="49" t="s">
        <v>79</v>
      </c>
      <c r="B782" s="50" t="s">
        <v>339</v>
      </c>
      <c r="C782" s="49">
        <v>70.8</v>
      </c>
      <c r="D782">
        <f t="shared" si="24"/>
        <v>46</v>
      </c>
      <c r="E782" t="str">
        <f t="shared" si="25"/>
        <v>46. Ghana</v>
      </c>
    </row>
    <row r="783" spans="1:5" x14ac:dyDescent="0.25">
      <c r="A783" s="49" t="s">
        <v>419</v>
      </c>
      <c r="B783" s="50" t="s">
        <v>339</v>
      </c>
      <c r="C783" s="49">
        <v>70.599999999999994</v>
      </c>
      <c r="D783">
        <f t="shared" si="24"/>
        <v>47</v>
      </c>
      <c r="E783" t="str">
        <f t="shared" si="25"/>
        <v xml:space="preserve">47. Congo, Republic of </v>
      </c>
    </row>
    <row r="784" spans="1:5" x14ac:dyDescent="0.25">
      <c r="A784" s="49" t="s">
        <v>97</v>
      </c>
      <c r="B784" s="50" t="s">
        <v>339</v>
      </c>
      <c r="C784" s="49">
        <v>69.099999999999994</v>
      </c>
      <c r="D784">
        <f t="shared" si="24"/>
        <v>48</v>
      </c>
      <c r="E784" t="str">
        <f t="shared" si="25"/>
        <v>48. India</v>
      </c>
    </row>
    <row r="785" spans="1:5" x14ac:dyDescent="0.25">
      <c r="A785" s="49" t="s">
        <v>191</v>
      </c>
      <c r="B785" s="50" t="s">
        <v>339</v>
      </c>
      <c r="C785" s="49">
        <v>69</v>
      </c>
      <c r="D785">
        <f t="shared" si="24"/>
        <v>49</v>
      </c>
      <c r="E785" t="str">
        <f t="shared" si="25"/>
        <v>49. Seychelles</v>
      </c>
    </row>
    <row r="786" spans="1:5" x14ac:dyDescent="0.25">
      <c r="A786" s="49" t="s">
        <v>430</v>
      </c>
      <c r="B786" s="50" t="s">
        <v>339</v>
      </c>
      <c r="C786" s="49">
        <v>67.8</v>
      </c>
      <c r="D786">
        <f t="shared" si="24"/>
        <v>50</v>
      </c>
      <c r="E786" t="str">
        <f t="shared" si="25"/>
        <v>50. Saint Kitts and Nevis</v>
      </c>
    </row>
    <row r="787" spans="1:5" x14ac:dyDescent="0.25">
      <c r="A787" s="49" t="s">
        <v>101</v>
      </c>
      <c r="B787" s="50" t="s">
        <v>339</v>
      </c>
      <c r="C787" s="49">
        <v>67.599999999999994</v>
      </c>
      <c r="D787">
        <f t="shared" si="24"/>
        <v>51</v>
      </c>
      <c r="E787" t="str">
        <f t="shared" si="25"/>
        <v>51. Iceland</v>
      </c>
    </row>
    <row r="788" spans="1:5" x14ac:dyDescent="0.25">
      <c r="A788" s="49" t="s">
        <v>138</v>
      </c>
      <c r="B788" s="50" t="s">
        <v>339</v>
      </c>
      <c r="C788" s="49">
        <v>67.2</v>
      </c>
      <c r="D788">
        <f t="shared" si="24"/>
        <v>52</v>
      </c>
      <c r="E788" t="str">
        <f t="shared" si="25"/>
        <v>52. Montenegro</v>
      </c>
    </row>
    <row r="789" spans="1:5" x14ac:dyDescent="0.25">
      <c r="A789" s="49" t="s">
        <v>439</v>
      </c>
      <c r="B789" s="50" t="s">
        <v>339</v>
      </c>
      <c r="C789" s="49">
        <v>66.7</v>
      </c>
      <c r="D789">
        <f t="shared" si="24"/>
        <v>53</v>
      </c>
      <c r="E789" t="str">
        <f t="shared" si="25"/>
        <v>53. Yemen</v>
      </c>
    </row>
    <row r="790" spans="1:5" x14ac:dyDescent="0.25">
      <c r="A790" s="49" t="s">
        <v>109</v>
      </c>
      <c r="B790" s="50" t="s">
        <v>339</v>
      </c>
      <c r="C790" s="49">
        <v>66</v>
      </c>
      <c r="D790">
        <f t="shared" si="24"/>
        <v>54</v>
      </c>
      <c r="E790" t="str">
        <f t="shared" si="25"/>
        <v>54. Kyrgyz Republic</v>
      </c>
    </row>
    <row r="791" spans="1:5" x14ac:dyDescent="0.25">
      <c r="A791" s="49" t="s">
        <v>151</v>
      </c>
      <c r="B791" s="50" t="s">
        <v>339</v>
      </c>
      <c r="C791" s="49">
        <v>65.099999999999994</v>
      </c>
      <c r="D791">
        <f t="shared" si="24"/>
        <v>55</v>
      </c>
      <c r="E791" t="str">
        <f t="shared" si="25"/>
        <v>55. Netherlands</v>
      </c>
    </row>
    <row r="792" spans="1:5" x14ac:dyDescent="0.25">
      <c r="A792" s="49" t="s">
        <v>208</v>
      </c>
      <c r="B792" s="50" t="s">
        <v>339</v>
      </c>
      <c r="C792" s="49">
        <v>64.3</v>
      </c>
      <c r="D792">
        <f t="shared" si="24"/>
        <v>56</v>
      </c>
      <c r="E792" t="str">
        <f t="shared" si="25"/>
        <v>56. Uruguay</v>
      </c>
    </row>
    <row r="793" spans="1:5" x14ac:dyDescent="0.25">
      <c r="A793" s="49" t="s">
        <v>12</v>
      </c>
      <c r="B793" s="50" t="s">
        <v>339</v>
      </c>
      <c r="C793" s="49">
        <v>64.2</v>
      </c>
      <c r="D793">
        <f t="shared" si="24"/>
        <v>57</v>
      </c>
      <c r="E793" t="str">
        <f t="shared" si="25"/>
        <v>57. Angola</v>
      </c>
    </row>
    <row r="794" spans="1:5" x14ac:dyDescent="0.25">
      <c r="A794" s="49" t="s">
        <v>102</v>
      </c>
      <c r="B794" s="50" t="s">
        <v>339</v>
      </c>
      <c r="C794" s="49">
        <v>64.099999999999994</v>
      </c>
      <c r="D794">
        <f t="shared" si="24"/>
        <v>58</v>
      </c>
      <c r="E794" t="str">
        <f t="shared" si="25"/>
        <v>58. Israel</v>
      </c>
    </row>
    <row r="795" spans="1:5" x14ac:dyDescent="0.25">
      <c r="A795" s="49" t="s">
        <v>127</v>
      </c>
      <c r="B795" s="50" t="s">
        <v>339</v>
      </c>
      <c r="C795" s="49">
        <v>64.099999999999994</v>
      </c>
      <c r="D795">
        <f t="shared" si="24"/>
        <v>59</v>
      </c>
      <c r="E795" t="str">
        <f t="shared" si="25"/>
        <v>59. Morocco</v>
      </c>
    </row>
    <row r="796" spans="1:5" x14ac:dyDescent="0.25">
      <c r="A796" s="49" t="s">
        <v>136</v>
      </c>
      <c r="B796" s="50" t="s">
        <v>339</v>
      </c>
      <c r="C796" s="49">
        <v>64</v>
      </c>
      <c r="D796">
        <f t="shared" si="24"/>
        <v>60</v>
      </c>
      <c r="E796" t="str">
        <f t="shared" si="25"/>
        <v>60. Malta</v>
      </c>
    </row>
    <row r="797" spans="1:5" x14ac:dyDescent="0.25">
      <c r="A797" s="49" t="s">
        <v>433</v>
      </c>
      <c r="B797" s="50" t="s">
        <v>339</v>
      </c>
      <c r="C797" s="49">
        <v>63.7</v>
      </c>
      <c r="D797">
        <f t="shared" si="24"/>
        <v>61</v>
      </c>
      <c r="E797" t="str">
        <f t="shared" si="25"/>
        <v>61. South Sudan, Republic of</v>
      </c>
    </row>
    <row r="798" spans="1:5" x14ac:dyDescent="0.25">
      <c r="A798" s="49" t="s">
        <v>30</v>
      </c>
      <c r="B798" s="50" t="s">
        <v>339</v>
      </c>
      <c r="C798" s="49">
        <v>63.6</v>
      </c>
      <c r="D798">
        <f t="shared" si="24"/>
        <v>62</v>
      </c>
      <c r="E798" t="str">
        <f t="shared" si="25"/>
        <v>62. Bahamas, The</v>
      </c>
    </row>
    <row r="799" spans="1:5" x14ac:dyDescent="0.25">
      <c r="A799" s="49" t="s">
        <v>157</v>
      </c>
      <c r="B799" s="50" t="s">
        <v>339</v>
      </c>
      <c r="C799" s="49">
        <v>63.6</v>
      </c>
      <c r="D799">
        <f t="shared" si="24"/>
        <v>63</v>
      </c>
      <c r="E799" t="str">
        <f t="shared" si="25"/>
        <v>63. Pakistan</v>
      </c>
    </row>
    <row r="800" spans="1:5" x14ac:dyDescent="0.25">
      <c r="A800" s="49" t="s">
        <v>71</v>
      </c>
      <c r="B800" s="50" t="s">
        <v>339</v>
      </c>
      <c r="C800" s="49">
        <v>62.5</v>
      </c>
      <c r="D800">
        <f t="shared" si="24"/>
        <v>64</v>
      </c>
      <c r="E800" t="str">
        <f t="shared" si="25"/>
        <v>64. Finland</v>
      </c>
    </row>
    <row r="801" spans="1:5" x14ac:dyDescent="0.25">
      <c r="A801" s="49" t="s">
        <v>195</v>
      </c>
      <c r="B801" s="50" t="s">
        <v>339</v>
      </c>
      <c r="C801" s="49">
        <v>62.3</v>
      </c>
      <c r="D801">
        <f t="shared" si="24"/>
        <v>65</v>
      </c>
      <c r="E801" t="str">
        <f t="shared" si="25"/>
        <v>65. Togo</v>
      </c>
    </row>
    <row r="802" spans="1:5" x14ac:dyDescent="0.25">
      <c r="A802" s="49" t="s">
        <v>29</v>
      </c>
      <c r="B802" s="50" t="s">
        <v>339</v>
      </c>
      <c r="C802" s="49">
        <v>61.9</v>
      </c>
      <c r="D802">
        <f t="shared" si="24"/>
        <v>66</v>
      </c>
      <c r="E802" t="str">
        <f t="shared" si="25"/>
        <v>66. Bahrain</v>
      </c>
    </row>
    <row r="803" spans="1:5" x14ac:dyDescent="0.25">
      <c r="A803" s="49" t="s">
        <v>426</v>
      </c>
      <c r="B803" s="50" t="s">
        <v>339</v>
      </c>
      <c r="C803" s="49">
        <v>61.9</v>
      </c>
      <c r="D803">
        <f t="shared" si="24"/>
        <v>67</v>
      </c>
      <c r="E803" t="str">
        <f t="shared" si="25"/>
        <v>67. Lao P.D.R.</v>
      </c>
    </row>
    <row r="804" spans="1:5" x14ac:dyDescent="0.25">
      <c r="A804" s="49" t="s">
        <v>100</v>
      </c>
      <c r="B804" s="50" t="s">
        <v>339</v>
      </c>
      <c r="C804" s="49">
        <v>61.4</v>
      </c>
      <c r="D804">
        <f t="shared" si="24"/>
        <v>68</v>
      </c>
      <c r="E804" t="str">
        <f t="shared" si="25"/>
        <v>68. Iraq</v>
      </c>
    </row>
    <row r="805" spans="1:5" x14ac:dyDescent="0.25">
      <c r="A805" s="49" t="s">
        <v>220</v>
      </c>
      <c r="B805" s="50" t="s">
        <v>339</v>
      </c>
      <c r="C805" s="49">
        <v>58.9</v>
      </c>
      <c r="D805">
        <f t="shared" si="24"/>
        <v>69</v>
      </c>
      <c r="E805" t="str">
        <f t="shared" si="25"/>
        <v>69. Zimbabwe</v>
      </c>
    </row>
    <row r="806" spans="1:5" x14ac:dyDescent="0.25">
      <c r="A806" s="49" t="s">
        <v>179</v>
      </c>
      <c r="B806" s="50" t="s">
        <v>339</v>
      </c>
      <c r="C806" s="49">
        <v>58.7</v>
      </c>
      <c r="D806">
        <f t="shared" si="24"/>
        <v>70</v>
      </c>
      <c r="E806" t="str">
        <f t="shared" si="25"/>
        <v>70. El Salvador</v>
      </c>
    </row>
    <row r="807" spans="1:5" x14ac:dyDescent="0.25">
      <c r="A807" s="49" t="s">
        <v>143</v>
      </c>
      <c r="B807" s="50" t="s">
        <v>339</v>
      </c>
      <c r="C807" s="49">
        <v>58.6</v>
      </c>
      <c r="D807">
        <f t="shared" si="24"/>
        <v>71</v>
      </c>
      <c r="E807" t="str">
        <f t="shared" si="25"/>
        <v>71. Mauritius</v>
      </c>
    </row>
    <row r="808" spans="1:5" x14ac:dyDescent="0.25">
      <c r="A808" s="49" t="s">
        <v>122</v>
      </c>
      <c r="B808" s="50" t="s">
        <v>339</v>
      </c>
      <c r="C808" s="49">
        <v>58.3</v>
      </c>
      <c r="D808">
        <f t="shared" si="24"/>
        <v>72</v>
      </c>
      <c r="E808" t="str">
        <f t="shared" si="25"/>
        <v>72. Lesotho</v>
      </c>
    </row>
    <row r="809" spans="1:5" x14ac:dyDescent="0.25">
      <c r="A809" s="49" t="s">
        <v>438</v>
      </c>
      <c r="B809" s="50" t="s">
        <v>339</v>
      </c>
      <c r="C809" s="49">
        <v>58.3</v>
      </c>
      <c r="D809">
        <f t="shared" si="24"/>
        <v>73</v>
      </c>
      <c r="E809" t="str">
        <f t="shared" si="25"/>
        <v>73. Vietnam</v>
      </c>
    </row>
    <row r="810" spans="1:5" x14ac:dyDescent="0.25">
      <c r="A810" s="49" t="s">
        <v>204</v>
      </c>
      <c r="B810" s="50" t="s">
        <v>339</v>
      </c>
      <c r="C810" s="49">
        <v>58.2</v>
      </c>
      <c r="D810">
        <f t="shared" si="24"/>
        <v>74</v>
      </c>
      <c r="E810" t="str">
        <f t="shared" si="25"/>
        <v>74. Tuvalu</v>
      </c>
    </row>
    <row r="811" spans="1:5" x14ac:dyDescent="0.25">
      <c r="A811" s="49" t="s">
        <v>215</v>
      </c>
      <c r="B811" s="50" t="s">
        <v>339</v>
      </c>
      <c r="C811" s="49">
        <v>57.8</v>
      </c>
      <c r="D811">
        <f t="shared" si="24"/>
        <v>75</v>
      </c>
      <c r="E811" t="str">
        <f t="shared" si="25"/>
        <v>75. Samoa</v>
      </c>
    </row>
    <row r="812" spans="1:5" x14ac:dyDescent="0.25">
      <c r="A812" s="49" t="s">
        <v>145</v>
      </c>
      <c r="B812" s="50" t="s">
        <v>339</v>
      </c>
      <c r="C812" s="49">
        <v>57.4</v>
      </c>
      <c r="D812">
        <f t="shared" si="24"/>
        <v>76</v>
      </c>
      <c r="E812" t="str">
        <f t="shared" si="25"/>
        <v>76. Malaysia</v>
      </c>
    </row>
    <row r="813" spans="1:5" x14ac:dyDescent="0.25">
      <c r="A813" s="49" t="s">
        <v>175</v>
      </c>
      <c r="B813" s="50" t="s">
        <v>339</v>
      </c>
      <c r="C813" s="49">
        <v>56.8</v>
      </c>
      <c r="D813">
        <f t="shared" si="24"/>
        <v>77</v>
      </c>
      <c r="E813" t="str">
        <f t="shared" si="25"/>
        <v>77. Senegal</v>
      </c>
    </row>
    <row r="814" spans="1:5" x14ac:dyDescent="0.25">
      <c r="A814" s="49" t="s">
        <v>219</v>
      </c>
      <c r="B814" s="50" t="s">
        <v>339</v>
      </c>
      <c r="C814" s="49">
        <v>56.3</v>
      </c>
      <c r="D814">
        <f t="shared" si="24"/>
        <v>78</v>
      </c>
      <c r="E814" t="str">
        <f t="shared" si="25"/>
        <v>78. Zambia</v>
      </c>
    </row>
    <row r="815" spans="1:5" x14ac:dyDescent="0.25">
      <c r="A815" s="49" t="s">
        <v>70</v>
      </c>
      <c r="B815" s="50" t="s">
        <v>339</v>
      </c>
      <c r="C815" s="49">
        <v>56.1</v>
      </c>
      <c r="D815">
        <f t="shared" si="24"/>
        <v>79</v>
      </c>
      <c r="E815" t="str">
        <f t="shared" si="25"/>
        <v>79. Ethiopia</v>
      </c>
    </row>
    <row r="816" spans="1:5" x14ac:dyDescent="0.25">
      <c r="A816" s="49" t="s">
        <v>202</v>
      </c>
      <c r="B816" s="50" t="s">
        <v>339</v>
      </c>
      <c r="C816" s="49">
        <v>55.7</v>
      </c>
      <c r="D816">
        <f t="shared" si="24"/>
        <v>80</v>
      </c>
      <c r="E816" t="str">
        <f t="shared" si="25"/>
        <v>80. Tunisia</v>
      </c>
    </row>
    <row r="817" spans="1:5" x14ac:dyDescent="0.25">
      <c r="A817" s="49" t="s">
        <v>132</v>
      </c>
      <c r="B817" s="50" t="s">
        <v>339</v>
      </c>
      <c r="C817" s="49">
        <v>54</v>
      </c>
      <c r="D817">
        <f t="shared" si="24"/>
        <v>81</v>
      </c>
      <c r="E817" t="str">
        <f t="shared" si="25"/>
        <v>81. Mexico</v>
      </c>
    </row>
    <row r="818" spans="1:5" x14ac:dyDescent="0.25">
      <c r="A818" s="49" t="s">
        <v>32</v>
      </c>
      <c r="B818" s="50" t="s">
        <v>339</v>
      </c>
      <c r="C818" s="49">
        <v>53.7</v>
      </c>
      <c r="D818">
        <f t="shared" si="24"/>
        <v>82</v>
      </c>
      <c r="E818" t="str">
        <f t="shared" si="25"/>
        <v>82. Belarus</v>
      </c>
    </row>
    <row r="819" spans="1:5" x14ac:dyDescent="0.25">
      <c r="A819" s="49" t="s">
        <v>80</v>
      </c>
      <c r="B819" s="50" t="s">
        <v>339</v>
      </c>
      <c r="C819" s="49">
        <v>53</v>
      </c>
      <c r="D819">
        <f t="shared" si="24"/>
        <v>83</v>
      </c>
      <c r="E819" t="str">
        <f t="shared" si="25"/>
        <v>83. Guinea</v>
      </c>
    </row>
    <row r="820" spans="1:5" x14ac:dyDescent="0.25">
      <c r="A820" s="49" t="s">
        <v>429</v>
      </c>
      <c r="B820" s="50" t="s">
        <v>339</v>
      </c>
      <c r="C820" s="49">
        <v>53</v>
      </c>
      <c r="D820">
        <f t="shared" si="24"/>
        <v>84</v>
      </c>
      <c r="E820" t="str">
        <f t="shared" si="25"/>
        <v>84. Puerto Rico</v>
      </c>
    </row>
    <row r="821" spans="1:5" x14ac:dyDescent="0.25">
      <c r="A821" s="49" t="s">
        <v>82</v>
      </c>
      <c r="B821" s="50" t="s">
        <v>339</v>
      </c>
      <c r="C821" s="49">
        <v>52.9</v>
      </c>
      <c r="D821">
        <f t="shared" si="24"/>
        <v>85</v>
      </c>
      <c r="E821" t="str">
        <f t="shared" si="25"/>
        <v>85. Guinea-Bissau</v>
      </c>
    </row>
    <row r="822" spans="1:5" x14ac:dyDescent="0.25">
      <c r="A822" s="49" t="s">
        <v>186</v>
      </c>
      <c r="B822" s="50" t="s">
        <v>339</v>
      </c>
      <c r="C822" s="49">
        <v>52.9</v>
      </c>
      <c r="D822">
        <f t="shared" si="24"/>
        <v>86</v>
      </c>
      <c r="E822" t="str">
        <f t="shared" si="25"/>
        <v>86. Slovak Republic</v>
      </c>
    </row>
    <row r="823" spans="1:5" x14ac:dyDescent="0.25">
      <c r="A823" s="49" t="s">
        <v>16</v>
      </c>
      <c r="B823" s="50" t="s">
        <v>339</v>
      </c>
      <c r="C823" s="49">
        <v>52.1</v>
      </c>
      <c r="D823">
        <f t="shared" si="24"/>
        <v>87</v>
      </c>
      <c r="E823" t="str">
        <f t="shared" si="25"/>
        <v>87. Argentina</v>
      </c>
    </row>
    <row r="824" spans="1:5" x14ac:dyDescent="0.25">
      <c r="A824" s="49" t="s">
        <v>108</v>
      </c>
      <c r="B824" s="50" t="s">
        <v>339</v>
      </c>
      <c r="C824" s="49">
        <v>51.3</v>
      </c>
      <c r="D824">
        <f t="shared" si="24"/>
        <v>88</v>
      </c>
      <c r="E824" t="str">
        <f t="shared" si="25"/>
        <v>88. Kenya</v>
      </c>
    </row>
    <row r="825" spans="1:5" x14ac:dyDescent="0.25">
      <c r="A825" s="49" t="s">
        <v>163</v>
      </c>
      <c r="B825" s="50" t="s">
        <v>339</v>
      </c>
      <c r="C825" s="49">
        <v>51.3</v>
      </c>
      <c r="D825">
        <f t="shared" si="24"/>
        <v>89</v>
      </c>
      <c r="E825" t="str">
        <f t="shared" si="25"/>
        <v>89. Poland</v>
      </c>
    </row>
    <row r="826" spans="1:5" x14ac:dyDescent="0.25">
      <c r="A826" s="49" t="s">
        <v>51</v>
      </c>
      <c r="B826" s="50" t="s">
        <v>339</v>
      </c>
      <c r="C826" s="49">
        <v>50.6</v>
      </c>
      <c r="D826">
        <f t="shared" si="24"/>
        <v>90</v>
      </c>
      <c r="E826" t="str">
        <f t="shared" si="25"/>
        <v>90. Colombia</v>
      </c>
    </row>
    <row r="827" spans="1:5" x14ac:dyDescent="0.25">
      <c r="A827" s="49" t="s">
        <v>218</v>
      </c>
      <c r="B827" s="50" t="s">
        <v>339</v>
      </c>
      <c r="C827" s="49">
        <v>49.8</v>
      </c>
      <c r="D827">
        <f t="shared" si="24"/>
        <v>91</v>
      </c>
      <c r="E827" t="str">
        <f t="shared" si="25"/>
        <v>91. South Africa</v>
      </c>
    </row>
    <row r="828" spans="1:5" x14ac:dyDescent="0.25">
      <c r="A828" s="49" t="s">
        <v>421</v>
      </c>
      <c r="B828" s="50" t="s">
        <v>339</v>
      </c>
      <c r="C828" s="49">
        <v>48.9</v>
      </c>
      <c r="D828">
        <f t="shared" si="24"/>
        <v>92</v>
      </c>
      <c r="E828" t="str">
        <f t="shared" si="25"/>
        <v>92. Côte d'Ivoire</v>
      </c>
    </row>
    <row r="829" spans="1:5" x14ac:dyDescent="0.25">
      <c r="A829" s="49" t="s">
        <v>41</v>
      </c>
      <c r="B829" s="50" t="s">
        <v>339</v>
      </c>
      <c r="C829" s="49">
        <v>48.5</v>
      </c>
      <c r="D829">
        <f t="shared" si="24"/>
        <v>93</v>
      </c>
      <c r="E829" t="str">
        <f t="shared" si="25"/>
        <v>93. Central African Republic</v>
      </c>
    </row>
    <row r="830" spans="1:5" x14ac:dyDescent="0.25">
      <c r="A830" s="49" t="s">
        <v>89</v>
      </c>
      <c r="B830" s="50" t="s">
        <v>339</v>
      </c>
      <c r="C830" s="49">
        <v>48.2</v>
      </c>
      <c r="D830">
        <f t="shared" si="24"/>
        <v>94</v>
      </c>
      <c r="E830" t="str">
        <f t="shared" si="25"/>
        <v>94. Guyana</v>
      </c>
    </row>
    <row r="831" spans="1:5" x14ac:dyDescent="0.25">
      <c r="A831" s="49" t="s">
        <v>72</v>
      </c>
      <c r="B831" s="50" t="s">
        <v>339</v>
      </c>
      <c r="C831" s="49">
        <v>48.1</v>
      </c>
      <c r="D831">
        <f t="shared" si="24"/>
        <v>95</v>
      </c>
      <c r="E831" t="str">
        <f t="shared" si="25"/>
        <v>95. Fiji</v>
      </c>
    </row>
    <row r="832" spans="1:5" x14ac:dyDescent="0.25">
      <c r="A832" s="49" t="s">
        <v>17</v>
      </c>
      <c r="B832" s="50" t="s">
        <v>339</v>
      </c>
      <c r="C832" s="49">
        <v>46.9</v>
      </c>
      <c r="D832">
        <f t="shared" si="24"/>
        <v>96</v>
      </c>
      <c r="E832" t="str">
        <f t="shared" si="25"/>
        <v>96. Armenia</v>
      </c>
    </row>
    <row r="833" spans="1:5" x14ac:dyDescent="0.25">
      <c r="A833" s="49" t="s">
        <v>91</v>
      </c>
      <c r="B833" s="50" t="s">
        <v>339</v>
      </c>
      <c r="C833" s="49">
        <v>46.8</v>
      </c>
      <c r="D833">
        <f t="shared" si="24"/>
        <v>97</v>
      </c>
      <c r="E833" t="str">
        <f t="shared" si="25"/>
        <v>97. Honduras</v>
      </c>
    </row>
    <row r="834" spans="1:5" x14ac:dyDescent="0.25">
      <c r="A834" s="49" t="s">
        <v>43</v>
      </c>
      <c r="B834" s="50" t="s">
        <v>339</v>
      </c>
      <c r="C834" s="49">
        <v>45.7</v>
      </c>
      <c r="D834">
        <f t="shared" si="24"/>
        <v>98</v>
      </c>
      <c r="E834" t="str">
        <f t="shared" si="25"/>
        <v>98. Switzerland</v>
      </c>
    </row>
    <row r="835" spans="1:5" x14ac:dyDescent="0.25">
      <c r="A835" s="49" t="s">
        <v>63</v>
      </c>
      <c r="B835" s="50" t="s">
        <v>339</v>
      </c>
      <c r="C835" s="49">
        <v>45.5</v>
      </c>
      <c r="D835">
        <f t="shared" ref="D835:D898" si="26">IF(ROW() = 2, 1, IF(B835 = B834, D834 + 1, 1))</f>
        <v>99</v>
      </c>
      <c r="E835" t="str">
        <f t="shared" ref="E835:E898" si="27">_xlfn.CONCAT(D835, ". ", A835)</f>
        <v>99. Denmark</v>
      </c>
    </row>
    <row r="836" spans="1:5" x14ac:dyDescent="0.25">
      <c r="A836" s="49" t="s">
        <v>201</v>
      </c>
      <c r="B836" s="50" t="s">
        <v>339</v>
      </c>
      <c r="C836" s="49">
        <v>45.5</v>
      </c>
      <c r="D836">
        <f t="shared" si="26"/>
        <v>100</v>
      </c>
      <c r="E836" t="str">
        <f t="shared" si="27"/>
        <v>100. Trinidad and Tobago</v>
      </c>
    </row>
    <row r="837" spans="1:5" x14ac:dyDescent="0.25">
      <c r="A837" s="49" t="s">
        <v>148</v>
      </c>
      <c r="B837" s="50" t="s">
        <v>339</v>
      </c>
      <c r="C837" s="49">
        <v>45.1</v>
      </c>
      <c r="D837">
        <f t="shared" si="26"/>
        <v>101</v>
      </c>
      <c r="E837" t="str">
        <f t="shared" si="27"/>
        <v>101. Niger</v>
      </c>
    </row>
    <row r="838" spans="1:5" x14ac:dyDescent="0.25">
      <c r="A838" s="49" t="s">
        <v>31</v>
      </c>
      <c r="B838" s="50" t="s">
        <v>339</v>
      </c>
      <c r="C838" s="49">
        <v>44.7</v>
      </c>
      <c r="D838">
        <f t="shared" si="26"/>
        <v>102</v>
      </c>
      <c r="E838" t="str">
        <f t="shared" si="27"/>
        <v>102. Bosnia and Herzegovina</v>
      </c>
    </row>
    <row r="839" spans="1:5" x14ac:dyDescent="0.25">
      <c r="A839" s="49" t="s">
        <v>76</v>
      </c>
      <c r="B839" s="50" t="s">
        <v>339</v>
      </c>
      <c r="C839" s="49">
        <v>44</v>
      </c>
      <c r="D839">
        <f t="shared" si="26"/>
        <v>103</v>
      </c>
      <c r="E839" t="str">
        <f t="shared" si="27"/>
        <v>103. Gabon</v>
      </c>
    </row>
    <row r="840" spans="1:5" x14ac:dyDescent="0.25">
      <c r="A840" s="49" t="s">
        <v>178</v>
      </c>
      <c r="B840" s="50" t="s">
        <v>339</v>
      </c>
      <c r="C840" s="49">
        <v>43.8</v>
      </c>
      <c r="D840">
        <f t="shared" si="26"/>
        <v>104</v>
      </c>
      <c r="E840" t="str">
        <f t="shared" si="27"/>
        <v>104. Sierra Leone</v>
      </c>
    </row>
    <row r="841" spans="1:5" x14ac:dyDescent="0.25">
      <c r="A841" s="49" t="s">
        <v>185</v>
      </c>
      <c r="B841" s="50" t="s">
        <v>339</v>
      </c>
      <c r="C841" s="49">
        <v>43.5</v>
      </c>
      <c r="D841">
        <f t="shared" si="26"/>
        <v>105</v>
      </c>
      <c r="E841" t="str">
        <f t="shared" si="27"/>
        <v>105. Suriname</v>
      </c>
    </row>
    <row r="842" spans="1:5" x14ac:dyDescent="0.25">
      <c r="A842" s="49" t="s">
        <v>188</v>
      </c>
      <c r="B842" s="50" t="s">
        <v>339</v>
      </c>
      <c r="C842" s="49">
        <v>43.4</v>
      </c>
      <c r="D842">
        <f t="shared" si="26"/>
        <v>106</v>
      </c>
      <c r="E842" t="str">
        <f t="shared" si="27"/>
        <v>106. Sweden</v>
      </c>
    </row>
    <row r="843" spans="1:5" x14ac:dyDescent="0.25">
      <c r="A843" s="49" t="s">
        <v>417</v>
      </c>
      <c r="B843" s="50" t="s">
        <v>339</v>
      </c>
      <c r="C843" s="49">
        <v>42.9</v>
      </c>
      <c r="D843">
        <f t="shared" si="26"/>
        <v>107</v>
      </c>
      <c r="E843" t="str">
        <f t="shared" si="27"/>
        <v>107. China, People's Republic of</v>
      </c>
    </row>
    <row r="844" spans="1:5" x14ac:dyDescent="0.25">
      <c r="A844" s="49" t="s">
        <v>123</v>
      </c>
      <c r="B844" s="50" t="s">
        <v>339</v>
      </c>
      <c r="C844" s="49">
        <v>42.8</v>
      </c>
      <c r="D844">
        <f t="shared" si="26"/>
        <v>108</v>
      </c>
      <c r="E844" t="str">
        <f t="shared" si="27"/>
        <v>108. Lithuania</v>
      </c>
    </row>
    <row r="845" spans="1:5" x14ac:dyDescent="0.25">
      <c r="A845" s="49" t="s">
        <v>196</v>
      </c>
      <c r="B845" s="50" t="s">
        <v>339</v>
      </c>
      <c r="C845" s="49">
        <v>42.7</v>
      </c>
      <c r="D845">
        <f t="shared" si="26"/>
        <v>109</v>
      </c>
      <c r="E845" t="str">
        <f t="shared" si="27"/>
        <v>109. Thailand</v>
      </c>
    </row>
    <row r="846" spans="1:5" x14ac:dyDescent="0.25">
      <c r="A846" s="49" t="s">
        <v>194</v>
      </c>
      <c r="B846" s="50" t="s">
        <v>339</v>
      </c>
      <c r="C846" s="49">
        <v>42.6</v>
      </c>
      <c r="D846">
        <f t="shared" si="26"/>
        <v>110</v>
      </c>
      <c r="E846" t="str">
        <f t="shared" si="27"/>
        <v>110. Chad</v>
      </c>
    </row>
    <row r="847" spans="1:5" x14ac:dyDescent="0.25">
      <c r="A847" s="49" t="s">
        <v>23</v>
      </c>
      <c r="B847" s="50" t="s">
        <v>339</v>
      </c>
      <c r="C847" s="49">
        <v>42.5</v>
      </c>
      <c r="D847">
        <f t="shared" si="26"/>
        <v>111</v>
      </c>
      <c r="E847" t="str">
        <f t="shared" si="27"/>
        <v>111. Burundi</v>
      </c>
    </row>
    <row r="848" spans="1:5" x14ac:dyDescent="0.25">
      <c r="A848" s="49" t="s">
        <v>54</v>
      </c>
      <c r="B848" s="50" t="s">
        <v>339</v>
      </c>
      <c r="C848" s="49">
        <v>42.4</v>
      </c>
      <c r="D848">
        <f t="shared" si="26"/>
        <v>112</v>
      </c>
      <c r="E848" t="str">
        <f t="shared" si="27"/>
        <v>112. Costa Rica</v>
      </c>
    </row>
    <row r="849" spans="1:5" x14ac:dyDescent="0.25">
      <c r="A849" s="49" t="s">
        <v>78</v>
      </c>
      <c r="B849" s="50" t="s">
        <v>339</v>
      </c>
      <c r="C849" s="49">
        <v>41.5</v>
      </c>
      <c r="D849">
        <f t="shared" si="26"/>
        <v>113</v>
      </c>
      <c r="E849" t="str">
        <f t="shared" si="27"/>
        <v>113. Georgia</v>
      </c>
    </row>
    <row r="850" spans="1:5" x14ac:dyDescent="0.25">
      <c r="A850" s="49" t="s">
        <v>129</v>
      </c>
      <c r="B850" s="50" t="s">
        <v>339</v>
      </c>
      <c r="C850" s="49">
        <v>41.5</v>
      </c>
      <c r="D850">
        <f t="shared" si="26"/>
        <v>114</v>
      </c>
      <c r="E850" t="str">
        <f t="shared" si="27"/>
        <v>114. Moldova</v>
      </c>
    </row>
    <row r="851" spans="1:5" x14ac:dyDescent="0.25">
      <c r="A851" s="49" t="s">
        <v>437</v>
      </c>
      <c r="B851" s="50" t="s">
        <v>339</v>
      </c>
      <c r="C851" s="49">
        <v>41.5</v>
      </c>
      <c r="D851">
        <f t="shared" si="26"/>
        <v>115</v>
      </c>
      <c r="E851" t="str">
        <f t="shared" si="27"/>
        <v>115. Venezuela</v>
      </c>
    </row>
    <row r="852" spans="1:5" x14ac:dyDescent="0.25">
      <c r="A852" s="49" t="s">
        <v>420</v>
      </c>
      <c r="B852" s="50" t="s">
        <v>339</v>
      </c>
      <c r="C852" s="49">
        <v>40.299999999999997</v>
      </c>
      <c r="D852">
        <f t="shared" si="26"/>
        <v>116</v>
      </c>
      <c r="E852" t="str">
        <f t="shared" si="27"/>
        <v>116. Czech Republic</v>
      </c>
    </row>
    <row r="853" spans="1:5" x14ac:dyDescent="0.25">
      <c r="A853" s="49" t="s">
        <v>169</v>
      </c>
      <c r="B853" s="50" t="s">
        <v>339</v>
      </c>
      <c r="C853" s="49">
        <v>39.799999999999997</v>
      </c>
      <c r="D853">
        <f t="shared" si="26"/>
        <v>117</v>
      </c>
      <c r="E853" t="str">
        <f t="shared" si="27"/>
        <v>117. Qatar</v>
      </c>
    </row>
    <row r="854" spans="1:5" x14ac:dyDescent="0.25">
      <c r="A854" s="49" t="s">
        <v>61</v>
      </c>
      <c r="B854" s="50" t="s">
        <v>339</v>
      </c>
      <c r="C854" s="49">
        <v>39.5</v>
      </c>
      <c r="D854">
        <f t="shared" si="26"/>
        <v>118</v>
      </c>
      <c r="E854" t="str">
        <f t="shared" si="27"/>
        <v>118. Djibouti</v>
      </c>
    </row>
    <row r="855" spans="1:5" x14ac:dyDescent="0.25">
      <c r="A855" s="49" t="s">
        <v>25</v>
      </c>
      <c r="B855" s="50" t="s">
        <v>339</v>
      </c>
      <c r="C855" s="49">
        <v>39.299999999999997</v>
      </c>
      <c r="D855">
        <f t="shared" si="26"/>
        <v>119</v>
      </c>
      <c r="E855" t="str">
        <f t="shared" si="27"/>
        <v>119. Benin</v>
      </c>
    </row>
    <row r="856" spans="1:5" x14ac:dyDescent="0.25">
      <c r="A856" s="49" t="s">
        <v>170</v>
      </c>
      <c r="B856" s="50" t="s">
        <v>339</v>
      </c>
      <c r="C856" s="49">
        <v>39.299999999999997</v>
      </c>
      <c r="D856">
        <f t="shared" si="26"/>
        <v>120</v>
      </c>
      <c r="E856" t="str">
        <f t="shared" si="27"/>
        <v>120. Romania</v>
      </c>
    </row>
    <row r="857" spans="1:5" x14ac:dyDescent="0.25">
      <c r="A857" s="49" t="s">
        <v>117</v>
      </c>
      <c r="B857" s="50" t="s">
        <v>339</v>
      </c>
      <c r="C857" s="49">
        <v>39.200000000000003</v>
      </c>
      <c r="D857">
        <f t="shared" si="26"/>
        <v>121</v>
      </c>
      <c r="E857" t="str">
        <f t="shared" si="27"/>
        <v>121. Liberia</v>
      </c>
    </row>
    <row r="858" spans="1:5" x14ac:dyDescent="0.25">
      <c r="A858" s="49" t="s">
        <v>158</v>
      </c>
      <c r="B858" s="50" t="s">
        <v>339</v>
      </c>
      <c r="C858" s="49">
        <v>38.799999999999997</v>
      </c>
      <c r="D858">
        <f t="shared" si="26"/>
        <v>122</v>
      </c>
      <c r="E858" t="str">
        <f t="shared" si="27"/>
        <v>122. Panama</v>
      </c>
    </row>
    <row r="859" spans="1:5" x14ac:dyDescent="0.25">
      <c r="A859" s="49" t="s">
        <v>428</v>
      </c>
      <c r="B859" s="50" t="s">
        <v>339</v>
      </c>
      <c r="C859" s="49">
        <v>38</v>
      </c>
      <c r="D859">
        <f t="shared" si="26"/>
        <v>123</v>
      </c>
      <c r="E859" t="str">
        <f t="shared" si="27"/>
        <v xml:space="preserve">123. North Macedonia </v>
      </c>
    </row>
    <row r="860" spans="1:5" x14ac:dyDescent="0.25">
      <c r="A860" s="49" t="s">
        <v>425</v>
      </c>
      <c r="B860" s="50" t="s">
        <v>339</v>
      </c>
      <c r="C860" s="49">
        <v>37.9</v>
      </c>
      <c r="D860">
        <f t="shared" si="26"/>
        <v>124</v>
      </c>
      <c r="E860" t="str">
        <f t="shared" si="27"/>
        <v>124. Korea, Republic of</v>
      </c>
    </row>
    <row r="861" spans="1:5" x14ac:dyDescent="0.25">
      <c r="A861" s="49" t="s">
        <v>20</v>
      </c>
      <c r="B861" s="50" t="s">
        <v>339</v>
      </c>
      <c r="C861" s="49">
        <v>37.6</v>
      </c>
      <c r="D861">
        <f t="shared" si="26"/>
        <v>125</v>
      </c>
      <c r="E861" t="str">
        <f t="shared" si="27"/>
        <v>125. Australia</v>
      </c>
    </row>
    <row r="862" spans="1:5" x14ac:dyDescent="0.25">
      <c r="A862" s="49" t="s">
        <v>172</v>
      </c>
      <c r="B862" s="50" t="s">
        <v>339</v>
      </c>
      <c r="C862" s="49">
        <v>37.299999999999997</v>
      </c>
      <c r="D862">
        <f t="shared" si="26"/>
        <v>126</v>
      </c>
      <c r="E862" t="str">
        <f t="shared" si="27"/>
        <v>126. Rwanda</v>
      </c>
    </row>
    <row r="863" spans="1:5" x14ac:dyDescent="0.25">
      <c r="A863" s="49" t="s">
        <v>435</v>
      </c>
      <c r="B863" s="50" t="s">
        <v>339</v>
      </c>
      <c r="C863" s="49">
        <v>36.5</v>
      </c>
      <c r="D863">
        <f t="shared" si="26"/>
        <v>127</v>
      </c>
      <c r="E863" t="str">
        <f t="shared" si="27"/>
        <v>127. Taiwan Province of China</v>
      </c>
    </row>
    <row r="864" spans="1:5" x14ac:dyDescent="0.25">
      <c r="A864" s="49" t="s">
        <v>205</v>
      </c>
      <c r="B864" s="50" t="s">
        <v>339</v>
      </c>
      <c r="C864" s="49">
        <v>36.5</v>
      </c>
      <c r="D864">
        <f t="shared" si="26"/>
        <v>128</v>
      </c>
      <c r="E864" t="str">
        <f t="shared" si="27"/>
        <v>128. Tanzania</v>
      </c>
    </row>
    <row r="865" spans="1:5" x14ac:dyDescent="0.25">
      <c r="A865" s="49" t="s">
        <v>35</v>
      </c>
      <c r="B865" s="50" t="s">
        <v>339</v>
      </c>
      <c r="C865" s="49">
        <v>36.200000000000003</v>
      </c>
      <c r="D865">
        <f t="shared" si="26"/>
        <v>129</v>
      </c>
      <c r="E865" t="str">
        <f t="shared" si="27"/>
        <v>129. Bolivia</v>
      </c>
    </row>
    <row r="866" spans="1:5" x14ac:dyDescent="0.25">
      <c r="A866" s="49" t="s">
        <v>130</v>
      </c>
      <c r="B866" s="50" t="s">
        <v>339</v>
      </c>
      <c r="C866" s="49">
        <v>35.5</v>
      </c>
      <c r="D866">
        <f t="shared" si="26"/>
        <v>130</v>
      </c>
      <c r="E866" t="str">
        <f t="shared" si="27"/>
        <v>130. Madagascar</v>
      </c>
    </row>
    <row r="867" spans="1:5" x14ac:dyDescent="0.25">
      <c r="A867" s="49" t="s">
        <v>64</v>
      </c>
      <c r="B867" s="50" t="s">
        <v>339</v>
      </c>
      <c r="C867" s="49">
        <v>34.9</v>
      </c>
      <c r="D867">
        <f t="shared" si="26"/>
        <v>131</v>
      </c>
      <c r="E867" t="str">
        <f t="shared" si="27"/>
        <v>131. Dominican Republic</v>
      </c>
    </row>
    <row r="868" spans="1:5" x14ac:dyDescent="0.25">
      <c r="A868" s="49" t="s">
        <v>125</v>
      </c>
      <c r="B868" s="50" t="s">
        <v>339</v>
      </c>
      <c r="C868" s="49">
        <v>34.9</v>
      </c>
      <c r="D868">
        <f t="shared" si="26"/>
        <v>132</v>
      </c>
      <c r="E868" t="str">
        <f t="shared" si="27"/>
        <v>132. Latvia</v>
      </c>
    </row>
    <row r="869" spans="1:5" x14ac:dyDescent="0.25">
      <c r="A869" s="49" t="s">
        <v>160</v>
      </c>
      <c r="B869" s="50" t="s">
        <v>339</v>
      </c>
      <c r="C869" s="49">
        <v>34.799999999999997</v>
      </c>
      <c r="D869">
        <f t="shared" si="26"/>
        <v>133</v>
      </c>
      <c r="E869" t="str">
        <f t="shared" si="27"/>
        <v>133. Philippines</v>
      </c>
    </row>
    <row r="870" spans="1:5" x14ac:dyDescent="0.25">
      <c r="A870" s="49" t="s">
        <v>146</v>
      </c>
      <c r="B870" s="50" t="s">
        <v>339</v>
      </c>
      <c r="C870" s="49">
        <v>34.6</v>
      </c>
      <c r="D870">
        <f t="shared" si="26"/>
        <v>134</v>
      </c>
      <c r="E870" t="str">
        <f t="shared" si="27"/>
        <v>134. Namibia</v>
      </c>
    </row>
    <row r="871" spans="1:5" x14ac:dyDescent="0.25">
      <c r="A871" s="49" t="s">
        <v>206</v>
      </c>
      <c r="B871" s="50" t="s">
        <v>339</v>
      </c>
      <c r="C871" s="49">
        <v>34.4</v>
      </c>
      <c r="D871">
        <f t="shared" si="26"/>
        <v>135</v>
      </c>
      <c r="E871" t="str">
        <f t="shared" si="27"/>
        <v>135. Uganda</v>
      </c>
    </row>
    <row r="872" spans="1:5" x14ac:dyDescent="0.25">
      <c r="A872" s="49" t="s">
        <v>137</v>
      </c>
      <c r="B872" s="50" t="s">
        <v>339</v>
      </c>
      <c r="C872" s="49">
        <v>34.299999999999997</v>
      </c>
      <c r="D872">
        <f t="shared" si="26"/>
        <v>136</v>
      </c>
      <c r="E872" t="str">
        <f t="shared" si="27"/>
        <v>136. Myanmar</v>
      </c>
    </row>
    <row r="873" spans="1:5" x14ac:dyDescent="0.25">
      <c r="A873" s="49" t="s">
        <v>197</v>
      </c>
      <c r="B873" s="50" t="s">
        <v>339</v>
      </c>
      <c r="C873" s="49">
        <v>34.1</v>
      </c>
      <c r="D873">
        <f t="shared" si="26"/>
        <v>137</v>
      </c>
      <c r="E873" t="str">
        <f t="shared" si="27"/>
        <v>137. Tajikistan</v>
      </c>
    </row>
    <row r="874" spans="1:5" x14ac:dyDescent="0.25">
      <c r="A874" s="49" t="s">
        <v>66</v>
      </c>
      <c r="B874" s="50" t="s">
        <v>339</v>
      </c>
      <c r="C874" s="49">
        <v>33.799999999999997</v>
      </c>
      <c r="D874">
        <f t="shared" si="26"/>
        <v>138</v>
      </c>
      <c r="E874" t="str">
        <f t="shared" si="27"/>
        <v>138. Ecuador</v>
      </c>
    </row>
    <row r="875" spans="1:5" x14ac:dyDescent="0.25">
      <c r="A875" s="49" t="s">
        <v>133</v>
      </c>
      <c r="B875" s="50" t="s">
        <v>339</v>
      </c>
      <c r="C875" s="49">
        <v>33.700000000000003</v>
      </c>
      <c r="D875">
        <f t="shared" si="26"/>
        <v>139</v>
      </c>
      <c r="E875" t="str">
        <f t="shared" si="27"/>
        <v>139. Marshall Islands</v>
      </c>
    </row>
    <row r="876" spans="1:5" x14ac:dyDescent="0.25">
      <c r="A876" s="49" t="s">
        <v>436</v>
      </c>
      <c r="B876" s="50" t="s">
        <v>339</v>
      </c>
      <c r="C876" s="49">
        <v>32.9</v>
      </c>
      <c r="D876">
        <f t="shared" si="26"/>
        <v>140</v>
      </c>
      <c r="E876" t="str">
        <f t="shared" si="27"/>
        <v>140. Türkiye, Republic of</v>
      </c>
    </row>
    <row r="877" spans="1:5" x14ac:dyDescent="0.25">
      <c r="A877" s="49" t="s">
        <v>26</v>
      </c>
      <c r="B877" s="50" t="s">
        <v>339</v>
      </c>
      <c r="C877" s="49">
        <v>32.799999999999997</v>
      </c>
      <c r="D877">
        <f t="shared" si="26"/>
        <v>141</v>
      </c>
      <c r="E877" t="str">
        <f t="shared" si="27"/>
        <v>141. Burkina Faso</v>
      </c>
    </row>
    <row r="878" spans="1:5" x14ac:dyDescent="0.25">
      <c r="A878" s="49" t="s">
        <v>110</v>
      </c>
      <c r="B878" s="50" t="s">
        <v>339</v>
      </c>
      <c r="C878" s="49">
        <v>32.5</v>
      </c>
      <c r="D878">
        <f t="shared" si="26"/>
        <v>142</v>
      </c>
      <c r="E878" t="str">
        <f t="shared" si="27"/>
        <v>142. Cambodia</v>
      </c>
    </row>
    <row r="879" spans="1:5" x14ac:dyDescent="0.25">
      <c r="A879" s="49" t="s">
        <v>27</v>
      </c>
      <c r="B879" s="50" t="s">
        <v>339</v>
      </c>
      <c r="C879" s="49">
        <v>31.7</v>
      </c>
      <c r="D879">
        <f t="shared" si="26"/>
        <v>143</v>
      </c>
      <c r="E879" t="str">
        <f t="shared" si="27"/>
        <v>143. Bangladesh</v>
      </c>
    </row>
    <row r="880" spans="1:5" x14ac:dyDescent="0.25">
      <c r="A880" s="49" t="s">
        <v>135</v>
      </c>
      <c r="B880" s="50" t="s">
        <v>339</v>
      </c>
      <c r="C880" s="49">
        <v>30.9</v>
      </c>
      <c r="D880">
        <f t="shared" si="26"/>
        <v>144</v>
      </c>
      <c r="E880" t="str">
        <f t="shared" si="27"/>
        <v>144. Mali</v>
      </c>
    </row>
    <row r="881" spans="1:5" x14ac:dyDescent="0.25">
      <c r="A881" s="49" t="s">
        <v>162</v>
      </c>
      <c r="B881" s="50" t="s">
        <v>339</v>
      </c>
      <c r="C881" s="49">
        <v>30.6</v>
      </c>
      <c r="D881">
        <f t="shared" si="26"/>
        <v>145</v>
      </c>
      <c r="E881" t="str">
        <f t="shared" si="27"/>
        <v>145. Papua New Guinea</v>
      </c>
    </row>
    <row r="882" spans="1:5" x14ac:dyDescent="0.25">
      <c r="A882" s="49" t="s">
        <v>93</v>
      </c>
      <c r="B882" s="50" t="s">
        <v>339</v>
      </c>
      <c r="C882" s="49">
        <v>30.1</v>
      </c>
      <c r="D882">
        <f t="shared" si="26"/>
        <v>146</v>
      </c>
      <c r="E882" t="str">
        <f t="shared" si="27"/>
        <v>146. Haiti</v>
      </c>
    </row>
    <row r="883" spans="1:5" x14ac:dyDescent="0.25">
      <c r="A883" s="49" t="s">
        <v>155</v>
      </c>
      <c r="B883" s="50" t="s">
        <v>339</v>
      </c>
      <c r="C883" s="49">
        <v>30</v>
      </c>
      <c r="D883">
        <f t="shared" si="26"/>
        <v>147</v>
      </c>
      <c r="E883" t="str">
        <f t="shared" si="27"/>
        <v>147. New Zealand</v>
      </c>
    </row>
    <row r="884" spans="1:5" x14ac:dyDescent="0.25">
      <c r="A884" s="49" t="s">
        <v>150</v>
      </c>
      <c r="B884" s="50" t="s">
        <v>339</v>
      </c>
      <c r="C884" s="49">
        <v>29.4</v>
      </c>
      <c r="D884">
        <f t="shared" si="26"/>
        <v>148</v>
      </c>
      <c r="E884" t="str">
        <f t="shared" si="27"/>
        <v>148. Nicaragua</v>
      </c>
    </row>
    <row r="885" spans="1:5" x14ac:dyDescent="0.25">
      <c r="A885" s="49" t="s">
        <v>48</v>
      </c>
      <c r="B885" s="50" t="s">
        <v>339</v>
      </c>
      <c r="C885" s="49">
        <v>29</v>
      </c>
      <c r="D885">
        <f t="shared" si="26"/>
        <v>149</v>
      </c>
      <c r="E885" t="str">
        <f t="shared" si="27"/>
        <v>149. Cameroon</v>
      </c>
    </row>
    <row r="886" spans="1:5" x14ac:dyDescent="0.25">
      <c r="A886" s="49" t="s">
        <v>22</v>
      </c>
      <c r="B886" s="50" t="s">
        <v>339</v>
      </c>
      <c r="C886" s="49">
        <v>28.3</v>
      </c>
      <c r="D886">
        <f t="shared" si="26"/>
        <v>150</v>
      </c>
      <c r="E886" t="str">
        <f t="shared" si="27"/>
        <v>150. Azerbaijan</v>
      </c>
    </row>
    <row r="887" spans="1:5" x14ac:dyDescent="0.25">
      <c r="A887" s="49" t="s">
        <v>153</v>
      </c>
      <c r="B887" s="50" t="s">
        <v>339</v>
      </c>
      <c r="C887" s="49">
        <v>28</v>
      </c>
      <c r="D887">
        <f t="shared" si="26"/>
        <v>151</v>
      </c>
      <c r="E887" t="str">
        <f t="shared" si="27"/>
        <v>151. Nepal</v>
      </c>
    </row>
    <row r="888" spans="1:5" x14ac:dyDescent="0.25">
      <c r="A888" s="49" t="s">
        <v>152</v>
      </c>
      <c r="B888" s="50" t="s">
        <v>339</v>
      </c>
      <c r="C888" s="49">
        <v>27.9</v>
      </c>
      <c r="D888">
        <f t="shared" si="26"/>
        <v>152</v>
      </c>
      <c r="E888" t="str">
        <f t="shared" si="27"/>
        <v>152. Norway</v>
      </c>
    </row>
    <row r="889" spans="1:5" x14ac:dyDescent="0.25">
      <c r="A889" s="49" t="s">
        <v>95</v>
      </c>
      <c r="B889" s="50" t="s">
        <v>339</v>
      </c>
      <c r="C889" s="49">
        <v>27.3</v>
      </c>
      <c r="D889">
        <f t="shared" si="26"/>
        <v>153</v>
      </c>
      <c r="E889" t="str">
        <f t="shared" si="27"/>
        <v>153. Indonesia</v>
      </c>
    </row>
    <row r="890" spans="1:5" x14ac:dyDescent="0.25">
      <c r="A890" s="49" t="s">
        <v>427</v>
      </c>
      <c r="B890" s="50" t="s">
        <v>339</v>
      </c>
      <c r="C890" s="49">
        <v>26.4</v>
      </c>
      <c r="D890">
        <f t="shared" si="26"/>
        <v>154</v>
      </c>
      <c r="E890" t="str">
        <f t="shared" si="27"/>
        <v>154. Micronesia, Fed. States of</v>
      </c>
    </row>
    <row r="891" spans="1:5" x14ac:dyDescent="0.25">
      <c r="A891" s="49" t="s">
        <v>28</v>
      </c>
      <c r="B891" s="50" t="s">
        <v>339</v>
      </c>
      <c r="C891" s="49">
        <v>26.3</v>
      </c>
      <c r="D891">
        <f t="shared" si="26"/>
        <v>155</v>
      </c>
      <c r="E891" t="str">
        <f t="shared" si="27"/>
        <v>155. Bulgaria</v>
      </c>
    </row>
    <row r="892" spans="1:5" x14ac:dyDescent="0.25">
      <c r="A892" s="49" t="s">
        <v>214</v>
      </c>
      <c r="B892" s="50" t="s">
        <v>339</v>
      </c>
      <c r="C892" s="49">
        <v>25.6</v>
      </c>
      <c r="D892">
        <f t="shared" si="26"/>
        <v>156</v>
      </c>
      <c r="E892" t="str">
        <f t="shared" si="27"/>
        <v>156. Vanuatu</v>
      </c>
    </row>
    <row r="893" spans="1:5" x14ac:dyDescent="0.25">
      <c r="A893" s="49" t="s">
        <v>52</v>
      </c>
      <c r="B893" s="50" t="s">
        <v>339</v>
      </c>
      <c r="C893" s="49">
        <v>25.4</v>
      </c>
      <c r="D893">
        <f t="shared" si="26"/>
        <v>157</v>
      </c>
      <c r="E893" t="str">
        <f t="shared" si="27"/>
        <v>157. Comoros</v>
      </c>
    </row>
    <row r="894" spans="1:5" x14ac:dyDescent="0.25">
      <c r="A894" s="49" t="s">
        <v>87</v>
      </c>
      <c r="B894" s="50" t="s">
        <v>339</v>
      </c>
      <c r="C894" s="49">
        <v>24.2</v>
      </c>
      <c r="D894">
        <f t="shared" si="26"/>
        <v>158</v>
      </c>
      <c r="E894" t="str">
        <f t="shared" si="27"/>
        <v>158. Guatemala</v>
      </c>
    </row>
    <row r="895" spans="1:5" x14ac:dyDescent="0.25">
      <c r="A895" s="49" t="s">
        <v>166</v>
      </c>
      <c r="B895" s="50" t="s">
        <v>339</v>
      </c>
      <c r="C895" s="49">
        <v>24.2</v>
      </c>
      <c r="D895">
        <f t="shared" si="26"/>
        <v>159</v>
      </c>
      <c r="E895" t="str">
        <f t="shared" si="27"/>
        <v>159. Paraguay</v>
      </c>
    </row>
    <row r="896" spans="1:5" x14ac:dyDescent="0.25">
      <c r="A896" s="49" t="s">
        <v>159</v>
      </c>
      <c r="B896" s="50" t="s">
        <v>339</v>
      </c>
      <c r="C896" s="49">
        <v>24</v>
      </c>
      <c r="D896">
        <f t="shared" si="26"/>
        <v>160</v>
      </c>
      <c r="E896" t="str">
        <f t="shared" si="27"/>
        <v>160. Peru</v>
      </c>
    </row>
    <row r="897" spans="1:5" x14ac:dyDescent="0.25">
      <c r="A897" s="49" t="s">
        <v>198</v>
      </c>
      <c r="B897" s="50" t="s">
        <v>339</v>
      </c>
      <c r="C897" s="49">
        <v>23.2</v>
      </c>
      <c r="D897">
        <f t="shared" si="26"/>
        <v>161</v>
      </c>
      <c r="E897" t="str">
        <f t="shared" si="27"/>
        <v>161. Turkmenistan</v>
      </c>
    </row>
    <row r="898" spans="1:5" x14ac:dyDescent="0.25">
      <c r="A898" s="49" t="s">
        <v>111</v>
      </c>
      <c r="B898" s="50" t="s">
        <v>339</v>
      </c>
      <c r="C898" s="49">
        <v>23.1</v>
      </c>
      <c r="D898">
        <f t="shared" si="26"/>
        <v>162</v>
      </c>
      <c r="E898" t="str">
        <f t="shared" si="27"/>
        <v>162. Kiribati</v>
      </c>
    </row>
    <row r="899" spans="1:5" x14ac:dyDescent="0.25">
      <c r="A899" s="49" t="s">
        <v>416</v>
      </c>
      <c r="B899" s="50" t="s">
        <v>339</v>
      </c>
      <c r="C899" s="49">
        <v>22.2</v>
      </c>
      <c r="D899">
        <f t="shared" ref="D899:D962" si="28">IF(ROW() = 2, 1, IF(B899 = B898, D898 + 1, 1))</f>
        <v>163</v>
      </c>
      <c r="E899" t="str">
        <f t="shared" ref="E899:E962" si="29">_xlfn.CONCAT(D899, ". ", A899)</f>
        <v>163. Anguilla</v>
      </c>
    </row>
    <row r="900" spans="1:5" x14ac:dyDescent="0.25">
      <c r="A900" s="49" t="s">
        <v>107</v>
      </c>
      <c r="B900" s="50" t="s">
        <v>339</v>
      </c>
      <c r="C900" s="49">
        <v>21.9</v>
      </c>
      <c r="D900">
        <f t="shared" si="28"/>
        <v>164</v>
      </c>
      <c r="E900" t="str">
        <f t="shared" si="29"/>
        <v>164. Kazakhstan</v>
      </c>
    </row>
    <row r="901" spans="1:5" x14ac:dyDescent="0.25">
      <c r="A901" s="49" t="s">
        <v>124</v>
      </c>
      <c r="B901" s="50" t="s">
        <v>339</v>
      </c>
      <c r="C901" s="49">
        <v>21.5</v>
      </c>
      <c r="D901">
        <f t="shared" si="28"/>
        <v>165</v>
      </c>
      <c r="E901" t="str">
        <f t="shared" si="29"/>
        <v>165. Luxembourg</v>
      </c>
    </row>
    <row r="902" spans="1:5" x14ac:dyDescent="0.25">
      <c r="A902" s="49" t="s">
        <v>180</v>
      </c>
      <c r="B902" s="50" t="s">
        <v>339</v>
      </c>
      <c r="C902" s="49">
        <v>19.899999999999999</v>
      </c>
      <c r="D902">
        <f t="shared" si="28"/>
        <v>166</v>
      </c>
      <c r="E902" t="str">
        <f t="shared" si="29"/>
        <v>166. San Marino</v>
      </c>
    </row>
    <row r="903" spans="1:5" x14ac:dyDescent="0.25">
      <c r="A903" s="49" t="s">
        <v>418</v>
      </c>
      <c r="B903" s="50" t="s">
        <v>339</v>
      </c>
      <c r="C903" s="49">
        <v>18.899999999999999</v>
      </c>
      <c r="D903">
        <f t="shared" si="28"/>
        <v>167</v>
      </c>
      <c r="E903" t="str">
        <f t="shared" si="29"/>
        <v>167. Congo, Dem. Rep. of the</v>
      </c>
    </row>
    <row r="904" spans="1:5" x14ac:dyDescent="0.25">
      <c r="A904" s="49" t="s">
        <v>15</v>
      </c>
      <c r="B904" s="50" t="s">
        <v>339</v>
      </c>
      <c r="C904" s="49">
        <v>18.100000000000001</v>
      </c>
      <c r="D904">
        <f t="shared" si="28"/>
        <v>168</v>
      </c>
      <c r="E904" t="str">
        <f t="shared" si="29"/>
        <v>168. United Arab Emirates</v>
      </c>
    </row>
    <row r="905" spans="1:5" x14ac:dyDescent="0.25">
      <c r="A905" s="49" t="s">
        <v>45</v>
      </c>
      <c r="B905" s="50" t="s">
        <v>339</v>
      </c>
      <c r="C905" s="49">
        <v>17.5</v>
      </c>
      <c r="D905">
        <f t="shared" si="28"/>
        <v>169</v>
      </c>
      <c r="E905" t="str">
        <f t="shared" si="29"/>
        <v>169. Chile</v>
      </c>
    </row>
    <row r="906" spans="1:5" x14ac:dyDescent="0.25">
      <c r="A906" s="49" t="s">
        <v>189</v>
      </c>
      <c r="B906" s="50" t="s">
        <v>339</v>
      </c>
      <c r="C906" s="49">
        <v>17.3</v>
      </c>
      <c r="D906">
        <f t="shared" si="28"/>
        <v>170</v>
      </c>
      <c r="E906" t="str">
        <f t="shared" si="29"/>
        <v>170. Eswatini</v>
      </c>
    </row>
    <row r="907" spans="1:5" x14ac:dyDescent="0.25">
      <c r="A907" s="49" t="s">
        <v>40</v>
      </c>
      <c r="B907" s="50" t="s">
        <v>339</v>
      </c>
      <c r="C907" s="49">
        <v>17</v>
      </c>
      <c r="D907">
        <f t="shared" si="28"/>
        <v>171</v>
      </c>
      <c r="E907" t="str">
        <f t="shared" si="29"/>
        <v>171. Botswana</v>
      </c>
    </row>
    <row r="908" spans="1:5" x14ac:dyDescent="0.25">
      <c r="A908" s="49" t="s">
        <v>171</v>
      </c>
      <c r="B908" s="50" t="s">
        <v>339</v>
      </c>
      <c r="C908" s="49">
        <v>16.399999999999999</v>
      </c>
      <c r="D908">
        <f t="shared" si="28"/>
        <v>172</v>
      </c>
      <c r="E908" t="str">
        <f t="shared" si="29"/>
        <v>172. Russian Federation</v>
      </c>
    </row>
    <row r="909" spans="1:5" x14ac:dyDescent="0.25">
      <c r="A909" s="49" t="s">
        <v>424</v>
      </c>
      <c r="B909" s="50" t="s">
        <v>339</v>
      </c>
      <c r="C909" s="49">
        <v>15.9</v>
      </c>
      <c r="D909">
        <f t="shared" si="28"/>
        <v>173</v>
      </c>
      <c r="E909" t="str">
        <f t="shared" si="29"/>
        <v>173. Iran</v>
      </c>
    </row>
    <row r="910" spans="1:5" x14ac:dyDescent="0.25">
      <c r="A910" s="49" t="s">
        <v>156</v>
      </c>
      <c r="B910" s="50" t="s">
        <v>339</v>
      </c>
      <c r="C910" s="49">
        <v>14.9</v>
      </c>
      <c r="D910">
        <f t="shared" si="28"/>
        <v>174</v>
      </c>
      <c r="E910" t="str">
        <f t="shared" si="29"/>
        <v>174. Oman</v>
      </c>
    </row>
    <row r="911" spans="1:5" x14ac:dyDescent="0.25">
      <c r="A911" s="49" t="s">
        <v>83</v>
      </c>
      <c r="B911" s="50" t="s">
        <v>339</v>
      </c>
      <c r="C911" s="49">
        <v>14</v>
      </c>
      <c r="D911">
        <f t="shared" si="28"/>
        <v>175</v>
      </c>
      <c r="E911" t="str">
        <f t="shared" si="29"/>
        <v>175. Equatorial Guinea</v>
      </c>
    </row>
    <row r="912" spans="1:5" x14ac:dyDescent="0.25">
      <c r="A912" s="49" t="s">
        <v>149</v>
      </c>
      <c r="B912" s="50" t="s">
        <v>339</v>
      </c>
      <c r="C912" s="49">
        <v>11.5</v>
      </c>
      <c r="D912">
        <f t="shared" si="28"/>
        <v>176</v>
      </c>
      <c r="E912" t="str">
        <f t="shared" si="29"/>
        <v>176. Nigeria</v>
      </c>
    </row>
    <row r="913" spans="1:5" x14ac:dyDescent="0.25">
      <c r="A913" s="49" t="s">
        <v>114</v>
      </c>
      <c r="B913" s="50" t="s">
        <v>339</v>
      </c>
      <c r="C913" s="49">
        <v>11.2</v>
      </c>
      <c r="D913">
        <f t="shared" si="28"/>
        <v>177</v>
      </c>
      <c r="E913" t="str">
        <f t="shared" si="29"/>
        <v>177. Kuwait</v>
      </c>
    </row>
    <row r="914" spans="1:5" x14ac:dyDescent="0.25">
      <c r="A914" s="49" t="s">
        <v>210</v>
      </c>
      <c r="B914" s="50" t="s">
        <v>339</v>
      </c>
      <c r="C914" s="49">
        <v>10.8</v>
      </c>
      <c r="D914">
        <f t="shared" si="28"/>
        <v>178</v>
      </c>
      <c r="E914" t="str">
        <f t="shared" si="29"/>
        <v>178. Uzbekistan</v>
      </c>
    </row>
    <row r="915" spans="1:5" x14ac:dyDescent="0.25">
      <c r="A915" s="49" t="s">
        <v>177</v>
      </c>
      <c r="B915" s="50" t="s">
        <v>339</v>
      </c>
      <c r="C915" s="49">
        <v>10.4</v>
      </c>
      <c r="D915">
        <f t="shared" si="28"/>
        <v>179</v>
      </c>
      <c r="E915" t="str">
        <f t="shared" si="29"/>
        <v>179. Solomon Islands</v>
      </c>
    </row>
    <row r="916" spans="1:5" x14ac:dyDescent="0.25">
      <c r="A916" s="49" t="s">
        <v>69</v>
      </c>
      <c r="B916" s="50" t="s">
        <v>339</v>
      </c>
      <c r="C916" s="49">
        <v>9.6999999999999993</v>
      </c>
      <c r="D916">
        <f t="shared" si="28"/>
        <v>180</v>
      </c>
      <c r="E916" t="str">
        <f t="shared" si="29"/>
        <v>180. Estonia</v>
      </c>
    </row>
    <row r="917" spans="1:5" x14ac:dyDescent="0.25">
      <c r="A917" s="49" t="s">
        <v>65</v>
      </c>
      <c r="B917" s="50" t="s">
        <v>339</v>
      </c>
      <c r="C917" s="49">
        <v>9.1</v>
      </c>
      <c r="D917">
        <f t="shared" si="28"/>
        <v>181</v>
      </c>
      <c r="E917" t="str">
        <f t="shared" si="29"/>
        <v>181. Algeria</v>
      </c>
    </row>
    <row r="918" spans="1:5" x14ac:dyDescent="0.25">
      <c r="A918" s="49" t="s">
        <v>11</v>
      </c>
      <c r="B918" s="50" t="s">
        <v>339</v>
      </c>
      <c r="C918" s="49">
        <v>6.3</v>
      </c>
      <c r="D918">
        <f t="shared" si="28"/>
        <v>182</v>
      </c>
      <c r="E918" t="str">
        <f t="shared" si="29"/>
        <v>182. Afghanistan</v>
      </c>
    </row>
    <row r="919" spans="1:5" x14ac:dyDescent="0.25">
      <c r="A919" s="49" t="s">
        <v>173</v>
      </c>
      <c r="B919" s="50" t="s">
        <v>339</v>
      </c>
      <c r="C919" s="49">
        <v>5</v>
      </c>
      <c r="D919">
        <f t="shared" si="28"/>
        <v>183</v>
      </c>
      <c r="E919" t="str">
        <f t="shared" si="29"/>
        <v>183. Saudi Arabia</v>
      </c>
    </row>
    <row r="920" spans="1:5" x14ac:dyDescent="0.25">
      <c r="A920" s="49" t="s">
        <v>38</v>
      </c>
      <c r="B920" s="50" t="s">
        <v>339</v>
      </c>
      <c r="C920" s="49">
        <v>2.8</v>
      </c>
      <c r="D920">
        <f t="shared" si="28"/>
        <v>184</v>
      </c>
      <c r="E920" t="str">
        <f t="shared" si="29"/>
        <v>184. Brunei Darussalam</v>
      </c>
    </row>
    <row r="921" spans="1:5" x14ac:dyDescent="0.25">
      <c r="A921" s="49" t="s">
        <v>423</v>
      </c>
      <c r="B921" s="50" t="s">
        <v>339</v>
      </c>
      <c r="C921" s="49">
        <v>0.1</v>
      </c>
      <c r="D921">
        <f t="shared" si="28"/>
        <v>185</v>
      </c>
      <c r="E921" t="str">
        <f t="shared" si="29"/>
        <v>185. Hong Kong SAR</v>
      </c>
    </row>
    <row r="922" spans="1:5" x14ac:dyDescent="0.25">
      <c r="A922" t="s">
        <v>126</v>
      </c>
      <c r="B922" t="s">
        <v>366</v>
      </c>
      <c r="C922">
        <v>20524.2</v>
      </c>
      <c r="D922">
        <f t="shared" si="28"/>
        <v>1</v>
      </c>
      <c r="E922" t="str">
        <f t="shared" si="29"/>
        <v>1. Macao SAR, China</v>
      </c>
    </row>
    <row r="923" spans="1:5" x14ac:dyDescent="0.25">
      <c r="A923" t="s">
        <v>128</v>
      </c>
      <c r="B923" t="s">
        <v>366</v>
      </c>
      <c r="C923">
        <v>18680.900000000001</v>
      </c>
      <c r="D923">
        <f t="shared" si="28"/>
        <v>2</v>
      </c>
      <c r="E923" t="str">
        <f t="shared" si="29"/>
        <v>2. Monaco</v>
      </c>
    </row>
    <row r="924" spans="1:5" x14ac:dyDescent="0.25">
      <c r="A924" t="s">
        <v>176</v>
      </c>
      <c r="B924" t="s">
        <v>366</v>
      </c>
      <c r="C924">
        <v>7851</v>
      </c>
      <c r="D924">
        <f t="shared" si="28"/>
        <v>3</v>
      </c>
      <c r="E924" t="str">
        <f t="shared" si="29"/>
        <v>3. Singapore</v>
      </c>
    </row>
    <row r="925" spans="1:5" x14ac:dyDescent="0.25">
      <c r="A925" t="s">
        <v>90</v>
      </c>
      <c r="B925" t="s">
        <v>366</v>
      </c>
      <c r="C925">
        <v>6996.3</v>
      </c>
      <c r="D925">
        <f t="shared" si="28"/>
        <v>4</v>
      </c>
      <c r="E925" t="str">
        <f t="shared" si="29"/>
        <v>4. Hong Kong SAR, China</v>
      </c>
    </row>
    <row r="926" spans="1:5" x14ac:dyDescent="0.25">
      <c r="A926" t="s">
        <v>29</v>
      </c>
      <c r="B926" t="s">
        <v>366</v>
      </c>
      <c r="C926">
        <v>1930</v>
      </c>
      <c r="D926">
        <f t="shared" si="28"/>
        <v>5</v>
      </c>
      <c r="E926" t="str">
        <f t="shared" si="29"/>
        <v>5. Bahrain</v>
      </c>
    </row>
    <row r="927" spans="1:5" x14ac:dyDescent="0.25">
      <c r="A927" t="s">
        <v>131</v>
      </c>
      <c r="B927" t="s">
        <v>366</v>
      </c>
      <c r="C927">
        <v>1747</v>
      </c>
      <c r="D927">
        <f t="shared" si="28"/>
        <v>6</v>
      </c>
      <c r="E927" t="str">
        <f t="shared" si="29"/>
        <v>6. Maldives</v>
      </c>
    </row>
    <row r="928" spans="1:5" x14ac:dyDescent="0.25">
      <c r="A928" t="s">
        <v>136</v>
      </c>
      <c r="B928" t="s">
        <v>366</v>
      </c>
      <c r="C928">
        <v>1659.7</v>
      </c>
      <c r="D928">
        <f t="shared" si="28"/>
        <v>7</v>
      </c>
      <c r="E928" t="str">
        <f t="shared" si="29"/>
        <v>7. Malta</v>
      </c>
    </row>
    <row r="929" spans="1:5" x14ac:dyDescent="0.25">
      <c r="A929" t="s">
        <v>27</v>
      </c>
      <c r="B929" t="s">
        <v>366</v>
      </c>
      <c r="C929">
        <v>1300.4000000000001</v>
      </c>
      <c r="D929">
        <f t="shared" si="28"/>
        <v>8</v>
      </c>
      <c r="E929" t="str">
        <f t="shared" si="29"/>
        <v>8. Bangladesh</v>
      </c>
    </row>
    <row r="930" spans="1:5" x14ac:dyDescent="0.25">
      <c r="A930" t="s">
        <v>190</v>
      </c>
      <c r="B930" t="s">
        <v>366</v>
      </c>
      <c r="C930">
        <v>1239.4000000000001</v>
      </c>
      <c r="D930">
        <f t="shared" si="28"/>
        <v>9</v>
      </c>
      <c r="E930" t="str">
        <f t="shared" si="29"/>
        <v>9. Sint Maarten (Dutch part)</v>
      </c>
    </row>
    <row r="931" spans="1:5" x14ac:dyDescent="0.25">
      <c r="A931" t="s">
        <v>34</v>
      </c>
      <c r="B931" t="s">
        <v>366</v>
      </c>
      <c r="C931">
        <v>1199.0999999999999</v>
      </c>
      <c r="D931">
        <f t="shared" si="28"/>
        <v>10</v>
      </c>
      <c r="E931" t="str">
        <f t="shared" si="29"/>
        <v>10. Bermuda</v>
      </c>
    </row>
    <row r="932" spans="1:5" x14ac:dyDescent="0.25">
      <c r="A932" t="s">
        <v>167</v>
      </c>
      <c r="B932" t="s">
        <v>366</v>
      </c>
      <c r="C932">
        <v>837.1</v>
      </c>
      <c r="D932">
        <f t="shared" si="28"/>
        <v>11</v>
      </c>
      <c r="E932" t="str">
        <f t="shared" si="29"/>
        <v>11. West Bank and Gaza</v>
      </c>
    </row>
    <row r="933" spans="1:5" x14ac:dyDescent="0.25">
      <c r="A933" t="s">
        <v>37</v>
      </c>
      <c r="B933" t="s">
        <v>366</v>
      </c>
      <c r="C933">
        <v>656.6</v>
      </c>
      <c r="D933">
        <f t="shared" si="28"/>
        <v>12</v>
      </c>
      <c r="E933" t="str">
        <f t="shared" si="29"/>
        <v>12. Barbados</v>
      </c>
    </row>
    <row r="934" spans="1:5" x14ac:dyDescent="0.25">
      <c r="A934" t="s">
        <v>143</v>
      </c>
      <c r="B934" t="s">
        <v>366</v>
      </c>
      <c r="C934">
        <v>632.20000000000005</v>
      </c>
      <c r="D934">
        <f t="shared" si="28"/>
        <v>13</v>
      </c>
      <c r="E934" t="str">
        <f t="shared" si="29"/>
        <v>13. Mauritius</v>
      </c>
    </row>
    <row r="935" spans="1:5" x14ac:dyDescent="0.25">
      <c r="A935" t="s">
        <v>10</v>
      </c>
      <c r="B935" t="s">
        <v>366</v>
      </c>
      <c r="C935">
        <v>596.20000000000005</v>
      </c>
      <c r="D935">
        <f t="shared" si="28"/>
        <v>14</v>
      </c>
      <c r="E935" t="str">
        <f t="shared" si="29"/>
        <v>14. Aruba</v>
      </c>
    </row>
    <row r="936" spans="1:5" x14ac:dyDescent="0.25">
      <c r="A936" t="s">
        <v>154</v>
      </c>
      <c r="B936" t="s">
        <v>366</v>
      </c>
      <c r="C936">
        <v>590.1</v>
      </c>
      <c r="D936">
        <f t="shared" si="28"/>
        <v>15</v>
      </c>
      <c r="E936" t="str">
        <f t="shared" si="29"/>
        <v>15. Nauru</v>
      </c>
    </row>
    <row r="937" spans="1:5" x14ac:dyDescent="0.25">
      <c r="A937" t="s">
        <v>221</v>
      </c>
      <c r="B937" t="s">
        <v>366</v>
      </c>
      <c r="C937">
        <v>577.4</v>
      </c>
      <c r="D937">
        <f t="shared" si="28"/>
        <v>16</v>
      </c>
      <c r="E937" t="str">
        <f t="shared" si="29"/>
        <v>16. St. Martin (French part)</v>
      </c>
    </row>
    <row r="938" spans="1:5" x14ac:dyDescent="0.25">
      <c r="A938" t="s">
        <v>180</v>
      </c>
      <c r="B938" t="s">
        <v>366</v>
      </c>
      <c r="C938">
        <v>562.6</v>
      </c>
      <c r="D938">
        <f t="shared" si="28"/>
        <v>17</v>
      </c>
      <c r="E938" t="str">
        <f t="shared" si="29"/>
        <v>17. San Marino</v>
      </c>
    </row>
    <row r="939" spans="1:5" x14ac:dyDescent="0.25">
      <c r="A939" t="s">
        <v>116</v>
      </c>
      <c r="B939" t="s">
        <v>366</v>
      </c>
      <c r="C939">
        <v>561.5</v>
      </c>
      <c r="D939">
        <f t="shared" si="28"/>
        <v>18</v>
      </c>
      <c r="E939" t="str">
        <f t="shared" si="29"/>
        <v>18. Lebanon</v>
      </c>
    </row>
    <row r="940" spans="1:5" x14ac:dyDescent="0.25">
      <c r="A940" t="s">
        <v>172</v>
      </c>
      <c r="B940" t="s">
        <v>366</v>
      </c>
      <c r="C940">
        <v>553.29999999999995</v>
      </c>
      <c r="D940">
        <f t="shared" si="28"/>
        <v>19</v>
      </c>
      <c r="E940" t="str">
        <f t="shared" si="29"/>
        <v>19. Rwanda</v>
      </c>
    </row>
    <row r="941" spans="1:5" x14ac:dyDescent="0.25">
      <c r="A941" t="s">
        <v>113</v>
      </c>
      <c r="B941" t="s">
        <v>366</v>
      </c>
      <c r="C941">
        <v>529.4</v>
      </c>
      <c r="D941">
        <f t="shared" si="28"/>
        <v>20</v>
      </c>
      <c r="E941" t="str">
        <f t="shared" si="29"/>
        <v>20. Korea, Rep.</v>
      </c>
    </row>
    <row r="942" spans="1:5" x14ac:dyDescent="0.25">
      <c r="A942" t="s">
        <v>151</v>
      </c>
      <c r="B942" t="s">
        <v>366</v>
      </c>
      <c r="C942">
        <v>525.70000000000005</v>
      </c>
      <c r="D942">
        <f t="shared" si="28"/>
        <v>21</v>
      </c>
      <c r="E942" t="str">
        <f t="shared" si="29"/>
        <v>21. Netherlands</v>
      </c>
    </row>
    <row r="943" spans="1:5" x14ac:dyDescent="0.25">
      <c r="A943" t="s">
        <v>23</v>
      </c>
      <c r="B943" t="s">
        <v>366</v>
      </c>
      <c r="C943">
        <v>518.70000000000005</v>
      </c>
      <c r="D943">
        <f t="shared" si="28"/>
        <v>22</v>
      </c>
      <c r="E943" t="str">
        <f t="shared" si="29"/>
        <v>22. Burundi</v>
      </c>
    </row>
    <row r="944" spans="1:5" x14ac:dyDescent="0.25">
      <c r="A944" t="s">
        <v>97</v>
      </c>
      <c r="B944" t="s">
        <v>366</v>
      </c>
      <c r="C944">
        <v>479.4</v>
      </c>
      <c r="D944">
        <f t="shared" si="28"/>
        <v>23</v>
      </c>
      <c r="E944" t="str">
        <f t="shared" si="29"/>
        <v>23. India</v>
      </c>
    </row>
    <row r="945" spans="1:5" x14ac:dyDescent="0.25">
      <c r="A945" t="s">
        <v>52</v>
      </c>
      <c r="B945" t="s">
        <v>366</v>
      </c>
      <c r="C945">
        <v>448.2</v>
      </c>
      <c r="D945">
        <f t="shared" si="28"/>
        <v>24</v>
      </c>
      <c r="E945" t="str">
        <f t="shared" si="29"/>
        <v>24. Comoros</v>
      </c>
    </row>
    <row r="946" spans="1:5" x14ac:dyDescent="0.25">
      <c r="A946" t="s">
        <v>102</v>
      </c>
      <c r="B946" t="s">
        <v>366</v>
      </c>
      <c r="C946">
        <v>441.7</v>
      </c>
      <c r="D946">
        <f t="shared" si="28"/>
        <v>25</v>
      </c>
      <c r="E946" t="str">
        <f t="shared" si="29"/>
        <v>25. Israel</v>
      </c>
    </row>
    <row r="947" spans="1:5" x14ac:dyDescent="0.25">
      <c r="A947" t="s">
        <v>93</v>
      </c>
      <c r="B947" t="s">
        <v>366</v>
      </c>
      <c r="C947">
        <v>417.4</v>
      </c>
      <c r="D947">
        <f t="shared" si="28"/>
        <v>26</v>
      </c>
      <c r="E947" t="str">
        <f t="shared" si="29"/>
        <v>26. Haiti</v>
      </c>
    </row>
    <row r="948" spans="1:5" x14ac:dyDescent="0.25">
      <c r="A948" t="s">
        <v>24</v>
      </c>
      <c r="B948" t="s">
        <v>366</v>
      </c>
      <c r="C948">
        <v>383</v>
      </c>
      <c r="D948">
        <f t="shared" si="28"/>
        <v>27</v>
      </c>
      <c r="E948" t="str">
        <f t="shared" si="29"/>
        <v>27. Belgium</v>
      </c>
    </row>
    <row r="949" spans="1:5" x14ac:dyDescent="0.25">
      <c r="A949" t="s">
        <v>160</v>
      </c>
      <c r="B949" t="s">
        <v>366</v>
      </c>
      <c r="C949">
        <v>382.2</v>
      </c>
      <c r="D949">
        <f t="shared" si="28"/>
        <v>28</v>
      </c>
      <c r="E949" t="str">
        <f t="shared" si="29"/>
        <v>28. Philippines</v>
      </c>
    </row>
    <row r="950" spans="1:5" x14ac:dyDescent="0.25">
      <c r="A950" t="s">
        <v>164</v>
      </c>
      <c r="B950" t="s">
        <v>366</v>
      </c>
      <c r="C950">
        <v>363</v>
      </c>
      <c r="D950">
        <f t="shared" si="28"/>
        <v>29</v>
      </c>
      <c r="E950" t="str">
        <f t="shared" si="29"/>
        <v>29. Puerto Rico (US)</v>
      </c>
    </row>
    <row r="951" spans="1:5" x14ac:dyDescent="0.25">
      <c r="A951" t="s">
        <v>121</v>
      </c>
      <c r="B951" t="s">
        <v>366</v>
      </c>
      <c r="C951">
        <v>358.6</v>
      </c>
      <c r="D951">
        <f t="shared" si="28"/>
        <v>30</v>
      </c>
      <c r="E951" t="str">
        <f t="shared" si="29"/>
        <v>30. Sri Lanka</v>
      </c>
    </row>
    <row r="952" spans="1:5" x14ac:dyDescent="0.25">
      <c r="A952" t="s">
        <v>85</v>
      </c>
      <c r="B952" t="s">
        <v>366</v>
      </c>
      <c r="C952">
        <v>343.9</v>
      </c>
      <c r="D952">
        <f t="shared" si="28"/>
        <v>31</v>
      </c>
      <c r="E952" t="str">
        <f t="shared" si="29"/>
        <v>31. Grenada</v>
      </c>
    </row>
    <row r="953" spans="1:5" x14ac:dyDescent="0.25">
      <c r="A953" t="s">
        <v>106</v>
      </c>
      <c r="B953" t="s">
        <v>366</v>
      </c>
      <c r="C953">
        <v>343.3</v>
      </c>
      <c r="D953">
        <f t="shared" si="28"/>
        <v>32</v>
      </c>
      <c r="E953" t="str">
        <f t="shared" si="29"/>
        <v>32. Japan</v>
      </c>
    </row>
    <row r="954" spans="1:5" x14ac:dyDescent="0.25">
      <c r="A954" t="s">
        <v>56</v>
      </c>
      <c r="B954" t="s">
        <v>366</v>
      </c>
      <c r="C954">
        <v>337.8</v>
      </c>
      <c r="D954">
        <f t="shared" si="28"/>
        <v>33</v>
      </c>
      <c r="E954" t="str">
        <f t="shared" si="29"/>
        <v>33. Curacao</v>
      </c>
    </row>
    <row r="955" spans="1:5" x14ac:dyDescent="0.25">
      <c r="A955" t="s">
        <v>204</v>
      </c>
      <c r="B955" t="s">
        <v>366</v>
      </c>
      <c r="C955">
        <v>333.1</v>
      </c>
      <c r="D955">
        <f t="shared" si="28"/>
        <v>34</v>
      </c>
      <c r="E955" t="str">
        <f t="shared" si="29"/>
        <v>34. Tuvalu</v>
      </c>
    </row>
    <row r="956" spans="1:5" x14ac:dyDescent="0.25">
      <c r="A956" t="s">
        <v>213</v>
      </c>
      <c r="B956" t="s">
        <v>366</v>
      </c>
      <c r="C956">
        <v>318</v>
      </c>
      <c r="D956">
        <f t="shared" si="28"/>
        <v>35</v>
      </c>
      <c r="E956" t="str">
        <f t="shared" si="29"/>
        <v>35. Viet Nam</v>
      </c>
    </row>
    <row r="957" spans="1:5" x14ac:dyDescent="0.25">
      <c r="A957" t="s">
        <v>157</v>
      </c>
      <c r="B957" t="s">
        <v>366</v>
      </c>
      <c r="C957">
        <v>316.10000000000002</v>
      </c>
      <c r="D957">
        <f t="shared" si="28"/>
        <v>36</v>
      </c>
      <c r="E957" t="str">
        <f t="shared" si="29"/>
        <v>36. Pakistan</v>
      </c>
    </row>
    <row r="958" spans="1:5" x14ac:dyDescent="0.25">
      <c r="A958" t="s">
        <v>88</v>
      </c>
      <c r="B958" t="s">
        <v>366</v>
      </c>
      <c r="C958">
        <v>305.89999999999998</v>
      </c>
      <c r="D958">
        <f t="shared" si="28"/>
        <v>37</v>
      </c>
      <c r="E958" t="str">
        <f t="shared" si="29"/>
        <v>37. Guam</v>
      </c>
    </row>
    <row r="959" spans="1:5" x14ac:dyDescent="0.25">
      <c r="A959" t="s">
        <v>179</v>
      </c>
      <c r="B959" t="s">
        <v>366</v>
      </c>
      <c r="C959">
        <v>303.10000000000002</v>
      </c>
      <c r="D959">
        <f t="shared" si="28"/>
        <v>38</v>
      </c>
      <c r="E959" t="str">
        <f t="shared" si="29"/>
        <v>38. El Salvador</v>
      </c>
    </row>
    <row r="960" spans="1:5" x14ac:dyDescent="0.25">
      <c r="A960" t="s">
        <v>212</v>
      </c>
      <c r="B960" t="s">
        <v>366</v>
      </c>
      <c r="C960">
        <v>301.2</v>
      </c>
      <c r="D960">
        <f t="shared" si="28"/>
        <v>39</v>
      </c>
      <c r="E960" t="str">
        <f t="shared" si="29"/>
        <v>39. Virgin Islands (U.S.)</v>
      </c>
    </row>
    <row r="961" spans="1:5" x14ac:dyDescent="0.25">
      <c r="A961" t="s">
        <v>57</v>
      </c>
      <c r="B961" t="s">
        <v>366</v>
      </c>
      <c r="C961">
        <v>298.3</v>
      </c>
      <c r="D961">
        <f t="shared" si="28"/>
        <v>40</v>
      </c>
      <c r="E961" t="str">
        <f t="shared" si="29"/>
        <v>40. Cayman Islands</v>
      </c>
    </row>
    <row r="962" spans="1:5" x14ac:dyDescent="0.25">
      <c r="A962" t="s">
        <v>119</v>
      </c>
      <c r="B962" t="s">
        <v>366</v>
      </c>
      <c r="C962">
        <v>293.10000000000002</v>
      </c>
      <c r="D962">
        <f t="shared" si="28"/>
        <v>41</v>
      </c>
      <c r="E962" t="str">
        <f t="shared" si="29"/>
        <v>41. St. Lucia</v>
      </c>
    </row>
    <row r="963" spans="1:5" x14ac:dyDescent="0.25">
      <c r="A963" t="s">
        <v>77</v>
      </c>
      <c r="B963" t="s">
        <v>366</v>
      </c>
      <c r="C963">
        <v>279.39999999999998</v>
      </c>
      <c r="D963">
        <f t="shared" ref="D963:D1026" si="30">IF(ROW() = 2, 1, IF(B963 = B962, D962 + 1, 1))</f>
        <v>42</v>
      </c>
      <c r="E963" t="str">
        <f t="shared" ref="E963:E1026" si="31">_xlfn.CONCAT(D963, ". ", A963)</f>
        <v>42. United Kingdom</v>
      </c>
    </row>
    <row r="964" spans="1:5" x14ac:dyDescent="0.25">
      <c r="A964" t="s">
        <v>201</v>
      </c>
      <c r="B964" t="s">
        <v>366</v>
      </c>
      <c r="C964">
        <v>266.2</v>
      </c>
      <c r="D964">
        <f t="shared" si="30"/>
        <v>43</v>
      </c>
      <c r="E964" t="str">
        <f t="shared" si="31"/>
        <v>43. Trinidad and Tobago</v>
      </c>
    </row>
    <row r="965" spans="1:5" x14ac:dyDescent="0.25">
      <c r="A965" t="s">
        <v>104</v>
      </c>
      <c r="B965" t="s">
        <v>366</v>
      </c>
      <c r="C965">
        <v>262.2</v>
      </c>
      <c r="D965">
        <f t="shared" si="30"/>
        <v>44</v>
      </c>
      <c r="E965" t="str">
        <f t="shared" si="31"/>
        <v>44. Jamaica</v>
      </c>
    </row>
    <row r="966" spans="1:5" x14ac:dyDescent="0.25">
      <c r="A966" t="s">
        <v>211</v>
      </c>
      <c r="B966" t="s">
        <v>366</v>
      </c>
      <c r="C966">
        <v>261.7</v>
      </c>
      <c r="D966">
        <f t="shared" si="30"/>
        <v>45</v>
      </c>
      <c r="E966" t="str">
        <f t="shared" si="31"/>
        <v>45. St. Vincent and the Grenadines</v>
      </c>
    </row>
    <row r="967" spans="1:5" x14ac:dyDescent="0.25">
      <c r="A967" t="s">
        <v>191</v>
      </c>
      <c r="B967" t="s">
        <v>366</v>
      </c>
      <c r="C967">
        <v>260.60000000000002</v>
      </c>
      <c r="D967">
        <f t="shared" si="30"/>
        <v>46</v>
      </c>
      <c r="E967" t="str">
        <f t="shared" si="31"/>
        <v>46. Seychelles</v>
      </c>
    </row>
    <row r="968" spans="1:5" x14ac:dyDescent="0.25">
      <c r="A968" t="s">
        <v>81</v>
      </c>
      <c r="B968" t="s">
        <v>366</v>
      </c>
      <c r="C968">
        <v>260.5</v>
      </c>
      <c r="D968">
        <f t="shared" si="30"/>
        <v>47</v>
      </c>
      <c r="E968" t="str">
        <f t="shared" si="31"/>
        <v>47. Gambia, The</v>
      </c>
    </row>
    <row r="969" spans="1:5" x14ac:dyDescent="0.25">
      <c r="A969" t="s">
        <v>114</v>
      </c>
      <c r="B969" t="s">
        <v>366</v>
      </c>
      <c r="C969">
        <v>257.60000000000002</v>
      </c>
      <c r="D969">
        <f t="shared" si="30"/>
        <v>48</v>
      </c>
      <c r="E969" t="str">
        <f t="shared" si="31"/>
        <v>48. Kuwait</v>
      </c>
    </row>
    <row r="970" spans="1:5" x14ac:dyDescent="0.25">
      <c r="A970" t="s">
        <v>124</v>
      </c>
      <c r="B970" t="s">
        <v>366</v>
      </c>
      <c r="C970">
        <v>253.7</v>
      </c>
      <c r="D970">
        <f t="shared" si="30"/>
        <v>49</v>
      </c>
      <c r="E970" t="str">
        <f t="shared" si="31"/>
        <v>49. Luxembourg</v>
      </c>
    </row>
    <row r="971" spans="1:5" x14ac:dyDescent="0.25">
      <c r="A971" t="s">
        <v>120</v>
      </c>
      <c r="B971" t="s">
        <v>366</v>
      </c>
      <c r="C971">
        <v>246.8</v>
      </c>
      <c r="D971">
        <f t="shared" si="30"/>
        <v>50</v>
      </c>
      <c r="E971" t="str">
        <f t="shared" si="31"/>
        <v>50. Liechtenstein</v>
      </c>
    </row>
    <row r="972" spans="1:5" x14ac:dyDescent="0.25">
      <c r="A972" t="s">
        <v>149</v>
      </c>
      <c r="B972" t="s">
        <v>366</v>
      </c>
      <c r="C972">
        <v>245</v>
      </c>
      <c r="D972">
        <f t="shared" si="30"/>
        <v>51</v>
      </c>
      <c r="E972" t="str">
        <f t="shared" si="31"/>
        <v>51. Nigeria</v>
      </c>
    </row>
    <row r="973" spans="1:5" x14ac:dyDescent="0.25">
      <c r="A973" t="s">
        <v>18</v>
      </c>
      <c r="B973" t="s">
        <v>366</v>
      </c>
      <c r="C973">
        <v>241.7</v>
      </c>
      <c r="D973">
        <f t="shared" si="30"/>
        <v>52</v>
      </c>
      <c r="E973" t="str">
        <f t="shared" si="31"/>
        <v>52. American Samoa</v>
      </c>
    </row>
    <row r="974" spans="1:5" x14ac:dyDescent="0.25">
      <c r="A974" t="s">
        <v>60</v>
      </c>
      <c r="B974" t="s">
        <v>366</v>
      </c>
      <c r="C974">
        <v>239.9</v>
      </c>
      <c r="D974">
        <f t="shared" si="30"/>
        <v>53</v>
      </c>
      <c r="E974" t="str">
        <f t="shared" si="31"/>
        <v>53. Germany</v>
      </c>
    </row>
    <row r="975" spans="1:5" x14ac:dyDescent="0.25">
      <c r="A975" t="s">
        <v>206</v>
      </c>
      <c r="B975" t="s">
        <v>366</v>
      </c>
      <c r="C975">
        <v>236</v>
      </c>
      <c r="D975">
        <f t="shared" si="30"/>
        <v>54</v>
      </c>
      <c r="E975" t="str">
        <f t="shared" si="31"/>
        <v>54. Uganda</v>
      </c>
    </row>
    <row r="976" spans="1:5" x14ac:dyDescent="0.25">
      <c r="A976" t="s">
        <v>184</v>
      </c>
      <c r="B976" t="s">
        <v>366</v>
      </c>
      <c r="C976">
        <v>235.7</v>
      </c>
      <c r="D976">
        <f t="shared" si="30"/>
        <v>55</v>
      </c>
      <c r="E976" t="str">
        <f t="shared" si="31"/>
        <v>55. Sao Tome and Principe</v>
      </c>
    </row>
    <row r="977" spans="1:5" x14ac:dyDescent="0.25">
      <c r="A977" t="s">
        <v>64</v>
      </c>
      <c r="B977" t="s">
        <v>366</v>
      </c>
      <c r="C977">
        <v>233</v>
      </c>
      <c r="D977">
        <f t="shared" si="30"/>
        <v>56</v>
      </c>
      <c r="E977" t="str">
        <f t="shared" si="31"/>
        <v>56. Dominican Republic</v>
      </c>
    </row>
    <row r="978" spans="1:5" x14ac:dyDescent="0.25">
      <c r="A978" t="s">
        <v>169</v>
      </c>
      <c r="B978" t="s">
        <v>366</v>
      </c>
      <c r="C978">
        <v>231.3</v>
      </c>
      <c r="D978">
        <f t="shared" si="30"/>
        <v>57</v>
      </c>
      <c r="E978" t="str">
        <f t="shared" si="31"/>
        <v>57. Qatar</v>
      </c>
    </row>
    <row r="979" spans="1:5" x14ac:dyDescent="0.25">
      <c r="A979" t="s">
        <v>133</v>
      </c>
      <c r="B979" t="s">
        <v>366</v>
      </c>
      <c r="C979">
        <v>222.7</v>
      </c>
      <c r="D979">
        <f t="shared" si="30"/>
        <v>58</v>
      </c>
      <c r="E979" t="str">
        <f t="shared" si="31"/>
        <v>58. Marshall Islands</v>
      </c>
    </row>
    <row r="980" spans="1:5" x14ac:dyDescent="0.25">
      <c r="A980" t="s">
        <v>43</v>
      </c>
      <c r="B980" t="s">
        <v>366</v>
      </c>
      <c r="C980">
        <v>222.2</v>
      </c>
      <c r="D980">
        <f t="shared" si="30"/>
        <v>59</v>
      </c>
      <c r="E980" t="str">
        <f t="shared" si="31"/>
        <v>59. Switzerland</v>
      </c>
    </row>
    <row r="981" spans="1:5" x14ac:dyDescent="0.25">
      <c r="A981" t="s">
        <v>144</v>
      </c>
      <c r="B981" t="s">
        <v>366</v>
      </c>
      <c r="C981">
        <v>218.2</v>
      </c>
      <c r="D981">
        <f t="shared" si="30"/>
        <v>60</v>
      </c>
      <c r="E981" t="str">
        <f t="shared" si="31"/>
        <v>60. Malawi</v>
      </c>
    </row>
    <row r="982" spans="1:5" x14ac:dyDescent="0.25">
      <c r="A982" t="s">
        <v>19</v>
      </c>
      <c r="B982" t="s">
        <v>366</v>
      </c>
      <c r="C982">
        <v>211</v>
      </c>
      <c r="D982">
        <f t="shared" si="30"/>
        <v>61</v>
      </c>
      <c r="E982" t="str">
        <f t="shared" si="31"/>
        <v>61. Antigua and Barbuda</v>
      </c>
    </row>
    <row r="983" spans="1:5" x14ac:dyDescent="0.25">
      <c r="A983" t="s">
        <v>153</v>
      </c>
      <c r="B983" t="s">
        <v>366</v>
      </c>
      <c r="C983">
        <v>207.3</v>
      </c>
      <c r="D983">
        <f t="shared" si="30"/>
        <v>62</v>
      </c>
      <c r="E983" t="str">
        <f t="shared" si="31"/>
        <v>62. Nepal</v>
      </c>
    </row>
    <row r="984" spans="1:5" x14ac:dyDescent="0.25">
      <c r="A984" t="s">
        <v>103</v>
      </c>
      <c r="B984" t="s">
        <v>366</v>
      </c>
      <c r="C984">
        <v>199.6</v>
      </c>
      <c r="D984">
        <f t="shared" si="30"/>
        <v>63</v>
      </c>
      <c r="E984" t="str">
        <f t="shared" si="31"/>
        <v>63. Italy</v>
      </c>
    </row>
    <row r="985" spans="1:5" x14ac:dyDescent="0.25">
      <c r="A985" t="s">
        <v>112</v>
      </c>
      <c r="B985" t="s">
        <v>366</v>
      </c>
      <c r="C985">
        <v>179.7</v>
      </c>
      <c r="D985">
        <f t="shared" si="30"/>
        <v>64</v>
      </c>
      <c r="E985" t="str">
        <f t="shared" si="31"/>
        <v>64. St. Kitts and Nevis</v>
      </c>
    </row>
    <row r="986" spans="1:5" x14ac:dyDescent="0.25">
      <c r="A986" t="s">
        <v>14</v>
      </c>
      <c r="B986" t="s">
        <v>366</v>
      </c>
      <c r="C986">
        <v>169.6</v>
      </c>
      <c r="D986">
        <f t="shared" si="30"/>
        <v>65</v>
      </c>
      <c r="E986" t="str">
        <f t="shared" si="31"/>
        <v>65. Andorra</v>
      </c>
    </row>
    <row r="987" spans="1:5" x14ac:dyDescent="0.25">
      <c r="A987" t="s">
        <v>195</v>
      </c>
      <c r="B987" t="s">
        <v>366</v>
      </c>
      <c r="C987">
        <v>167.1</v>
      </c>
      <c r="D987">
        <f t="shared" si="30"/>
        <v>66</v>
      </c>
      <c r="E987" t="str">
        <f t="shared" si="31"/>
        <v>66. Togo</v>
      </c>
    </row>
    <row r="988" spans="1:5" x14ac:dyDescent="0.25">
      <c r="A988" t="s">
        <v>87</v>
      </c>
      <c r="B988" t="s">
        <v>366</v>
      </c>
      <c r="C988">
        <v>166.6</v>
      </c>
      <c r="D988">
        <f t="shared" si="30"/>
        <v>67</v>
      </c>
      <c r="E988" t="str">
        <f t="shared" si="31"/>
        <v>67. Guatemala</v>
      </c>
    </row>
    <row r="989" spans="1:5" x14ac:dyDescent="0.25">
      <c r="A989" t="s">
        <v>111</v>
      </c>
      <c r="B989" t="s">
        <v>366</v>
      </c>
      <c r="C989">
        <v>161.1</v>
      </c>
      <c r="D989">
        <f t="shared" si="30"/>
        <v>68</v>
      </c>
      <c r="E989" t="str">
        <f t="shared" si="31"/>
        <v>68. Kiribati</v>
      </c>
    </row>
    <row r="990" spans="1:5" x14ac:dyDescent="0.25">
      <c r="A990" t="s">
        <v>75</v>
      </c>
      <c r="B990" t="s">
        <v>366</v>
      </c>
      <c r="C990">
        <v>160.19999999999999</v>
      </c>
      <c r="D990">
        <f t="shared" si="30"/>
        <v>69</v>
      </c>
      <c r="E990" t="str">
        <f t="shared" si="31"/>
        <v>69. Micronesia, Fed. Sts.</v>
      </c>
    </row>
    <row r="991" spans="1:5" x14ac:dyDescent="0.25">
      <c r="A991" t="s">
        <v>46</v>
      </c>
      <c r="B991" t="s">
        <v>366</v>
      </c>
      <c r="C991">
        <v>150.4</v>
      </c>
      <c r="D991">
        <f t="shared" si="30"/>
        <v>70</v>
      </c>
      <c r="E991" t="str">
        <f t="shared" si="31"/>
        <v>70. China</v>
      </c>
    </row>
    <row r="992" spans="1:5" x14ac:dyDescent="0.25">
      <c r="A992" t="s">
        <v>63</v>
      </c>
      <c r="B992" t="s">
        <v>366</v>
      </c>
      <c r="C992">
        <v>147.6</v>
      </c>
      <c r="D992">
        <f t="shared" si="30"/>
        <v>71</v>
      </c>
      <c r="E992" t="str">
        <f t="shared" si="31"/>
        <v>71. Denmark</v>
      </c>
    </row>
    <row r="993" spans="1:5" x14ac:dyDescent="0.25">
      <c r="A993" t="s">
        <v>96</v>
      </c>
      <c r="B993" t="s">
        <v>366</v>
      </c>
      <c r="C993">
        <v>147.6</v>
      </c>
      <c r="D993">
        <f t="shared" si="30"/>
        <v>72</v>
      </c>
      <c r="E993" t="str">
        <f t="shared" si="31"/>
        <v>72. Isle of Man</v>
      </c>
    </row>
    <row r="994" spans="1:5" x14ac:dyDescent="0.25">
      <c r="A994" t="s">
        <v>95</v>
      </c>
      <c r="B994" t="s">
        <v>366</v>
      </c>
      <c r="C994">
        <v>147.30000000000001</v>
      </c>
      <c r="D994">
        <f t="shared" si="30"/>
        <v>73</v>
      </c>
      <c r="E994" t="str">
        <f t="shared" si="31"/>
        <v>73. Indonesia</v>
      </c>
    </row>
    <row r="995" spans="1:5" x14ac:dyDescent="0.25">
      <c r="A995" t="s">
        <v>200</v>
      </c>
      <c r="B995" t="s">
        <v>366</v>
      </c>
      <c r="C995">
        <v>145.9</v>
      </c>
      <c r="D995">
        <f t="shared" si="30"/>
        <v>74</v>
      </c>
      <c r="E995" t="str">
        <f t="shared" si="31"/>
        <v>74. Tonga</v>
      </c>
    </row>
    <row r="996" spans="1:5" x14ac:dyDescent="0.25">
      <c r="A996" t="s">
        <v>79</v>
      </c>
      <c r="B996" t="s">
        <v>366</v>
      </c>
      <c r="C996">
        <v>145.69999999999999</v>
      </c>
      <c r="D996">
        <f t="shared" si="30"/>
        <v>75</v>
      </c>
      <c r="E996" t="str">
        <f t="shared" si="31"/>
        <v>75. Ghana</v>
      </c>
    </row>
    <row r="997" spans="1:5" x14ac:dyDescent="0.25">
      <c r="A997" t="s">
        <v>58</v>
      </c>
      <c r="B997" t="s">
        <v>366</v>
      </c>
      <c r="C997">
        <v>144.1</v>
      </c>
      <c r="D997">
        <f t="shared" si="30"/>
        <v>76</v>
      </c>
      <c r="E997" t="str">
        <f t="shared" si="31"/>
        <v>76. Cyprus</v>
      </c>
    </row>
    <row r="998" spans="1:5" x14ac:dyDescent="0.25">
      <c r="A998" t="s">
        <v>15</v>
      </c>
      <c r="B998" t="s">
        <v>366</v>
      </c>
      <c r="C998">
        <v>141.9</v>
      </c>
      <c r="D998">
        <f t="shared" si="30"/>
        <v>77</v>
      </c>
      <c r="E998" t="str">
        <f t="shared" si="31"/>
        <v>77. United Arab Emirates</v>
      </c>
    </row>
    <row r="999" spans="1:5" x14ac:dyDescent="0.25">
      <c r="A999" t="s">
        <v>196</v>
      </c>
      <c r="B999" t="s">
        <v>366</v>
      </c>
      <c r="C999">
        <v>140.4</v>
      </c>
      <c r="D999">
        <f t="shared" si="30"/>
        <v>78</v>
      </c>
      <c r="E999" t="str">
        <f t="shared" si="31"/>
        <v>78. Thailand</v>
      </c>
    </row>
    <row r="1000" spans="1:5" x14ac:dyDescent="0.25">
      <c r="A1000" t="s">
        <v>59</v>
      </c>
      <c r="B1000" t="s">
        <v>366</v>
      </c>
      <c r="C1000">
        <v>138.30000000000001</v>
      </c>
      <c r="D1000">
        <f t="shared" si="30"/>
        <v>79</v>
      </c>
      <c r="E1000" t="str">
        <f t="shared" si="31"/>
        <v>79. Czechia</v>
      </c>
    </row>
    <row r="1001" spans="1:5" x14ac:dyDescent="0.25">
      <c r="A1001" t="s">
        <v>53</v>
      </c>
      <c r="B1001" t="s">
        <v>366</v>
      </c>
      <c r="C1001">
        <v>129</v>
      </c>
      <c r="D1001">
        <f t="shared" si="30"/>
        <v>80</v>
      </c>
      <c r="E1001" t="str">
        <f t="shared" si="31"/>
        <v>80. Cabo Verde</v>
      </c>
    </row>
    <row r="1002" spans="1:5" x14ac:dyDescent="0.25">
      <c r="A1002" t="s">
        <v>105</v>
      </c>
      <c r="B1002" t="s">
        <v>366</v>
      </c>
      <c r="C1002">
        <v>126.8</v>
      </c>
      <c r="D1002">
        <f t="shared" si="30"/>
        <v>81</v>
      </c>
      <c r="E1002" t="str">
        <f t="shared" si="31"/>
        <v>81. Jordan</v>
      </c>
    </row>
    <row r="1003" spans="1:5" x14ac:dyDescent="0.25">
      <c r="A1003" t="s">
        <v>73</v>
      </c>
      <c r="B1003" t="s">
        <v>366</v>
      </c>
      <c r="C1003">
        <v>126.3</v>
      </c>
      <c r="D1003">
        <f t="shared" si="30"/>
        <v>82</v>
      </c>
      <c r="E1003" t="str">
        <f t="shared" si="31"/>
        <v>82. France</v>
      </c>
    </row>
    <row r="1004" spans="1:5" x14ac:dyDescent="0.25">
      <c r="A1004" t="s">
        <v>22</v>
      </c>
      <c r="B1004" t="s">
        <v>366</v>
      </c>
      <c r="C1004">
        <v>122.7</v>
      </c>
      <c r="D1004">
        <f t="shared" si="30"/>
        <v>83</v>
      </c>
      <c r="E1004" t="str">
        <f t="shared" si="31"/>
        <v>83. Azerbaijan</v>
      </c>
    </row>
    <row r="1005" spans="1:5" x14ac:dyDescent="0.25">
      <c r="A1005" t="s">
        <v>192</v>
      </c>
      <c r="B1005" t="s">
        <v>366</v>
      </c>
      <c r="C1005">
        <v>122.3</v>
      </c>
      <c r="D1005">
        <f t="shared" si="30"/>
        <v>84</v>
      </c>
      <c r="E1005" t="str">
        <f t="shared" si="31"/>
        <v>84. Syrian Arab Republic</v>
      </c>
    </row>
    <row r="1006" spans="1:5" x14ac:dyDescent="0.25">
      <c r="A1006" t="s">
        <v>25</v>
      </c>
      <c r="B1006" t="s">
        <v>366</v>
      </c>
      <c r="C1006">
        <v>122</v>
      </c>
      <c r="D1006">
        <f t="shared" si="30"/>
        <v>85</v>
      </c>
      <c r="E1006" t="str">
        <f t="shared" si="31"/>
        <v>85. Benin</v>
      </c>
    </row>
    <row r="1007" spans="1:5" x14ac:dyDescent="0.25">
      <c r="A1007" t="s">
        <v>163</v>
      </c>
      <c r="B1007" t="s">
        <v>366</v>
      </c>
      <c r="C1007">
        <v>120.3</v>
      </c>
      <c r="D1007">
        <f t="shared" si="30"/>
        <v>86</v>
      </c>
      <c r="E1007" t="str">
        <f t="shared" si="31"/>
        <v>86. Poland</v>
      </c>
    </row>
    <row r="1008" spans="1:5" x14ac:dyDescent="0.25">
      <c r="A1008" t="s">
        <v>178</v>
      </c>
      <c r="B1008" t="s">
        <v>366</v>
      </c>
      <c r="C1008">
        <v>114.7</v>
      </c>
      <c r="D1008">
        <f t="shared" si="30"/>
        <v>87</v>
      </c>
      <c r="E1008" t="str">
        <f t="shared" si="31"/>
        <v>87. Sierra Leone</v>
      </c>
    </row>
    <row r="1009" spans="1:5" x14ac:dyDescent="0.25">
      <c r="A1009" t="s">
        <v>165</v>
      </c>
      <c r="B1009" t="s">
        <v>366</v>
      </c>
      <c r="C1009">
        <v>113.9</v>
      </c>
      <c r="D1009">
        <f t="shared" si="30"/>
        <v>88</v>
      </c>
      <c r="E1009" t="str">
        <f t="shared" si="31"/>
        <v>88. Portugal</v>
      </c>
    </row>
    <row r="1010" spans="1:5" x14ac:dyDescent="0.25">
      <c r="A1010" t="s">
        <v>67</v>
      </c>
      <c r="B1010" t="s">
        <v>366</v>
      </c>
      <c r="C1010">
        <v>113.1</v>
      </c>
      <c r="D1010">
        <f t="shared" si="30"/>
        <v>89</v>
      </c>
      <c r="E1010" t="str">
        <f t="shared" si="31"/>
        <v>89. Egypt, Arab Rep.</v>
      </c>
    </row>
    <row r="1011" spans="1:5" x14ac:dyDescent="0.25">
      <c r="A1011" t="s">
        <v>186</v>
      </c>
      <c r="B1011" t="s">
        <v>366</v>
      </c>
      <c r="C1011">
        <v>113</v>
      </c>
      <c r="D1011">
        <f t="shared" si="30"/>
        <v>90</v>
      </c>
      <c r="E1011" t="str">
        <f t="shared" si="31"/>
        <v>90. Slovak Republic</v>
      </c>
    </row>
    <row r="1012" spans="1:5" x14ac:dyDescent="0.25">
      <c r="A1012" t="s">
        <v>70</v>
      </c>
      <c r="B1012" t="s">
        <v>366</v>
      </c>
      <c r="C1012">
        <v>111.1</v>
      </c>
      <c r="D1012">
        <f t="shared" si="30"/>
        <v>91</v>
      </c>
      <c r="E1012" t="str">
        <f t="shared" si="31"/>
        <v>91. Ethiopia</v>
      </c>
    </row>
    <row r="1013" spans="1:5" x14ac:dyDescent="0.25">
      <c r="A1013" t="s">
        <v>203</v>
      </c>
      <c r="B1013" t="s">
        <v>366</v>
      </c>
      <c r="C1013">
        <v>110.4</v>
      </c>
      <c r="D1013">
        <f t="shared" si="30"/>
        <v>92</v>
      </c>
      <c r="E1013" t="str">
        <f t="shared" si="31"/>
        <v>92. Turkiye</v>
      </c>
    </row>
    <row r="1014" spans="1:5" x14ac:dyDescent="0.25">
      <c r="A1014" t="s">
        <v>21</v>
      </c>
      <c r="B1014" t="s">
        <v>366</v>
      </c>
      <c r="C1014">
        <v>109.6</v>
      </c>
      <c r="D1014">
        <f t="shared" si="30"/>
        <v>93</v>
      </c>
      <c r="E1014" t="str">
        <f t="shared" si="31"/>
        <v>93. Austria</v>
      </c>
    </row>
    <row r="1015" spans="1:5" x14ac:dyDescent="0.25">
      <c r="A1015" t="s">
        <v>55</v>
      </c>
      <c r="B1015" t="s">
        <v>366</v>
      </c>
      <c r="C1015">
        <v>106.5</v>
      </c>
      <c r="D1015">
        <f t="shared" si="30"/>
        <v>94</v>
      </c>
      <c r="E1015" t="str">
        <f t="shared" si="31"/>
        <v>94. Cuba</v>
      </c>
    </row>
    <row r="1016" spans="1:5" x14ac:dyDescent="0.25">
      <c r="A1016" t="s">
        <v>145</v>
      </c>
      <c r="B1016" t="s">
        <v>366</v>
      </c>
      <c r="C1016">
        <v>105.6</v>
      </c>
      <c r="D1016">
        <f t="shared" si="30"/>
        <v>95</v>
      </c>
      <c r="E1016" t="str">
        <f t="shared" si="31"/>
        <v>95. Malaysia</v>
      </c>
    </row>
    <row r="1017" spans="1:5" x14ac:dyDescent="0.25">
      <c r="A1017" t="s">
        <v>17</v>
      </c>
      <c r="B1017" t="s">
        <v>366</v>
      </c>
      <c r="C1017">
        <v>105.3</v>
      </c>
      <c r="D1017">
        <f t="shared" si="30"/>
        <v>96</v>
      </c>
      <c r="E1017" t="str">
        <f t="shared" si="31"/>
        <v>96. Armenia</v>
      </c>
    </row>
    <row r="1018" spans="1:5" x14ac:dyDescent="0.25">
      <c r="A1018" t="s">
        <v>94</v>
      </c>
      <c r="B1018" t="s">
        <v>366</v>
      </c>
      <c r="C1018">
        <v>105.2</v>
      </c>
      <c r="D1018">
        <f t="shared" si="30"/>
        <v>97</v>
      </c>
      <c r="E1018" t="str">
        <f t="shared" si="31"/>
        <v>97. Hungary</v>
      </c>
    </row>
    <row r="1019" spans="1:5" x14ac:dyDescent="0.25">
      <c r="A1019" t="s">
        <v>187</v>
      </c>
      <c r="B1019" t="s">
        <v>366</v>
      </c>
      <c r="C1019">
        <v>104.9</v>
      </c>
      <c r="D1019">
        <f t="shared" si="30"/>
        <v>98</v>
      </c>
      <c r="E1019" t="str">
        <f t="shared" si="31"/>
        <v>98. Slovenia</v>
      </c>
    </row>
    <row r="1020" spans="1:5" x14ac:dyDescent="0.25">
      <c r="A1020" t="s">
        <v>100</v>
      </c>
      <c r="B1020" t="s">
        <v>366</v>
      </c>
      <c r="C1020">
        <v>101.5</v>
      </c>
      <c r="D1020">
        <f t="shared" si="30"/>
        <v>99</v>
      </c>
      <c r="E1020" t="str">
        <f t="shared" si="31"/>
        <v>99. Iraq</v>
      </c>
    </row>
    <row r="1021" spans="1:5" x14ac:dyDescent="0.25">
      <c r="A1021" t="s">
        <v>13</v>
      </c>
      <c r="B1021" t="s">
        <v>366</v>
      </c>
      <c r="C1021">
        <v>101.4</v>
      </c>
      <c r="D1021">
        <f t="shared" si="30"/>
        <v>100</v>
      </c>
      <c r="E1021" t="str">
        <f t="shared" si="31"/>
        <v>100. Albania</v>
      </c>
    </row>
    <row r="1022" spans="1:5" x14ac:dyDescent="0.25">
      <c r="A1022" t="s">
        <v>140</v>
      </c>
      <c r="B1022" t="s">
        <v>366</v>
      </c>
      <c r="C1022">
        <v>100.2</v>
      </c>
      <c r="D1022">
        <f t="shared" si="30"/>
        <v>101</v>
      </c>
      <c r="E1022" t="str">
        <f t="shared" si="31"/>
        <v>101. Northern Mariana Islands</v>
      </c>
    </row>
    <row r="1023" spans="1:5" x14ac:dyDescent="0.25">
      <c r="A1023" t="s">
        <v>54</v>
      </c>
      <c r="B1023" t="s">
        <v>366</v>
      </c>
      <c r="C1023">
        <v>99.5</v>
      </c>
      <c r="D1023">
        <f t="shared" si="30"/>
        <v>102</v>
      </c>
      <c r="E1023" t="str">
        <f t="shared" si="31"/>
        <v>102. Costa Rica</v>
      </c>
    </row>
    <row r="1024" spans="1:5" x14ac:dyDescent="0.25">
      <c r="A1024" t="s">
        <v>110</v>
      </c>
      <c r="B1024" t="s">
        <v>366</v>
      </c>
      <c r="C1024">
        <v>97.4</v>
      </c>
      <c r="D1024">
        <f t="shared" si="30"/>
        <v>103</v>
      </c>
      <c r="E1024" t="str">
        <f t="shared" si="31"/>
        <v>103. Cambodia</v>
      </c>
    </row>
    <row r="1025" spans="1:5" x14ac:dyDescent="0.25">
      <c r="A1025" t="s">
        <v>47</v>
      </c>
      <c r="B1025" t="s">
        <v>366</v>
      </c>
      <c r="C1025">
        <v>95.6</v>
      </c>
      <c r="D1025">
        <f t="shared" si="30"/>
        <v>104</v>
      </c>
      <c r="E1025" t="str">
        <f t="shared" si="31"/>
        <v>104. Cote d'Ivoire</v>
      </c>
    </row>
    <row r="1026" spans="1:5" x14ac:dyDescent="0.25">
      <c r="A1026" t="s">
        <v>68</v>
      </c>
      <c r="B1026" t="s">
        <v>366</v>
      </c>
      <c r="C1026">
        <v>95.6</v>
      </c>
      <c r="D1026">
        <f t="shared" si="30"/>
        <v>105</v>
      </c>
      <c r="E1026" t="str">
        <f t="shared" si="31"/>
        <v>105. Spain</v>
      </c>
    </row>
    <row r="1027" spans="1:5" x14ac:dyDescent="0.25">
      <c r="A1027" t="s">
        <v>91</v>
      </c>
      <c r="B1027" t="s">
        <v>366</v>
      </c>
      <c r="C1027">
        <v>93.5</v>
      </c>
      <c r="D1027">
        <f t="shared" ref="D1027:D1090" si="32">IF(ROW() = 2, 1, IF(B1027 = B1026, D1026 + 1, 1))</f>
        <v>106</v>
      </c>
      <c r="E1027" t="str">
        <f t="shared" ref="E1027:E1090" si="33">_xlfn.CONCAT(D1027, ". ", A1027)</f>
        <v>106. Honduras</v>
      </c>
    </row>
    <row r="1028" spans="1:5" x14ac:dyDescent="0.25">
      <c r="A1028" t="s">
        <v>108</v>
      </c>
      <c r="B1028" t="s">
        <v>366</v>
      </c>
      <c r="C1028">
        <v>93.4</v>
      </c>
      <c r="D1028">
        <f t="shared" si="32"/>
        <v>107</v>
      </c>
      <c r="E1028" t="str">
        <f t="shared" si="33"/>
        <v>107. Kenya</v>
      </c>
    </row>
    <row r="1029" spans="1:5" x14ac:dyDescent="0.25">
      <c r="A1029" t="s">
        <v>199</v>
      </c>
      <c r="B1029" t="s">
        <v>366</v>
      </c>
      <c r="C1029">
        <v>92.1</v>
      </c>
      <c r="D1029">
        <f t="shared" si="32"/>
        <v>108</v>
      </c>
      <c r="E1029" t="str">
        <f t="shared" si="33"/>
        <v>108. Timor-Leste</v>
      </c>
    </row>
    <row r="1030" spans="1:5" x14ac:dyDescent="0.25">
      <c r="A1030" t="s">
        <v>175</v>
      </c>
      <c r="B1030" t="s">
        <v>366</v>
      </c>
      <c r="C1030">
        <v>91.7</v>
      </c>
      <c r="D1030">
        <f t="shared" si="32"/>
        <v>109</v>
      </c>
      <c r="E1030" t="str">
        <f t="shared" si="33"/>
        <v>109. Senegal</v>
      </c>
    </row>
    <row r="1031" spans="1:5" x14ac:dyDescent="0.25">
      <c r="A1031" t="s">
        <v>62</v>
      </c>
      <c r="B1031" t="s">
        <v>366</v>
      </c>
      <c r="C1031">
        <v>89.1</v>
      </c>
      <c r="D1031">
        <f t="shared" si="32"/>
        <v>110</v>
      </c>
      <c r="E1031" t="str">
        <f t="shared" si="33"/>
        <v>110. Dominica</v>
      </c>
    </row>
    <row r="1032" spans="1:5" x14ac:dyDescent="0.25">
      <c r="A1032" t="s">
        <v>129</v>
      </c>
      <c r="B1032" t="s">
        <v>366</v>
      </c>
      <c r="C1032">
        <v>88.1</v>
      </c>
      <c r="D1032">
        <f t="shared" si="32"/>
        <v>111</v>
      </c>
      <c r="E1032" t="str">
        <f t="shared" si="33"/>
        <v>111. Moldova</v>
      </c>
    </row>
    <row r="1033" spans="1:5" x14ac:dyDescent="0.25">
      <c r="A1033" t="s">
        <v>38</v>
      </c>
      <c r="B1033" t="s">
        <v>366</v>
      </c>
      <c r="C1033">
        <v>86.4</v>
      </c>
      <c r="D1033">
        <f t="shared" si="32"/>
        <v>112</v>
      </c>
      <c r="E1033" t="str">
        <f t="shared" si="33"/>
        <v>112. Brunei Darussalam</v>
      </c>
    </row>
    <row r="1034" spans="1:5" x14ac:dyDescent="0.25">
      <c r="A1034" t="s">
        <v>127</v>
      </c>
      <c r="B1034" t="s">
        <v>366</v>
      </c>
      <c r="C1034">
        <v>83.6</v>
      </c>
      <c r="D1034">
        <f t="shared" si="32"/>
        <v>113</v>
      </c>
      <c r="E1034" t="str">
        <f t="shared" si="33"/>
        <v>113. Morocco</v>
      </c>
    </row>
    <row r="1035" spans="1:5" x14ac:dyDescent="0.25">
      <c r="A1035" t="s">
        <v>170</v>
      </c>
      <c r="B1035" t="s">
        <v>366</v>
      </c>
      <c r="C1035">
        <v>82.8</v>
      </c>
      <c r="D1035">
        <f t="shared" si="32"/>
        <v>114</v>
      </c>
      <c r="E1035" t="str">
        <f t="shared" si="33"/>
        <v>114. Romania</v>
      </c>
    </row>
    <row r="1036" spans="1:5" x14ac:dyDescent="0.25">
      <c r="A1036" t="s">
        <v>137</v>
      </c>
      <c r="B1036" t="s">
        <v>366</v>
      </c>
      <c r="C1036">
        <v>82.4</v>
      </c>
      <c r="D1036">
        <f t="shared" si="32"/>
        <v>115</v>
      </c>
      <c r="E1036" t="str">
        <f t="shared" si="33"/>
        <v>115. Myanmar</v>
      </c>
    </row>
    <row r="1037" spans="1:5" x14ac:dyDescent="0.25">
      <c r="A1037" t="s">
        <v>26</v>
      </c>
      <c r="B1037" t="s">
        <v>366</v>
      </c>
      <c r="C1037">
        <v>82.3</v>
      </c>
      <c r="D1037">
        <f t="shared" si="32"/>
        <v>116</v>
      </c>
      <c r="E1037" t="str">
        <f t="shared" si="33"/>
        <v>116. Burkina Faso</v>
      </c>
    </row>
    <row r="1038" spans="1:5" x14ac:dyDescent="0.25">
      <c r="A1038" t="s">
        <v>84</v>
      </c>
      <c r="B1038" t="s">
        <v>366</v>
      </c>
      <c r="C1038">
        <v>81</v>
      </c>
      <c r="D1038">
        <f t="shared" si="32"/>
        <v>117</v>
      </c>
      <c r="E1038" t="str">
        <f t="shared" si="33"/>
        <v>117. Greece</v>
      </c>
    </row>
    <row r="1039" spans="1:5" x14ac:dyDescent="0.25">
      <c r="A1039" t="s">
        <v>168</v>
      </c>
      <c r="B1039" t="s">
        <v>366</v>
      </c>
      <c r="C1039">
        <v>80.8</v>
      </c>
      <c r="D1039">
        <f t="shared" si="32"/>
        <v>118</v>
      </c>
      <c r="E1039" t="str">
        <f t="shared" si="33"/>
        <v>118. French Polynesia</v>
      </c>
    </row>
    <row r="1040" spans="1:5" x14ac:dyDescent="0.25">
      <c r="A1040" t="s">
        <v>182</v>
      </c>
      <c r="B1040" t="s">
        <v>366</v>
      </c>
      <c r="C1040">
        <v>79.3</v>
      </c>
      <c r="D1040">
        <f t="shared" si="32"/>
        <v>119</v>
      </c>
      <c r="E1040" t="str">
        <f t="shared" si="33"/>
        <v>119. Serbia</v>
      </c>
    </row>
    <row r="1041" spans="1:5" x14ac:dyDescent="0.25">
      <c r="A1041" t="s">
        <v>210</v>
      </c>
      <c r="B1041" t="s">
        <v>366</v>
      </c>
      <c r="C1041">
        <v>79.3</v>
      </c>
      <c r="D1041">
        <f t="shared" si="32"/>
        <v>120</v>
      </c>
      <c r="E1041" t="str">
        <f t="shared" si="33"/>
        <v>120. Uzbekistan</v>
      </c>
    </row>
    <row r="1042" spans="1:5" x14ac:dyDescent="0.25">
      <c r="A1042" t="s">
        <v>202</v>
      </c>
      <c r="B1042" t="s">
        <v>366</v>
      </c>
      <c r="C1042">
        <v>78</v>
      </c>
      <c r="D1042">
        <f t="shared" si="32"/>
        <v>121</v>
      </c>
      <c r="E1042" t="str">
        <f t="shared" si="33"/>
        <v>121. Tunisia</v>
      </c>
    </row>
    <row r="1043" spans="1:5" x14ac:dyDescent="0.25">
      <c r="A1043" t="s">
        <v>215</v>
      </c>
      <c r="B1043" t="s">
        <v>366</v>
      </c>
      <c r="C1043">
        <v>77.400000000000006</v>
      </c>
      <c r="D1043">
        <f t="shared" si="32"/>
        <v>122</v>
      </c>
      <c r="E1043" t="str">
        <f t="shared" si="33"/>
        <v>122. Samoa</v>
      </c>
    </row>
    <row r="1044" spans="1:5" x14ac:dyDescent="0.25">
      <c r="A1044" t="s">
        <v>98</v>
      </c>
      <c r="B1044" t="s">
        <v>366</v>
      </c>
      <c r="C1044">
        <v>75.7</v>
      </c>
      <c r="D1044">
        <f t="shared" si="32"/>
        <v>123</v>
      </c>
      <c r="E1044" t="str">
        <f t="shared" si="33"/>
        <v>123. Ireland</v>
      </c>
    </row>
    <row r="1045" spans="1:5" x14ac:dyDescent="0.25">
      <c r="A1045" t="s">
        <v>122</v>
      </c>
      <c r="B1045" t="s">
        <v>366</v>
      </c>
      <c r="C1045">
        <v>75.3</v>
      </c>
      <c r="D1045">
        <f t="shared" si="32"/>
        <v>124</v>
      </c>
      <c r="E1045" t="str">
        <f t="shared" si="33"/>
        <v>124. Lesotho</v>
      </c>
    </row>
    <row r="1046" spans="1:5" x14ac:dyDescent="0.25">
      <c r="A1046" t="s">
        <v>82</v>
      </c>
      <c r="B1046" t="s">
        <v>366</v>
      </c>
      <c r="C1046">
        <v>74.900000000000006</v>
      </c>
      <c r="D1046">
        <f t="shared" si="32"/>
        <v>125</v>
      </c>
      <c r="E1046" t="str">
        <f t="shared" si="33"/>
        <v>125. Guinea-Bissau</v>
      </c>
    </row>
    <row r="1047" spans="1:5" x14ac:dyDescent="0.25">
      <c r="A1047" t="s">
        <v>197</v>
      </c>
      <c r="B1047" t="s">
        <v>366</v>
      </c>
      <c r="C1047">
        <v>73.400000000000006</v>
      </c>
      <c r="D1047">
        <f t="shared" si="32"/>
        <v>126</v>
      </c>
      <c r="E1047" t="str">
        <f t="shared" si="33"/>
        <v>126. Tajikistan</v>
      </c>
    </row>
    <row r="1048" spans="1:5" x14ac:dyDescent="0.25">
      <c r="A1048" t="s">
        <v>205</v>
      </c>
      <c r="B1048" t="s">
        <v>366</v>
      </c>
      <c r="C1048">
        <v>73.099999999999994</v>
      </c>
      <c r="D1048">
        <f t="shared" si="32"/>
        <v>127</v>
      </c>
      <c r="E1048" t="str">
        <f t="shared" si="33"/>
        <v>127. Tanzania</v>
      </c>
    </row>
    <row r="1049" spans="1:5" x14ac:dyDescent="0.25">
      <c r="A1049" t="s">
        <v>134</v>
      </c>
      <c r="B1049" t="s">
        <v>366</v>
      </c>
      <c r="C1049">
        <v>72.599999999999994</v>
      </c>
      <c r="D1049">
        <f t="shared" si="32"/>
        <v>128</v>
      </c>
      <c r="E1049" t="str">
        <f t="shared" si="33"/>
        <v>128. North Macedonia</v>
      </c>
    </row>
    <row r="1050" spans="1:5" x14ac:dyDescent="0.25">
      <c r="A1050" t="s">
        <v>217</v>
      </c>
      <c r="B1050" t="s">
        <v>366</v>
      </c>
      <c r="C1050">
        <v>72.400000000000006</v>
      </c>
      <c r="D1050">
        <f t="shared" si="32"/>
        <v>129</v>
      </c>
      <c r="E1050" t="str">
        <f t="shared" si="33"/>
        <v>129. Yemen, Rep.</v>
      </c>
    </row>
    <row r="1051" spans="1:5" x14ac:dyDescent="0.25">
      <c r="A1051" t="s">
        <v>66</v>
      </c>
      <c r="B1051" t="s">
        <v>366</v>
      </c>
      <c r="C1051">
        <v>71.8</v>
      </c>
      <c r="D1051">
        <f t="shared" si="32"/>
        <v>130</v>
      </c>
      <c r="E1051" t="str">
        <f t="shared" si="33"/>
        <v>130. Ecuador</v>
      </c>
    </row>
    <row r="1052" spans="1:5" x14ac:dyDescent="0.25">
      <c r="A1052" t="s">
        <v>189</v>
      </c>
      <c r="B1052" t="s">
        <v>366</v>
      </c>
      <c r="C1052">
        <v>70.900000000000006</v>
      </c>
      <c r="D1052">
        <f t="shared" si="32"/>
        <v>131</v>
      </c>
      <c r="E1052" t="str">
        <f t="shared" si="33"/>
        <v>131. Eswatini</v>
      </c>
    </row>
    <row r="1053" spans="1:5" x14ac:dyDescent="0.25">
      <c r="A1053" t="s">
        <v>207</v>
      </c>
      <c r="B1053" t="s">
        <v>366</v>
      </c>
      <c r="C1053">
        <v>70.8</v>
      </c>
      <c r="D1053">
        <f t="shared" si="32"/>
        <v>132</v>
      </c>
      <c r="E1053" t="str">
        <f t="shared" si="33"/>
        <v>132. Ukraine</v>
      </c>
    </row>
    <row r="1054" spans="1:5" x14ac:dyDescent="0.25">
      <c r="A1054" t="s">
        <v>92</v>
      </c>
      <c r="B1054" t="s">
        <v>366</v>
      </c>
      <c r="C1054">
        <v>68.900000000000006</v>
      </c>
      <c r="D1054">
        <f t="shared" si="32"/>
        <v>133</v>
      </c>
      <c r="E1054" t="str">
        <f t="shared" si="33"/>
        <v>133. Croatia</v>
      </c>
    </row>
    <row r="1055" spans="1:5" x14ac:dyDescent="0.25">
      <c r="A1055" t="s">
        <v>132</v>
      </c>
      <c r="B1055" t="s">
        <v>366</v>
      </c>
      <c r="C1055">
        <v>66.2</v>
      </c>
      <c r="D1055">
        <f t="shared" si="32"/>
        <v>134</v>
      </c>
      <c r="E1055" t="str">
        <f t="shared" si="33"/>
        <v>134. Mexico</v>
      </c>
    </row>
    <row r="1056" spans="1:5" x14ac:dyDescent="0.25">
      <c r="A1056" t="s">
        <v>78</v>
      </c>
      <c r="B1056" t="s">
        <v>366</v>
      </c>
      <c r="C1056">
        <v>65</v>
      </c>
      <c r="D1056">
        <f t="shared" si="32"/>
        <v>135</v>
      </c>
      <c r="E1056" t="str">
        <f t="shared" si="33"/>
        <v>135. Georgia</v>
      </c>
    </row>
    <row r="1057" spans="1:5" x14ac:dyDescent="0.25">
      <c r="A1057" t="s">
        <v>83</v>
      </c>
      <c r="B1057" t="s">
        <v>366</v>
      </c>
      <c r="C1057">
        <v>64.3</v>
      </c>
      <c r="D1057">
        <f t="shared" si="32"/>
        <v>136</v>
      </c>
      <c r="E1057" t="str">
        <f t="shared" si="33"/>
        <v>136. Equatorial Guinea</v>
      </c>
    </row>
    <row r="1058" spans="1:5" x14ac:dyDescent="0.25">
      <c r="A1058" t="s">
        <v>31</v>
      </c>
      <c r="B1058" t="s">
        <v>366</v>
      </c>
      <c r="C1058">
        <v>62.6</v>
      </c>
      <c r="D1058">
        <f t="shared" si="32"/>
        <v>137</v>
      </c>
      <c r="E1058" t="str">
        <f t="shared" si="33"/>
        <v>137. Bosnia and Herzegovina</v>
      </c>
    </row>
    <row r="1059" spans="1:5" x14ac:dyDescent="0.25">
      <c r="A1059" t="s">
        <v>11</v>
      </c>
      <c r="B1059" t="s">
        <v>366</v>
      </c>
      <c r="C1059">
        <v>62.2</v>
      </c>
      <c r="D1059">
        <f t="shared" si="32"/>
        <v>138</v>
      </c>
      <c r="E1059" t="str">
        <f t="shared" si="33"/>
        <v>138. Afghanistan</v>
      </c>
    </row>
    <row r="1060" spans="1:5" x14ac:dyDescent="0.25">
      <c r="A1060" t="s">
        <v>28</v>
      </c>
      <c r="B1060" t="s">
        <v>366</v>
      </c>
      <c r="C1060">
        <v>59.6</v>
      </c>
      <c r="D1060">
        <f t="shared" si="32"/>
        <v>139</v>
      </c>
      <c r="E1060" t="str">
        <f t="shared" si="33"/>
        <v>139. Bulgaria</v>
      </c>
    </row>
    <row r="1061" spans="1:5" x14ac:dyDescent="0.25">
      <c r="A1061" t="s">
        <v>158</v>
      </c>
      <c r="B1061" t="s">
        <v>366</v>
      </c>
      <c r="C1061">
        <v>59.3</v>
      </c>
      <c r="D1061">
        <f t="shared" si="32"/>
        <v>140</v>
      </c>
      <c r="E1061" t="str">
        <f t="shared" si="33"/>
        <v>140. Panama</v>
      </c>
    </row>
    <row r="1062" spans="1:5" x14ac:dyDescent="0.25">
      <c r="A1062" t="s">
        <v>48</v>
      </c>
      <c r="B1062" t="s">
        <v>366</v>
      </c>
      <c r="C1062">
        <v>58.5</v>
      </c>
      <c r="D1062">
        <f t="shared" si="32"/>
        <v>141</v>
      </c>
      <c r="E1062" t="str">
        <f t="shared" si="33"/>
        <v>141. Cameroon</v>
      </c>
    </row>
    <row r="1063" spans="1:5" x14ac:dyDescent="0.25">
      <c r="A1063" t="s">
        <v>80</v>
      </c>
      <c r="B1063" t="s">
        <v>366</v>
      </c>
      <c r="C1063">
        <v>57.2</v>
      </c>
      <c r="D1063">
        <f t="shared" si="32"/>
        <v>142</v>
      </c>
      <c r="E1063" t="str">
        <f t="shared" si="33"/>
        <v>142. Guinea</v>
      </c>
    </row>
    <row r="1064" spans="1:5" x14ac:dyDescent="0.25">
      <c r="A1064" t="s">
        <v>150</v>
      </c>
      <c r="B1064" t="s">
        <v>366</v>
      </c>
      <c r="C1064">
        <v>55.9</v>
      </c>
      <c r="D1064">
        <f t="shared" si="32"/>
        <v>143</v>
      </c>
      <c r="E1064" t="str">
        <f t="shared" si="33"/>
        <v>143. Nicaragua</v>
      </c>
    </row>
    <row r="1065" spans="1:5" x14ac:dyDescent="0.25">
      <c r="A1065" t="s">
        <v>117</v>
      </c>
      <c r="B1065" t="s">
        <v>366</v>
      </c>
      <c r="C1065">
        <v>55.8</v>
      </c>
      <c r="D1065">
        <f t="shared" si="32"/>
        <v>144</v>
      </c>
      <c r="E1065" t="str">
        <f t="shared" si="33"/>
        <v>144. Liberia</v>
      </c>
    </row>
    <row r="1066" spans="1:5" x14ac:dyDescent="0.25">
      <c r="A1066" t="s">
        <v>99</v>
      </c>
      <c r="B1066" t="s">
        <v>366</v>
      </c>
      <c r="C1066">
        <v>55.2</v>
      </c>
      <c r="D1066">
        <f t="shared" si="32"/>
        <v>145</v>
      </c>
      <c r="E1066" t="str">
        <f t="shared" si="33"/>
        <v>145. Iran, Islamic Rep.</v>
      </c>
    </row>
    <row r="1067" spans="1:5" x14ac:dyDescent="0.25">
      <c r="A1067" t="s">
        <v>130</v>
      </c>
      <c r="B1067" t="s">
        <v>366</v>
      </c>
      <c r="C1067">
        <v>52.3</v>
      </c>
      <c r="D1067">
        <f t="shared" si="32"/>
        <v>146</v>
      </c>
      <c r="E1067" t="str">
        <f t="shared" si="33"/>
        <v>146. Madagascar</v>
      </c>
    </row>
    <row r="1068" spans="1:5" x14ac:dyDescent="0.25">
      <c r="A1068" t="s">
        <v>218</v>
      </c>
      <c r="B1068" t="s">
        <v>366</v>
      </c>
      <c r="C1068">
        <v>51.4</v>
      </c>
      <c r="D1068">
        <f t="shared" si="32"/>
        <v>147</v>
      </c>
      <c r="E1068" t="str">
        <f t="shared" si="33"/>
        <v>147. South Africa</v>
      </c>
    </row>
    <row r="1069" spans="1:5" x14ac:dyDescent="0.25">
      <c r="A1069" t="s">
        <v>72</v>
      </c>
      <c r="B1069" t="s">
        <v>366</v>
      </c>
      <c r="C1069">
        <v>50.3</v>
      </c>
      <c r="D1069">
        <f t="shared" si="32"/>
        <v>148</v>
      </c>
      <c r="E1069" t="str">
        <f t="shared" si="33"/>
        <v>148. Fiji</v>
      </c>
    </row>
    <row r="1070" spans="1:5" x14ac:dyDescent="0.25">
      <c r="A1070" t="s">
        <v>61</v>
      </c>
      <c r="B1070" t="s">
        <v>366</v>
      </c>
      <c r="C1070">
        <v>49.1</v>
      </c>
      <c r="D1070">
        <f t="shared" si="32"/>
        <v>149</v>
      </c>
      <c r="E1070" t="str">
        <f t="shared" si="33"/>
        <v>149. Djibouti</v>
      </c>
    </row>
    <row r="1071" spans="1:5" x14ac:dyDescent="0.25">
      <c r="A1071" t="s">
        <v>193</v>
      </c>
      <c r="B1071" t="s">
        <v>366</v>
      </c>
      <c r="C1071">
        <v>48.3</v>
      </c>
      <c r="D1071">
        <f t="shared" si="32"/>
        <v>150</v>
      </c>
      <c r="E1071" t="str">
        <f t="shared" si="33"/>
        <v>150. Turks and Caicos Islands</v>
      </c>
    </row>
    <row r="1072" spans="1:5" x14ac:dyDescent="0.25">
      <c r="A1072" t="s">
        <v>51</v>
      </c>
      <c r="B1072" t="s">
        <v>366</v>
      </c>
      <c r="C1072">
        <v>46.6</v>
      </c>
      <c r="D1072">
        <f t="shared" si="32"/>
        <v>151</v>
      </c>
      <c r="E1072" t="str">
        <f t="shared" si="33"/>
        <v>151. Colombia</v>
      </c>
    </row>
    <row r="1073" spans="1:5" x14ac:dyDescent="0.25">
      <c r="A1073" t="s">
        <v>138</v>
      </c>
      <c r="B1073" t="s">
        <v>366</v>
      </c>
      <c r="C1073">
        <v>46.4</v>
      </c>
      <c r="D1073">
        <f t="shared" si="32"/>
        <v>152</v>
      </c>
      <c r="E1073" t="str">
        <f t="shared" si="33"/>
        <v>152. Montenegro</v>
      </c>
    </row>
    <row r="1074" spans="1:5" x14ac:dyDescent="0.25">
      <c r="A1074" t="s">
        <v>32</v>
      </c>
      <c r="B1074" t="s">
        <v>366</v>
      </c>
      <c r="C1074">
        <v>45.5</v>
      </c>
      <c r="D1074">
        <f t="shared" si="32"/>
        <v>153</v>
      </c>
      <c r="E1074" t="str">
        <f t="shared" si="33"/>
        <v>153. Belarus</v>
      </c>
    </row>
    <row r="1075" spans="1:5" x14ac:dyDescent="0.25">
      <c r="A1075" t="s">
        <v>49</v>
      </c>
      <c r="B1075" t="s">
        <v>366</v>
      </c>
      <c r="C1075">
        <v>45.2</v>
      </c>
      <c r="D1075">
        <f t="shared" si="32"/>
        <v>154</v>
      </c>
      <c r="E1075" t="str">
        <f t="shared" si="33"/>
        <v>154. Congo, Dem. Rep.</v>
      </c>
    </row>
    <row r="1076" spans="1:5" x14ac:dyDescent="0.25">
      <c r="A1076" t="s">
        <v>123</v>
      </c>
      <c r="B1076" t="s">
        <v>366</v>
      </c>
      <c r="C1076">
        <v>45.2</v>
      </c>
      <c r="D1076">
        <f t="shared" si="32"/>
        <v>155</v>
      </c>
      <c r="E1076" t="str">
        <f t="shared" si="33"/>
        <v>155. Lithuania</v>
      </c>
    </row>
    <row r="1077" spans="1:5" x14ac:dyDescent="0.25">
      <c r="A1077" t="s">
        <v>141</v>
      </c>
      <c r="B1077" t="s">
        <v>366</v>
      </c>
      <c r="C1077">
        <v>41.5</v>
      </c>
      <c r="D1077">
        <f t="shared" si="32"/>
        <v>156</v>
      </c>
      <c r="E1077" t="str">
        <f t="shared" si="33"/>
        <v>156. Mozambique</v>
      </c>
    </row>
    <row r="1078" spans="1:5" x14ac:dyDescent="0.25">
      <c r="A1078" t="s">
        <v>220</v>
      </c>
      <c r="B1078" t="s">
        <v>366</v>
      </c>
      <c r="C1078">
        <v>41.5</v>
      </c>
      <c r="D1078">
        <f t="shared" si="32"/>
        <v>157</v>
      </c>
      <c r="E1078" t="str">
        <f t="shared" si="33"/>
        <v>157. Zimbabwe</v>
      </c>
    </row>
    <row r="1079" spans="1:5" x14ac:dyDescent="0.25">
      <c r="A1079" t="s">
        <v>30</v>
      </c>
      <c r="B1079" t="s">
        <v>366</v>
      </c>
      <c r="C1079">
        <v>39.700000000000003</v>
      </c>
      <c r="D1079">
        <f t="shared" si="32"/>
        <v>158</v>
      </c>
      <c r="E1079" t="str">
        <f t="shared" si="33"/>
        <v>158. Bahamas, The</v>
      </c>
    </row>
    <row r="1080" spans="1:5" x14ac:dyDescent="0.25">
      <c r="A1080" t="s">
        <v>74</v>
      </c>
      <c r="B1080" t="s">
        <v>366</v>
      </c>
      <c r="C1080">
        <v>39.4</v>
      </c>
      <c r="D1080">
        <f t="shared" si="32"/>
        <v>159</v>
      </c>
      <c r="E1080" t="str">
        <f t="shared" si="33"/>
        <v>159. Faroe Islands</v>
      </c>
    </row>
    <row r="1081" spans="1:5" x14ac:dyDescent="0.25">
      <c r="A1081" t="s">
        <v>161</v>
      </c>
      <c r="B1081" t="s">
        <v>366</v>
      </c>
      <c r="C1081">
        <v>38.6</v>
      </c>
      <c r="D1081">
        <f t="shared" si="32"/>
        <v>160</v>
      </c>
      <c r="E1081" t="str">
        <f t="shared" si="33"/>
        <v>160. Palau</v>
      </c>
    </row>
    <row r="1082" spans="1:5" x14ac:dyDescent="0.25">
      <c r="A1082" t="s">
        <v>209</v>
      </c>
      <c r="B1082" t="s">
        <v>366</v>
      </c>
      <c r="C1082">
        <v>36.5</v>
      </c>
      <c r="D1082">
        <f t="shared" si="32"/>
        <v>161</v>
      </c>
      <c r="E1082" t="str">
        <f t="shared" si="33"/>
        <v>161. United States</v>
      </c>
    </row>
    <row r="1083" spans="1:5" x14ac:dyDescent="0.25">
      <c r="A1083" t="s">
        <v>109</v>
      </c>
      <c r="B1083" t="s">
        <v>366</v>
      </c>
      <c r="C1083">
        <v>36.4</v>
      </c>
      <c r="D1083">
        <f t="shared" si="32"/>
        <v>162</v>
      </c>
      <c r="E1083" t="str">
        <f t="shared" si="33"/>
        <v>162. Kyrgyz Republic</v>
      </c>
    </row>
    <row r="1084" spans="1:5" x14ac:dyDescent="0.25">
      <c r="A1084" t="s">
        <v>115</v>
      </c>
      <c r="B1084" t="s">
        <v>366</v>
      </c>
      <c r="C1084">
        <v>32.799999999999997</v>
      </c>
      <c r="D1084">
        <f t="shared" si="32"/>
        <v>163</v>
      </c>
      <c r="E1084" t="str">
        <f t="shared" si="33"/>
        <v>163. Lao PDR</v>
      </c>
    </row>
    <row r="1085" spans="1:5" x14ac:dyDescent="0.25">
      <c r="A1085" t="s">
        <v>223</v>
      </c>
      <c r="B1085" t="s">
        <v>366</v>
      </c>
      <c r="C1085">
        <v>32</v>
      </c>
      <c r="D1085">
        <f t="shared" si="32"/>
        <v>164</v>
      </c>
      <c r="E1085" t="str">
        <f t="shared" si="33"/>
        <v>164. Venezuela, RB</v>
      </c>
    </row>
    <row r="1086" spans="1:5" x14ac:dyDescent="0.25">
      <c r="A1086" t="s">
        <v>69</v>
      </c>
      <c r="B1086" t="s">
        <v>366</v>
      </c>
      <c r="C1086">
        <v>31.6</v>
      </c>
      <c r="D1086">
        <f t="shared" si="32"/>
        <v>165</v>
      </c>
      <c r="E1086" t="str">
        <f t="shared" si="33"/>
        <v>165. Estonia</v>
      </c>
    </row>
    <row r="1087" spans="1:5" x14ac:dyDescent="0.25">
      <c r="A1087" t="s">
        <v>125</v>
      </c>
      <c r="B1087" t="s">
        <v>366</v>
      </c>
      <c r="C1087">
        <v>30.2</v>
      </c>
      <c r="D1087">
        <f t="shared" si="32"/>
        <v>166</v>
      </c>
      <c r="E1087" t="str">
        <f t="shared" si="33"/>
        <v>166. Latvia</v>
      </c>
    </row>
    <row r="1088" spans="1:5" x14ac:dyDescent="0.25">
      <c r="A1088" t="s">
        <v>12</v>
      </c>
      <c r="B1088" t="s">
        <v>366</v>
      </c>
      <c r="C1088">
        <v>28.6</v>
      </c>
      <c r="D1088">
        <f t="shared" si="32"/>
        <v>167</v>
      </c>
      <c r="E1088" t="str">
        <f t="shared" si="33"/>
        <v>167. Angola</v>
      </c>
    </row>
    <row r="1089" spans="1:5" x14ac:dyDescent="0.25">
      <c r="A1089" t="s">
        <v>222</v>
      </c>
      <c r="B1089" t="s">
        <v>366</v>
      </c>
      <c r="C1089">
        <v>28.4</v>
      </c>
      <c r="D1089">
        <f t="shared" si="32"/>
        <v>168</v>
      </c>
      <c r="E1089" t="str">
        <f t="shared" si="33"/>
        <v>168. Somalia, Fed. Rep.</v>
      </c>
    </row>
    <row r="1090" spans="1:5" x14ac:dyDescent="0.25">
      <c r="A1090" t="s">
        <v>224</v>
      </c>
      <c r="B1090" t="s">
        <v>366</v>
      </c>
      <c r="C1090">
        <v>28.1</v>
      </c>
      <c r="D1090">
        <f t="shared" si="32"/>
        <v>169</v>
      </c>
      <c r="E1090" t="str">
        <f t="shared" si="33"/>
        <v>169. Eritrea</v>
      </c>
    </row>
    <row r="1091" spans="1:5" x14ac:dyDescent="0.25">
      <c r="A1091" t="s">
        <v>177</v>
      </c>
      <c r="B1091" t="s">
        <v>366</v>
      </c>
      <c r="C1091">
        <v>27.9</v>
      </c>
      <c r="D1091">
        <f t="shared" ref="D1091:D1154" si="34">IF(ROW() = 2, 1, IF(B1091 = B1090, D1090 + 1, 1))</f>
        <v>170</v>
      </c>
      <c r="E1091" t="str">
        <f t="shared" ref="E1091:E1154" si="35">_xlfn.CONCAT(D1091, ". ", A1091)</f>
        <v>170. Solomon Islands</v>
      </c>
    </row>
    <row r="1092" spans="1:5" x14ac:dyDescent="0.25">
      <c r="A1092" t="s">
        <v>219</v>
      </c>
      <c r="B1092" t="s">
        <v>366</v>
      </c>
      <c r="C1092">
        <v>27.1</v>
      </c>
      <c r="D1092">
        <f t="shared" si="34"/>
        <v>171</v>
      </c>
      <c r="E1092" t="str">
        <f t="shared" si="35"/>
        <v>171. Zambia</v>
      </c>
    </row>
    <row r="1093" spans="1:5" x14ac:dyDescent="0.25">
      <c r="A1093" t="s">
        <v>174</v>
      </c>
      <c r="B1093" t="s">
        <v>366</v>
      </c>
      <c r="C1093">
        <v>26.4</v>
      </c>
      <c r="D1093">
        <f t="shared" si="34"/>
        <v>172</v>
      </c>
      <c r="E1093" t="str">
        <f t="shared" si="35"/>
        <v>172. Sudan</v>
      </c>
    </row>
    <row r="1094" spans="1:5" x14ac:dyDescent="0.25">
      <c r="A1094" t="s">
        <v>45</v>
      </c>
      <c r="B1094" t="s">
        <v>366</v>
      </c>
      <c r="C1094">
        <v>26.3</v>
      </c>
      <c r="D1094">
        <f t="shared" si="34"/>
        <v>173</v>
      </c>
      <c r="E1094" t="str">
        <f t="shared" si="35"/>
        <v>173. Chile</v>
      </c>
    </row>
    <row r="1095" spans="1:5" x14ac:dyDescent="0.25">
      <c r="A1095" t="s">
        <v>159</v>
      </c>
      <c r="B1095" t="s">
        <v>366</v>
      </c>
      <c r="C1095">
        <v>26.2</v>
      </c>
      <c r="D1095">
        <f t="shared" si="34"/>
        <v>174</v>
      </c>
      <c r="E1095" t="str">
        <f t="shared" si="35"/>
        <v>174. Peru</v>
      </c>
    </row>
    <row r="1096" spans="1:5" x14ac:dyDescent="0.25">
      <c r="A1096" t="s">
        <v>188</v>
      </c>
      <c r="B1096" t="s">
        <v>366</v>
      </c>
      <c r="C1096">
        <v>25.7</v>
      </c>
      <c r="D1096">
        <f t="shared" si="34"/>
        <v>175</v>
      </c>
      <c r="E1096" t="str">
        <f t="shared" si="35"/>
        <v>175. Sweden</v>
      </c>
    </row>
    <row r="1097" spans="1:5" x14ac:dyDescent="0.25">
      <c r="A1097" t="s">
        <v>214</v>
      </c>
      <c r="B1097" t="s">
        <v>366</v>
      </c>
      <c r="C1097">
        <v>25.7</v>
      </c>
      <c r="D1097">
        <f t="shared" si="34"/>
        <v>176</v>
      </c>
      <c r="E1097" t="str">
        <f t="shared" si="35"/>
        <v>176. Vanuatu</v>
      </c>
    </row>
    <row r="1098" spans="1:5" x14ac:dyDescent="0.25">
      <c r="A1098" t="s">
        <v>36</v>
      </c>
      <c r="B1098" t="s">
        <v>366</v>
      </c>
      <c r="C1098">
        <v>25.2</v>
      </c>
      <c r="D1098">
        <f t="shared" si="34"/>
        <v>177</v>
      </c>
      <c r="E1098" t="str">
        <f t="shared" si="35"/>
        <v>177. Brazil</v>
      </c>
    </row>
    <row r="1099" spans="1:5" x14ac:dyDescent="0.25">
      <c r="A1099" t="s">
        <v>162</v>
      </c>
      <c r="B1099" t="s">
        <v>366</v>
      </c>
      <c r="C1099">
        <v>22.5</v>
      </c>
      <c r="D1099">
        <f t="shared" si="34"/>
        <v>178</v>
      </c>
      <c r="E1099" t="str">
        <f t="shared" si="35"/>
        <v>178. Papua New Guinea</v>
      </c>
    </row>
    <row r="1100" spans="1:5" x14ac:dyDescent="0.25">
      <c r="A1100" t="s">
        <v>39</v>
      </c>
      <c r="B1100" t="s">
        <v>366</v>
      </c>
      <c r="C1100">
        <v>20.5</v>
      </c>
      <c r="D1100">
        <f t="shared" si="34"/>
        <v>179</v>
      </c>
      <c r="E1100" t="str">
        <f t="shared" si="35"/>
        <v>179. Bhutan</v>
      </c>
    </row>
    <row r="1101" spans="1:5" x14ac:dyDescent="0.25">
      <c r="A1101" t="s">
        <v>148</v>
      </c>
      <c r="B1101" t="s">
        <v>366</v>
      </c>
      <c r="C1101">
        <v>20</v>
      </c>
      <c r="D1101">
        <f t="shared" si="34"/>
        <v>180</v>
      </c>
      <c r="E1101" t="str">
        <f t="shared" si="35"/>
        <v>180. Niger</v>
      </c>
    </row>
    <row r="1102" spans="1:5" x14ac:dyDescent="0.25">
      <c r="A1102" t="s">
        <v>155</v>
      </c>
      <c r="B1102" t="s">
        <v>366</v>
      </c>
      <c r="C1102">
        <v>19.399999999999999</v>
      </c>
      <c r="D1102">
        <f t="shared" si="34"/>
        <v>181</v>
      </c>
      <c r="E1102" t="str">
        <f t="shared" si="35"/>
        <v>181. New Zealand</v>
      </c>
    </row>
    <row r="1103" spans="1:5" x14ac:dyDescent="0.25">
      <c r="A1103" t="s">
        <v>208</v>
      </c>
      <c r="B1103" t="s">
        <v>366</v>
      </c>
      <c r="C1103">
        <v>19.399999999999999</v>
      </c>
      <c r="D1103">
        <f t="shared" si="34"/>
        <v>182</v>
      </c>
      <c r="E1103" t="str">
        <f t="shared" si="35"/>
        <v>182. Uruguay</v>
      </c>
    </row>
    <row r="1104" spans="1:5" x14ac:dyDescent="0.25">
      <c r="A1104" t="s">
        <v>65</v>
      </c>
      <c r="B1104" t="s">
        <v>366</v>
      </c>
      <c r="C1104">
        <v>19.100000000000001</v>
      </c>
      <c r="D1104">
        <f t="shared" si="34"/>
        <v>183</v>
      </c>
      <c r="E1104" t="str">
        <f t="shared" si="35"/>
        <v>183. Algeria</v>
      </c>
    </row>
    <row r="1105" spans="1:5" x14ac:dyDescent="0.25">
      <c r="A1105" t="s">
        <v>135</v>
      </c>
      <c r="B1105" t="s">
        <v>366</v>
      </c>
      <c r="C1105">
        <v>18.899999999999999</v>
      </c>
      <c r="D1105">
        <f t="shared" si="34"/>
        <v>184</v>
      </c>
      <c r="E1105" t="str">
        <f t="shared" si="35"/>
        <v>184. Mali</v>
      </c>
    </row>
    <row r="1106" spans="1:5" x14ac:dyDescent="0.25">
      <c r="A1106" t="s">
        <v>71</v>
      </c>
      <c r="B1106" t="s">
        <v>366</v>
      </c>
      <c r="C1106">
        <v>18.3</v>
      </c>
      <c r="D1106">
        <f t="shared" si="34"/>
        <v>185</v>
      </c>
      <c r="E1106" t="str">
        <f t="shared" si="35"/>
        <v>185. Finland</v>
      </c>
    </row>
    <row r="1107" spans="1:5" x14ac:dyDescent="0.25">
      <c r="A1107" t="s">
        <v>33</v>
      </c>
      <c r="B1107" t="s">
        <v>366</v>
      </c>
      <c r="C1107">
        <v>17.7</v>
      </c>
      <c r="D1107">
        <f t="shared" si="34"/>
        <v>186</v>
      </c>
      <c r="E1107" t="str">
        <f t="shared" si="35"/>
        <v>186. Belize</v>
      </c>
    </row>
    <row r="1108" spans="1:5" x14ac:dyDescent="0.25">
      <c r="A1108" t="s">
        <v>50</v>
      </c>
      <c r="B1108" t="s">
        <v>366</v>
      </c>
      <c r="C1108">
        <v>17.7</v>
      </c>
      <c r="D1108">
        <f t="shared" si="34"/>
        <v>187</v>
      </c>
      <c r="E1108" t="str">
        <f t="shared" si="35"/>
        <v>187. Congo, Rep.</v>
      </c>
    </row>
    <row r="1109" spans="1:5" x14ac:dyDescent="0.25">
      <c r="A1109" t="s">
        <v>183</v>
      </c>
      <c r="B1109" t="s">
        <v>366</v>
      </c>
      <c r="C1109">
        <v>17.399999999999999</v>
      </c>
      <c r="D1109">
        <f t="shared" si="34"/>
        <v>188</v>
      </c>
      <c r="E1109" t="str">
        <f t="shared" si="35"/>
        <v>188. South Sudan</v>
      </c>
    </row>
    <row r="1110" spans="1:5" x14ac:dyDescent="0.25">
      <c r="A1110" t="s">
        <v>166</v>
      </c>
      <c r="B1110" t="s">
        <v>366</v>
      </c>
      <c r="C1110">
        <v>17.100000000000001</v>
      </c>
      <c r="D1110">
        <f t="shared" si="34"/>
        <v>189</v>
      </c>
      <c r="E1110" t="str">
        <f t="shared" si="35"/>
        <v>189. Paraguay</v>
      </c>
    </row>
    <row r="1111" spans="1:5" x14ac:dyDescent="0.25">
      <c r="A1111" t="s">
        <v>16</v>
      </c>
      <c r="B1111" t="s">
        <v>366</v>
      </c>
      <c r="C1111">
        <v>16.600000000000001</v>
      </c>
      <c r="D1111">
        <f t="shared" si="34"/>
        <v>190</v>
      </c>
      <c r="E1111" t="str">
        <f t="shared" si="35"/>
        <v>190. Argentina</v>
      </c>
    </row>
    <row r="1112" spans="1:5" x14ac:dyDescent="0.25">
      <c r="A1112" t="s">
        <v>147</v>
      </c>
      <c r="B1112" t="s">
        <v>366</v>
      </c>
      <c r="C1112">
        <v>15.7</v>
      </c>
      <c r="D1112">
        <f t="shared" si="34"/>
        <v>191</v>
      </c>
      <c r="E1112" t="str">
        <f t="shared" si="35"/>
        <v>191. New Caledonia</v>
      </c>
    </row>
    <row r="1113" spans="1:5" x14ac:dyDescent="0.25">
      <c r="A1113" t="s">
        <v>198</v>
      </c>
      <c r="B1113" t="s">
        <v>366</v>
      </c>
      <c r="C1113">
        <v>15.4</v>
      </c>
      <c r="D1113">
        <f t="shared" si="34"/>
        <v>192</v>
      </c>
      <c r="E1113" t="str">
        <f t="shared" si="35"/>
        <v>192. Turkmenistan</v>
      </c>
    </row>
    <row r="1114" spans="1:5" x14ac:dyDescent="0.25">
      <c r="A1114" t="s">
        <v>156</v>
      </c>
      <c r="B1114" t="s">
        <v>366</v>
      </c>
      <c r="C1114">
        <v>15.3</v>
      </c>
      <c r="D1114">
        <f t="shared" si="34"/>
        <v>193</v>
      </c>
      <c r="E1114" t="str">
        <f t="shared" si="35"/>
        <v>193. Oman</v>
      </c>
    </row>
    <row r="1115" spans="1:5" x14ac:dyDescent="0.25">
      <c r="A1115" t="s">
        <v>152</v>
      </c>
      <c r="B1115" t="s">
        <v>366</v>
      </c>
      <c r="C1115">
        <v>15</v>
      </c>
      <c r="D1115">
        <f t="shared" si="34"/>
        <v>194</v>
      </c>
      <c r="E1115" t="str">
        <f t="shared" si="35"/>
        <v>194. Norway</v>
      </c>
    </row>
    <row r="1116" spans="1:5" x14ac:dyDescent="0.25">
      <c r="A1116" t="s">
        <v>173</v>
      </c>
      <c r="B1116" t="s">
        <v>366</v>
      </c>
      <c r="C1116">
        <v>15</v>
      </c>
      <c r="D1116">
        <f t="shared" si="34"/>
        <v>195</v>
      </c>
      <c r="E1116" t="str">
        <f t="shared" si="35"/>
        <v>195. Saudi Arabia</v>
      </c>
    </row>
    <row r="1117" spans="1:5" x14ac:dyDescent="0.25">
      <c r="A1117" t="s">
        <v>194</v>
      </c>
      <c r="B1117" t="s">
        <v>366</v>
      </c>
      <c r="C1117">
        <v>14.7</v>
      </c>
      <c r="D1117">
        <f t="shared" si="34"/>
        <v>196</v>
      </c>
      <c r="E1117" t="str">
        <f t="shared" si="35"/>
        <v>196. Chad</v>
      </c>
    </row>
    <row r="1118" spans="1:5" x14ac:dyDescent="0.25">
      <c r="A1118" t="s">
        <v>35</v>
      </c>
      <c r="B1118" t="s">
        <v>366</v>
      </c>
      <c r="C1118">
        <v>11.1</v>
      </c>
      <c r="D1118">
        <f t="shared" si="34"/>
        <v>197</v>
      </c>
      <c r="E1118" t="str">
        <f t="shared" si="35"/>
        <v>197. Bolivia</v>
      </c>
    </row>
    <row r="1119" spans="1:5" x14ac:dyDescent="0.25">
      <c r="A1119" t="s">
        <v>76</v>
      </c>
      <c r="B1119" t="s">
        <v>366</v>
      </c>
      <c r="C1119">
        <v>9.4</v>
      </c>
      <c r="D1119">
        <f t="shared" si="34"/>
        <v>198</v>
      </c>
      <c r="E1119" t="str">
        <f t="shared" si="35"/>
        <v>198. Gabon</v>
      </c>
    </row>
    <row r="1120" spans="1:5" x14ac:dyDescent="0.25">
      <c r="A1120" t="s">
        <v>171</v>
      </c>
      <c r="B1120" t="s">
        <v>366</v>
      </c>
      <c r="C1120">
        <v>8.8000000000000007</v>
      </c>
      <c r="D1120">
        <f t="shared" si="34"/>
        <v>199</v>
      </c>
      <c r="E1120" t="str">
        <f t="shared" si="35"/>
        <v>199. Russian Federation</v>
      </c>
    </row>
    <row r="1121" spans="1:5" x14ac:dyDescent="0.25">
      <c r="A1121" t="s">
        <v>41</v>
      </c>
      <c r="B1121" t="s">
        <v>366</v>
      </c>
      <c r="C1121">
        <v>8.1999999999999993</v>
      </c>
      <c r="D1121">
        <f t="shared" si="34"/>
        <v>200</v>
      </c>
      <c r="E1121" t="str">
        <f t="shared" si="35"/>
        <v>200. Central African Republic</v>
      </c>
    </row>
    <row r="1122" spans="1:5" x14ac:dyDescent="0.25">
      <c r="A1122" t="s">
        <v>107</v>
      </c>
      <c r="B1122" t="s">
        <v>366</v>
      </c>
      <c r="C1122">
        <v>7.4</v>
      </c>
      <c r="D1122">
        <f t="shared" si="34"/>
        <v>201</v>
      </c>
      <c r="E1122" t="str">
        <f t="shared" si="35"/>
        <v>201. Kazakhstan</v>
      </c>
    </row>
    <row r="1123" spans="1:5" x14ac:dyDescent="0.25">
      <c r="A1123" t="s">
        <v>142</v>
      </c>
      <c r="B1123" t="s">
        <v>366</v>
      </c>
      <c r="C1123">
        <v>4.7</v>
      </c>
      <c r="D1123">
        <f t="shared" si="34"/>
        <v>202</v>
      </c>
      <c r="E1123" t="str">
        <f t="shared" si="35"/>
        <v>202. Mauritania</v>
      </c>
    </row>
    <row r="1124" spans="1:5" x14ac:dyDescent="0.25">
      <c r="A1124" t="s">
        <v>42</v>
      </c>
      <c r="B1124" t="s">
        <v>366</v>
      </c>
      <c r="C1124">
        <v>4.4000000000000004</v>
      </c>
      <c r="D1124">
        <f t="shared" si="34"/>
        <v>203</v>
      </c>
      <c r="E1124" t="str">
        <f t="shared" si="35"/>
        <v>203. Canada</v>
      </c>
    </row>
    <row r="1125" spans="1:5" x14ac:dyDescent="0.25">
      <c r="A1125" t="s">
        <v>40</v>
      </c>
      <c r="B1125" t="s">
        <v>366</v>
      </c>
      <c r="C1125">
        <v>4.3</v>
      </c>
      <c r="D1125">
        <f t="shared" si="34"/>
        <v>204</v>
      </c>
      <c r="E1125" t="str">
        <f t="shared" si="35"/>
        <v>204. Botswana</v>
      </c>
    </row>
    <row r="1126" spans="1:5" x14ac:dyDescent="0.25">
      <c r="A1126" t="s">
        <v>118</v>
      </c>
      <c r="B1126" t="s">
        <v>366</v>
      </c>
      <c r="C1126">
        <v>4.0999999999999996</v>
      </c>
      <c r="D1126">
        <f t="shared" si="34"/>
        <v>205</v>
      </c>
      <c r="E1126" t="str">
        <f t="shared" si="35"/>
        <v>205. Libya</v>
      </c>
    </row>
    <row r="1127" spans="1:5" x14ac:dyDescent="0.25">
      <c r="A1127" t="s">
        <v>89</v>
      </c>
      <c r="B1127" t="s">
        <v>366</v>
      </c>
      <c r="C1127">
        <v>3.9</v>
      </c>
      <c r="D1127">
        <f t="shared" si="34"/>
        <v>206</v>
      </c>
      <c r="E1127" t="str">
        <f t="shared" si="35"/>
        <v>206. Guyana</v>
      </c>
    </row>
    <row r="1128" spans="1:5" x14ac:dyDescent="0.25">
      <c r="A1128" t="s">
        <v>185</v>
      </c>
      <c r="B1128" t="s">
        <v>366</v>
      </c>
      <c r="C1128">
        <v>3.9</v>
      </c>
      <c r="D1128">
        <f t="shared" si="34"/>
        <v>207</v>
      </c>
      <c r="E1128" t="str">
        <f t="shared" si="35"/>
        <v>207. Suriname</v>
      </c>
    </row>
    <row r="1129" spans="1:5" x14ac:dyDescent="0.25">
      <c r="A1129" t="s">
        <v>101</v>
      </c>
      <c r="B1129" t="s">
        <v>366</v>
      </c>
      <c r="C1129">
        <v>3.8</v>
      </c>
      <c r="D1129">
        <f t="shared" si="34"/>
        <v>208</v>
      </c>
      <c r="E1129" t="str">
        <f t="shared" si="35"/>
        <v>208. Iceland</v>
      </c>
    </row>
    <row r="1130" spans="1:5" x14ac:dyDescent="0.25">
      <c r="A1130" t="s">
        <v>146</v>
      </c>
      <c r="B1130" t="s">
        <v>366</v>
      </c>
      <c r="C1130">
        <v>3.5</v>
      </c>
      <c r="D1130">
        <f t="shared" si="34"/>
        <v>209</v>
      </c>
      <c r="E1130" t="str">
        <f t="shared" si="35"/>
        <v>209. Namibia</v>
      </c>
    </row>
    <row r="1131" spans="1:5" x14ac:dyDescent="0.25">
      <c r="A1131" t="s">
        <v>20</v>
      </c>
      <c r="B1131" t="s">
        <v>366</v>
      </c>
      <c r="C1131">
        <v>3.4</v>
      </c>
      <c r="D1131">
        <f t="shared" si="34"/>
        <v>210</v>
      </c>
      <c r="E1131" t="str">
        <f t="shared" si="35"/>
        <v>210. Australia</v>
      </c>
    </row>
    <row r="1132" spans="1:5" x14ac:dyDescent="0.25">
      <c r="A1132" t="s">
        <v>139</v>
      </c>
      <c r="B1132" t="s">
        <v>366</v>
      </c>
      <c r="C1132">
        <v>2.2000000000000002</v>
      </c>
      <c r="D1132">
        <f t="shared" si="34"/>
        <v>211</v>
      </c>
      <c r="E1132" t="str">
        <f t="shared" si="35"/>
        <v>211. Mongolia</v>
      </c>
    </row>
    <row r="1133" spans="1:5" x14ac:dyDescent="0.25">
      <c r="A1133" t="s">
        <v>86</v>
      </c>
      <c r="B1133" t="s">
        <v>366</v>
      </c>
      <c r="C1133">
        <v>0.1</v>
      </c>
      <c r="D1133">
        <f t="shared" si="34"/>
        <v>212</v>
      </c>
      <c r="E1133" t="str">
        <f t="shared" si="35"/>
        <v>212. Greenland</v>
      </c>
    </row>
    <row r="1134" spans="1:5" x14ac:dyDescent="0.25">
      <c r="A1134" t="s">
        <v>90</v>
      </c>
      <c r="B1134" t="s">
        <v>360</v>
      </c>
      <c r="C1134">
        <v>55</v>
      </c>
      <c r="D1134">
        <f t="shared" si="34"/>
        <v>1</v>
      </c>
      <c r="E1134" t="str">
        <f t="shared" si="35"/>
        <v>1. Hong Kong SAR, China</v>
      </c>
    </row>
    <row r="1135" spans="1:5" x14ac:dyDescent="0.25">
      <c r="A1135" t="s">
        <v>129</v>
      </c>
      <c r="B1135" t="s">
        <v>360</v>
      </c>
      <c r="C1135">
        <v>54</v>
      </c>
      <c r="D1135">
        <f t="shared" si="34"/>
        <v>2</v>
      </c>
      <c r="E1135" t="str">
        <f t="shared" si="35"/>
        <v>2. Moldova</v>
      </c>
    </row>
    <row r="1136" spans="1:5" x14ac:dyDescent="0.25">
      <c r="A1136" t="s">
        <v>126</v>
      </c>
      <c r="B1136" t="s">
        <v>360</v>
      </c>
      <c r="C1136">
        <v>53.9</v>
      </c>
      <c r="D1136">
        <f t="shared" si="34"/>
        <v>3</v>
      </c>
      <c r="E1136" t="str">
        <f t="shared" si="35"/>
        <v>3. Macao SAR, China</v>
      </c>
    </row>
    <row r="1137" spans="1:5" x14ac:dyDescent="0.25">
      <c r="A1137" t="s">
        <v>17</v>
      </c>
      <c r="B1137" t="s">
        <v>360</v>
      </c>
      <c r="C1137">
        <v>53.6</v>
      </c>
      <c r="D1137">
        <f t="shared" si="34"/>
        <v>4</v>
      </c>
      <c r="E1137" t="str">
        <f t="shared" si="35"/>
        <v>4. Armenia</v>
      </c>
    </row>
    <row r="1138" spans="1:5" x14ac:dyDescent="0.25">
      <c r="A1138" t="s">
        <v>125</v>
      </c>
      <c r="B1138" t="s">
        <v>360</v>
      </c>
      <c r="C1138">
        <v>53.6</v>
      </c>
      <c r="D1138">
        <f t="shared" si="34"/>
        <v>5</v>
      </c>
      <c r="E1138" t="str">
        <f t="shared" si="35"/>
        <v>5. Latvia</v>
      </c>
    </row>
    <row r="1139" spans="1:5" x14ac:dyDescent="0.25">
      <c r="A1139" t="s">
        <v>171</v>
      </c>
      <c r="B1139" t="s">
        <v>360</v>
      </c>
      <c r="C1139">
        <v>53.6</v>
      </c>
      <c r="D1139">
        <f t="shared" si="34"/>
        <v>6</v>
      </c>
      <c r="E1139" t="str">
        <f t="shared" si="35"/>
        <v>6. Russian Federation</v>
      </c>
    </row>
    <row r="1140" spans="1:5" x14ac:dyDescent="0.25">
      <c r="A1140" t="s">
        <v>221</v>
      </c>
      <c r="B1140" t="s">
        <v>360</v>
      </c>
      <c r="C1140">
        <v>53.5</v>
      </c>
      <c r="D1140">
        <f t="shared" si="34"/>
        <v>7</v>
      </c>
      <c r="E1140" t="str">
        <f t="shared" si="35"/>
        <v>7. St. Martin (French part)</v>
      </c>
    </row>
    <row r="1141" spans="1:5" x14ac:dyDescent="0.25">
      <c r="A1141" t="s">
        <v>207</v>
      </c>
      <c r="B1141" t="s">
        <v>360</v>
      </c>
      <c r="C1141">
        <v>53.5</v>
      </c>
      <c r="D1141">
        <f t="shared" si="34"/>
        <v>8</v>
      </c>
      <c r="E1141" t="str">
        <f t="shared" si="35"/>
        <v>8. Ukraine</v>
      </c>
    </row>
    <row r="1142" spans="1:5" x14ac:dyDescent="0.25">
      <c r="A1142" t="s">
        <v>32</v>
      </c>
      <c r="B1142" t="s">
        <v>360</v>
      </c>
      <c r="C1142">
        <v>53.4</v>
      </c>
      <c r="D1142">
        <f t="shared" si="34"/>
        <v>9</v>
      </c>
      <c r="E1142" t="str">
        <f t="shared" si="35"/>
        <v>9. Belarus</v>
      </c>
    </row>
    <row r="1143" spans="1:5" x14ac:dyDescent="0.25">
      <c r="A1143" t="s">
        <v>78</v>
      </c>
      <c r="B1143" t="s">
        <v>360</v>
      </c>
      <c r="C1143">
        <v>53.4</v>
      </c>
      <c r="D1143">
        <f t="shared" si="34"/>
        <v>10</v>
      </c>
      <c r="E1143" t="str">
        <f t="shared" si="35"/>
        <v>10. Georgia</v>
      </c>
    </row>
    <row r="1144" spans="1:5" x14ac:dyDescent="0.25">
      <c r="A1144" t="s">
        <v>164</v>
      </c>
      <c r="B1144" t="s">
        <v>360</v>
      </c>
      <c r="C1144">
        <v>52.9</v>
      </c>
      <c r="D1144">
        <f t="shared" si="34"/>
        <v>11</v>
      </c>
      <c r="E1144" t="str">
        <f t="shared" si="35"/>
        <v>11. Puerto Rico (US)</v>
      </c>
    </row>
    <row r="1145" spans="1:5" x14ac:dyDescent="0.25">
      <c r="A1145" t="s">
        <v>10</v>
      </c>
      <c r="B1145" t="s">
        <v>360</v>
      </c>
      <c r="C1145">
        <v>52.8</v>
      </c>
      <c r="D1145">
        <f t="shared" si="34"/>
        <v>12</v>
      </c>
      <c r="E1145" t="str">
        <f t="shared" si="35"/>
        <v>12. Aruba</v>
      </c>
    </row>
    <row r="1146" spans="1:5" x14ac:dyDescent="0.25">
      <c r="A1146" t="s">
        <v>123</v>
      </c>
      <c r="B1146" t="s">
        <v>360</v>
      </c>
      <c r="C1146">
        <v>52.8</v>
      </c>
      <c r="D1146">
        <f t="shared" si="34"/>
        <v>13</v>
      </c>
      <c r="E1146" t="str">
        <f t="shared" si="35"/>
        <v>13. Lithuania</v>
      </c>
    </row>
    <row r="1147" spans="1:5" x14ac:dyDescent="0.25">
      <c r="A1147" t="s">
        <v>200</v>
      </c>
      <c r="B1147" t="s">
        <v>360</v>
      </c>
      <c r="C1147">
        <v>52.8</v>
      </c>
      <c r="D1147">
        <f t="shared" si="34"/>
        <v>14</v>
      </c>
      <c r="E1147" t="str">
        <f t="shared" si="35"/>
        <v>14. Tonga</v>
      </c>
    </row>
    <row r="1148" spans="1:5" x14ac:dyDescent="0.25">
      <c r="A1148" t="s">
        <v>182</v>
      </c>
      <c r="B1148" t="s">
        <v>360</v>
      </c>
      <c r="C1148">
        <v>52.6</v>
      </c>
      <c r="D1148">
        <f t="shared" si="34"/>
        <v>15</v>
      </c>
      <c r="E1148" t="str">
        <f t="shared" si="35"/>
        <v>15. Serbia</v>
      </c>
    </row>
    <row r="1149" spans="1:5" x14ac:dyDescent="0.25">
      <c r="A1149" t="s">
        <v>179</v>
      </c>
      <c r="B1149" t="s">
        <v>360</v>
      </c>
      <c r="C1149">
        <v>52.5</v>
      </c>
      <c r="D1149">
        <f t="shared" si="34"/>
        <v>16</v>
      </c>
      <c r="E1149" t="str">
        <f t="shared" si="35"/>
        <v>16. El Salvador</v>
      </c>
    </row>
    <row r="1150" spans="1:5" x14ac:dyDescent="0.25">
      <c r="A1150" t="s">
        <v>69</v>
      </c>
      <c r="B1150" t="s">
        <v>360</v>
      </c>
      <c r="C1150">
        <v>52.5</v>
      </c>
      <c r="D1150">
        <f t="shared" si="34"/>
        <v>17</v>
      </c>
      <c r="E1150" t="str">
        <f t="shared" si="35"/>
        <v>17. Estonia</v>
      </c>
    </row>
    <row r="1151" spans="1:5" x14ac:dyDescent="0.25">
      <c r="A1151" t="s">
        <v>19</v>
      </c>
      <c r="B1151" t="s">
        <v>360</v>
      </c>
      <c r="C1151">
        <v>52.4</v>
      </c>
      <c r="D1151">
        <f t="shared" si="34"/>
        <v>18</v>
      </c>
      <c r="E1151" t="str">
        <f t="shared" si="35"/>
        <v>18. Antigua and Barbuda</v>
      </c>
    </row>
    <row r="1152" spans="1:5" x14ac:dyDescent="0.25">
      <c r="A1152" t="s">
        <v>31</v>
      </c>
      <c r="B1152" t="s">
        <v>360</v>
      </c>
      <c r="C1152">
        <v>52.4</v>
      </c>
      <c r="D1152">
        <f t="shared" si="34"/>
        <v>19</v>
      </c>
      <c r="E1152" t="str">
        <f t="shared" si="35"/>
        <v>19. Bosnia and Herzegovina</v>
      </c>
    </row>
    <row r="1153" spans="1:5" x14ac:dyDescent="0.25">
      <c r="A1153" t="s">
        <v>56</v>
      </c>
      <c r="B1153" t="s">
        <v>360</v>
      </c>
      <c r="C1153">
        <v>52.4</v>
      </c>
      <c r="D1153">
        <f t="shared" si="34"/>
        <v>20</v>
      </c>
      <c r="E1153" t="str">
        <f t="shared" si="35"/>
        <v>20. Curacao</v>
      </c>
    </row>
    <row r="1154" spans="1:5" x14ac:dyDescent="0.25">
      <c r="A1154" t="s">
        <v>165</v>
      </c>
      <c r="B1154" t="s">
        <v>360</v>
      </c>
      <c r="C1154">
        <v>52.4</v>
      </c>
      <c r="D1154">
        <f t="shared" si="34"/>
        <v>21</v>
      </c>
      <c r="E1154" t="str">
        <f t="shared" si="35"/>
        <v>21. Portugal</v>
      </c>
    </row>
    <row r="1155" spans="1:5" x14ac:dyDescent="0.25">
      <c r="A1155" t="s">
        <v>212</v>
      </c>
      <c r="B1155" t="s">
        <v>360</v>
      </c>
      <c r="C1155">
        <v>52.4</v>
      </c>
      <c r="D1155">
        <f t="shared" ref="D1155:D1218" si="36">IF(ROW() = 2, 1, IF(B1155 = B1154, D1154 + 1, 1))</f>
        <v>22</v>
      </c>
      <c r="E1155" t="str">
        <f t="shared" ref="E1155:E1218" si="37">_xlfn.CONCAT(D1155, ". ", A1155)</f>
        <v>22. Virgin Islands (U.S.)</v>
      </c>
    </row>
    <row r="1156" spans="1:5" x14ac:dyDescent="0.25">
      <c r="A1156" t="s">
        <v>30</v>
      </c>
      <c r="B1156" t="s">
        <v>360</v>
      </c>
      <c r="C1156">
        <v>52.3</v>
      </c>
      <c r="D1156">
        <f t="shared" si="36"/>
        <v>23</v>
      </c>
      <c r="E1156" t="str">
        <f t="shared" si="37"/>
        <v>23. Bahamas, The</v>
      </c>
    </row>
    <row r="1157" spans="1:5" x14ac:dyDescent="0.25">
      <c r="A1157" t="s">
        <v>220</v>
      </c>
      <c r="B1157" t="s">
        <v>360</v>
      </c>
      <c r="C1157">
        <v>52.3</v>
      </c>
      <c r="D1157">
        <f t="shared" si="36"/>
        <v>24</v>
      </c>
      <c r="E1157" t="str">
        <f t="shared" si="37"/>
        <v>24. Zimbabwe</v>
      </c>
    </row>
    <row r="1158" spans="1:5" x14ac:dyDescent="0.25">
      <c r="A1158" t="s">
        <v>37</v>
      </c>
      <c r="B1158" t="s">
        <v>360</v>
      </c>
      <c r="C1158">
        <v>52.1</v>
      </c>
      <c r="D1158">
        <f t="shared" si="36"/>
        <v>25</v>
      </c>
      <c r="E1158" t="str">
        <f t="shared" si="37"/>
        <v>25. Barbados</v>
      </c>
    </row>
    <row r="1159" spans="1:5" x14ac:dyDescent="0.25">
      <c r="A1159" t="s">
        <v>153</v>
      </c>
      <c r="B1159" t="s">
        <v>360</v>
      </c>
      <c r="C1159">
        <v>52.1</v>
      </c>
      <c r="D1159">
        <f t="shared" si="36"/>
        <v>26</v>
      </c>
      <c r="E1159" t="str">
        <f t="shared" si="37"/>
        <v>26. Nepal</v>
      </c>
    </row>
    <row r="1160" spans="1:5" x14ac:dyDescent="0.25">
      <c r="A1160" t="s">
        <v>112</v>
      </c>
      <c r="B1160" t="s">
        <v>360</v>
      </c>
      <c r="C1160">
        <v>52.1</v>
      </c>
      <c r="D1160">
        <f t="shared" si="36"/>
        <v>27</v>
      </c>
      <c r="E1160" t="str">
        <f t="shared" si="37"/>
        <v>27. St. Kitts and Nevis</v>
      </c>
    </row>
    <row r="1161" spans="1:5" x14ac:dyDescent="0.25">
      <c r="A1161" t="s">
        <v>41</v>
      </c>
      <c r="B1161" t="s">
        <v>360</v>
      </c>
      <c r="C1161">
        <v>52</v>
      </c>
      <c r="D1161">
        <f t="shared" si="36"/>
        <v>28</v>
      </c>
      <c r="E1161" t="str">
        <f t="shared" si="37"/>
        <v>28. Central African Republic</v>
      </c>
    </row>
    <row r="1162" spans="1:5" x14ac:dyDescent="0.25">
      <c r="A1162" t="s">
        <v>94</v>
      </c>
      <c r="B1162" t="s">
        <v>360</v>
      </c>
      <c r="C1162">
        <v>52</v>
      </c>
      <c r="D1162">
        <f t="shared" si="36"/>
        <v>29</v>
      </c>
      <c r="E1162" t="str">
        <f t="shared" si="37"/>
        <v>29. Hungary</v>
      </c>
    </row>
    <row r="1163" spans="1:5" x14ac:dyDescent="0.25">
      <c r="A1163" t="s">
        <v>138</v>
      </c>
      <c r="B1163" t="s">
        <v>360</v>
      </c>
      <c r="C1163">
        <v>51.9</v>
      </c>
      <c r="D1163">
        <f t="shared" si="36"/>
        <v>30</v>
      </c>
      <c r="E1163" t="str">
        <f t="shared" si="37"/>
        <v>30. Montenegro</v>
      </c>
    </row>
    <row r="1164" spans="1:5" x14ac:dyDescent="0.25">
      <c r="A1164" t="s">
        <v>92</v>
      </c>
      <c r="B1164" t="s">
        <v>360</v>
      </c>
      <c r="C1164">
        <v>51.8</v>
      </c>
      <c r="D1164">
        <f t="shared" si="36"/>
        <v>31</v>
      </c>
      <c r="E1164" t="str">
        <f t="shared" si="37"/>
        <v>31. Croatia</v>
      </c>
    </row>
    <row r="1165" spans="1:5" x14ac:dyDescent="0.25">
      <c r="A1165" t="s">
        <v>28</v>
      </c>
      <c r="B1165" t="s">
        <v>360</v>
      </c>
      <c r="C1165">
        <v>51.6</v>
      </c>
      <c r="D1165">
        <f t="shared" si="36"/>
        <v>32</v>
      </c>
      <c r="E1165" t="str">
        <f t="shared" si="37"/>
        <v>32. Bulgaria</v>
      </c>
    </row>
    <row r="1166" spans="1:5" x14ac:dyDescent="0.25">
      <c r="A1166" t="s">
        <v>84</v>
      </c>
      <c r="B1166" t="s">
        <v>360</v>
      </c>
      <c r="C1166">
        <v>51.6</v>
      </c>
      <c r="D1166">
        <f t="shared" si="36"/>
        <v>33</v>
      </c>
      <c r="E1166" t="str">
        <f t="shared" si="37"/>
        <v>33. Greece</v>
      </c>
    </row>
    <row r="1167" spans="1:5" x14ac:dyDescent="0.25">
      <c r="A1167" t="s">
        <v>163</v>
      </c>
      <c r="B1167" t="s">
        <v>360</v>
      </c>
      <c r="C1167">
        <v>51.6</v>
      </c>
      <c r="D1167">
        <f t="shared" si="36"/>
        <v>34</v>
      </c>
      <c r="E1167" t="str">
        <f t="shared" si="37"/>
        <v>34. Poland</v>
      </c>
    </row>
    <row r="1168" spans="1:5" x14ac:dyDescent="0.25">
      <c r="A1168" t="s">
        <v>170</v>
      </c>
      <c r="B1168" t="s">
        <v>360</v>
      </c>
      <c r="C1168">
        <v>51.6</v>
      </c>
      <c r="D1168">
        <f t="shared" si="36"/>
        <v>35</v>
      </c>
      <c r="E1168" t="str">
        <f t="shared" si="37"/>
        <v>35. Romania</v>
      </c>
    </row>
    <row r="1169" spans="1:5" x14ac:dyDescent="0.25">
      <c r="A1169" t="s">
        <v>121</v>
      </c>
      <c r="B1169" t="s">
        <v>360</v>
      </c>
      <c r="C1169">
        <v>51.6</v>
      </c>
      <c r="D1169">
        <f t="shared" si="36"/>
        <v>36</v>
      </c>
      <c r="E1169" t="str">
        <f t="shared" si="37"/>
        <v>36. Sri Lanka</v>
      </c>
    </row>
    <row r="1170" spans="1:5" x14ac:dyDescent="0.25">
      <c r="A1170" t="s">
        <v>73</v>
      </c>
      <c r="B1170" t="s">
        <v>360</v>
      </c>
      <c r="C1170">
        <v>51.5</v>
      </c>
      <c r="D1170">
        <f t="shared" si="36"/>
        <v>37</v>
      </c>
      <c r="E1170" t="str">
        <f t="shared" si="37"/>
        <v>37. France</v>
      </c>
    </row>
    <row r="1171" spans="1:5" x14ac:dyDescent="0.25">
      <c r="A1171" t="s">
        <v>111</v>
      </c>
      <c r="B1171" t="s">
        <v>360</v>
      </c>
      <c r="C1171">
        <v>51.5</v>
      </c>
      <c r="D1171">
        <f t="shared" si="36"/>
        <v>38</v>
      </c>
      <c r="E1171" t="str">
        <f t="shared" si="37"/>
        <v>38. Kiribati</v>
      </c>
    </row>
    <row r="1172" spans="1:5" x14ac:dyDescent="0.25">
      <c r="A1172" t="s">
        <v>132</v>
      </c>
      <c r="B1172" t="s">
        <v>360</v>
      </c>
      <c r="C1172">
        <v>51.5</v>
      </c>
      <c r="D1172">
        <f t="shared" si="36"/>
        <v>39</v>
      </c>
      <c r="E1172" t="str">
        <f t="shared" si="37"/>
        <v>39. Mexico</v>
      </c>
    </row>
    <row r="1173" spans="1:5" x14ac:dyDescent="0.25">
      <c r="A1173" t="s">
        <v>141</v>
      </c>
      <c r="B1173" t="s">
        <v>360</v>
      </c>
      <c r="C1173">
        <v>51.5</v>
      </c>
      <c r="D1173">
        <f t="shared" si="36"/>
        <v>40</v>
      </c>
      <c r="E1173" t="str">
        <f t="shared" si="37"/>
        <v>40. Mozambique</v>
      </c>
    </row>
    <row r="1174" spans="1:5" x14ac:dyDescent="0.25">
      <c r="A1174" t="s">
        <v>208</v>
      </c>
      <c r="B1174" t="s">
        <v>360</v>
      </c>
      <c r="C1174">
        <v>51.5</v>
      </c>
      <c r="D1174">
        <f t="shared" si="36"/>
        <v>41</v>
      </c>
      <c r="E1174" t="str">
        <f t="shared" si="37"/>
        <v>41. Uruguay</v>
      </c>
    </row>
    <row r="1175" spans="1:5" x14ac:dyDescent="0.25">
      <c r="A1175" t="s">
        <v>116</v>
      </c>
      <c r="B1175" t="s">
        <v>360</v>
      </c>
      <c r="C1175">
        <v>51.4</v>
      </c>
      <c r="D1175">
        <f t="shared" si="36"/>
        <v>42</v>
      </c>
      <c r="E1175" t="str">
        <f t="shared" si="37"/>
        <v>42. Lebanon</v>
      </c>
    </row>
    <row r="1176" spans="1:5" x14ac:dyDescent="0.25">
      <c r="A1176" t="s">
        <v>134</v>
      </c>
      <c r="B1176" t="s">
        <v>360</v>
      </c>
      <c r="C1176">
        <v>51.4</v>
      </c>
      <c r="D1176">
        <f t="shared" si="36"/>
        <v>43</v>
      </c>
      <c r="E1176" t="str">
        <f t="shared" si="37"/>
        <v>43. North Macedonia</v>
      </c>
    </row>
    <row r="1177" spans="1:5" x14ac:dyDescent="0.25">
      <c r="A1177" t="s">
        <v>89</v>
      </c>
      <c r="B1177" t="s">
        <v>360</v>
      </c>
      <c r="C1177">
        <v>51.3</v>
      </c>
      <c r="D1177">
        <f t="shared" si="36"/>
        <v>44</v>
      </c>
      <c r="E1177" t="str">
        <f t="shared" si="37"/>
        <v>44. Guyana</v>
      </c>
    </row>
    <row r="1178" spans="1:5" x14ac:dyDescent="0.25">
      <c r="A1178" t="s">
        <v>107</v>
      </c>
      <c r="B1178" t="s">
        <v>360</v>
      </c>
      <c r="C1178">
        <v>51.3</v>
      </c>
      <c r="D1178">
        <f t="shared" si="36"/>
        <v>45</v>
      </c>
      <c r="E1178" t="str">
        <f t="shared" si="37"/>
        <v>45. Kazakhstan</v>
      </c>
    </row>
    <row r="1179" spans="1:5" x14ac:dyDescent="0.25">
      <c r="A1179" t="s">
        <v>122</v>
      </c>
      <c r="B1179" t="s">
        <v>360</v>
      </c>
      <c r="C1179">
        <v>51.3</v>
      </c>
      <c r="D1179">
        <f t="shared" si="36"/>
        <v>46</v>
      </c>
      <c r="E1179" t="str">
        <f t="shared" si="37"/>
        <v>46. Lesotho</v>
      </c>
    </row>
    <row r="1180" spans="1:5" x14ac:dyDescent="0.25">
      <c r="A1180" t="s">
        <v>190</v>
      </c>
      <c r="B1180" t="s">
        <v>360</v>
      </c>
      <c r="C1180">
        <v>51.3</v>
      </c>
      <c r="D1180">
        <f t="shared" si="36"/>
        <v>47</v>
      </c>
      <c r="E1180" t="str">
        <f t="shared" si="37"/>
        <v>47. Sint Maarten (Dutch part)</v>
      </c>
    </row>
    <row r="1181" spans="1:5" x14ac:dyDescent="0.25">
      <c r="A1181" t="s">
        <v>218</v>
      </c>
      <c r="B1181" t="s">
        <v>360</v>
      </c>
      <c r="C1181">
        <v>51.3</v>
      </c>
      <c r="D1181">
        <f t="shared" si="36"/>
        <v>48</v>
      </c>
      <c r="E1181" t="str">
        <f t="shared" si="37"/>
        <v>48. South Africa</v>
      </c>
    </row>
    <row r="1182" spans="1:5" x14ac:dyDescent="0.25">
      <c r="A1182" t="s">
        <v>196</v>
      </c>
      <c r="B1182" t="s">
        <v>360</v>
      </c>
      <c r="C1182">
        <v>51.3</v>
      </c>
      <c r="D1182">
        <f t="shared" si="36"/>
        <v>49</v>
      </c>
      <c r="E1182" t="str">
        <f t="shared" si="37"/>
        <v>49. Thailand</v>
      </c>
    </row>
    <row r="1183" spans="1:5" x14ac:dyDescent="0.25">
      <c r="A1183" t="s">
        <v>106</v>
      </c>
      <c r="B1183" t="s">
        <v>360</v>
      </c>
      <c r="C1183">
        <v>51.2</v>
      </c>
      <c r="D1183">
        <f t="shared" si="36"/>
        <v>50</v>
      </c>
      <c r="E1183" t="str">
        <f t="shared" si="37"/>
        <v>50. Japan</v>
      </c>
    </row>
    <row r="1184" spans="1:5" x14ac:dyDescent="0.25">
      <c r="A1184" t="s">
        <v>144</v>
      </c>
      <c r="B1184" t="s">
        <v>360</v>
      </c>
      <c r="C1184">
        <v>51.2</v>
      </c>
      <c r="D1184">
        <f t="shared" si="36"/>
        <v>51</v>
      </c>
      <c r="E1184" t="str">
        <f t="shared" si="37"/>
        <v>51. Malawi</v>
      </c>
    </row>
    <row r="1185" spans="1:5" x14ac:dyDescent="0.25">
      <c r="A1185" t="s">
        <v>146</v>
      </c>
      <c r="B1185" t="s">
        <v>360</v>
      </c>
      <c r="C1185">
        <v>51.2</v>
      </c>
      <c r="D1185">
        <f t="shared" si="36"/>
        <v>52</v>
      </c>
      <c r="E1185" t="str">
        <f t="shared" si="37"/>
        <v>52. Namibia</v>
      </c>
    </row>
    <row r="1186" spans="1:5" x14ac:dyDescent="0.25">
      <c r="A1186" t="s">
        <v>172</v>
      </c>
      <c r="B1186" t="s">
        <v>360</v>
      </c>
      <c r="C1186">
        <v>51.2</v>
      </c>
      <c r="D1186">
        <f t="shared" si="36"/>
        <v>53</v>
      </c>
      <c r="E1186" t="str">
        <f t="shared" si="37"/>
        <v>53. Rwanda</v>
      </c>
    </row>
    <row r="1187" spans="1:5" x14ac:dyDescent="0.25">
      <c r="A1187" t="s">
        <v>186</v>
      </c>
      <c r="B1187" t="s">
        <v>360</v>
      </c>
      <c r="C1187">
        <v>51.2</v>
      </c>
      <c r="D1187">
        <f t="shared" si="36"/>
        <v>54</v>
      </c>
      <c r="E1187" t="str">
        <f t="shared" si="37"/>
        <v>54. Slovak Republic</v>
      </c>
    </row>
    <row r="1188" spans="1:5" x14ac:dyDescent="0.25">
      <c r="A1188" t="s">
        <v>34</v>
      </c>
      <c r="B1188" t="s">
        <v>360</v>
      </c>
      <c r="C1188">
        <v>51.1</v>
      </c>
      <c r="D1188">
        <f t="shared" si="36"/>
        <v>55</v>
      </c>
      <c r="E1188" t="str">
        <f t="shared" si="37"/>
        <v>55. Bermuda</v>
      </c>
    </row>
    <row r="1189" spans="1:5" x14ac:dyDescent="0.25">
      <c r="A1189" t="s">
        <v>103</v>
      </c>
      <c r="B1189" t="s">
        <v>360</v>
      </c>
      <c r="C1189">
        <v>51.1</v>
      </c>
      <c r="D1189">
        <f t="shared" si="36"/>
        <v>56</v>
      </c>
      <c r="E1189" t="str">
        <f t="shared" si="37"/>
        <v>56. Italy</v>
      </c>
    </row>
    <row r="1190" spans="1:5" x14ac:dyDescent="0.25">
      <c r="A1190" t="s">
        <v>128</v>
      </c>
      <c r="B1190" t="s">
        <v>360</v>
      </c>
      <c r="C1190">
        <v>51.1</v>
      </c>
      <c r="D1190">
        <f t="shared" si="36"/>
        <v>57</v>
      </c>
      <c r="E1190" t="str">
        <f t="shared" si="37"/>
        <v>57. Monaco</v>
      </c>
    </row>
    <row r="1191" spans="1:5" x14ac:dyDescent="0.25">
      <c r="A1191" t="s">
        <v>22</v>
      </c>
      <c r="B1191" t="s">
        <v>360</v>
      </c>
      <c r="C1191">
        <v>51</v>
      </c>
      <c r="D1191">
        <f t="shared" si="36"/>
        <v>58</v>
      </c>
      <c r="E1191" t="str">
        <f t="shared" si="37"/>
        <v>58. Azerbaijan</v>
      </c>
    </row>
    <row r="1192" spans="1:5" x14ac:dyDescent="0.25">
      <c r="A1192" t="s">
        <v>110</v>
      </c>
      <c r="B1192" t="s">
        <v>360</v>
      </c>
      <c r="C1192">
        <v>51</v>
      </c>
      <c r="D1192">
        <f t="shared" si="36"/>
        <v>59</v>
      </c>
      <c r="E1192" t="str">
        <f t="shared" si="37"/>
        <v>59. Cambodia</v>
      </c>
    </row>
    <row r="1193" spans="1:5" x14ac:dyDescent="0.25">
      <c r="A1193" t="s">
        <v>213</v>
      </c>
      <c r="B1193" t="s">
        <v>360</v>
      </c>
      <c r="C1193">
        <v>51</v>
      </c>
      <c r="D1193">
        <f t="shared" si="36"/>
        <v>60</v>
      </c>
      <c r="E1193" t="str">
        <f t="shared" si="37"/>
        <v>60. Viet Nam</v>
      </c>
    </row>
    <row r="1194" spans="1:5" x14ac:dyDescent="0.25">
      <c r="A1194" t="s">
        <v>189</v>
      </c>
      <c r="B1194" t="s">
        <v>360</v>
      </c>
      <c r="C1194">
        <v>50.9</v>
      </c>
      <c r="D1194">
        <f t="shared" si="36"/>
        <v>61</v>
      </c>
      <c r="E1194" t="str">
        <f t="shared" si="37"/>
        <v>61. Eswatini</v>
      </c>
    </row>
    <row r="1195" spans="1:5" x14ac:dyDescent="0.25">
      <c r="A1195" t="s">
        <v>142</v>
      </c>
      <c r="B1195" t="s">
        <v>360</v>
      </c>
      <c r="C1195">
        <v>50.9</v>
      </c>
      <c r="D1195">
        <f t="shared" si="36"/>
        <v>62</v>
      </c>
      <c r="E1195" t="str">
        <f t="shared" si="37"/>
        <v>62. Mauritania</v>
      </c>
    </row>
    <row r="1196" spans="1:5" x14ac:dyDescent="0.25">
      <c r="A1196" t="s">
        <v>68</v>
      </c>
      <c r="B1196" t="s">
        <v>360</v>
      </c>
      <c r="C1196">
        <v>50.9</v>
      </c>
      <c r="D1196">
        <f t="shared" si="36"/>
        <v>63</v>
      </c>
      <c r="E1196" t="str">
        <f t="shared" si="37"/>
        <v>63. Spain</v>
      </c>
    </row>
    <row r="1197" spans="1:5" x14ac:dyDescent="0.25">
      <c r="A1197" t="s">
        <v>197</v>
      </c>
      <c r="B1197" t="s">
        <v>360</v>
      </c>
      <c r="C1197">
        <v>50.9</v>
      </c>
      <c r="D1197">
        <f t="shared" si="36"/>
        <v>64</v>
      </c>
      <c r="E1197" t="str">
        <f t="shared" si="37"/>
        <v>64. Tajikistan</v>
      </c>
    </row>
    <row r="1198" spans="1:5" x14ac:dyDescent="0.25">
      <c r="A1198" t="s">
        <v>198</v>
      </c>
      <c r="B1198" t="s">
        <v>360</v>
      </c>
      <c r="C1198">
        <v>50.9</v>
      </c>
      <c r="D1198">
        <f t="shared" si="36"/>
        <v>65</v>
      </c>
      <c r="E1198" t="str">
        <f t="shared" si="37"/>
        <v>65. Turkmenistan</v>
      </c>
    </row>
    <row r="1199" spans="1:5" x14ac:dyDescent="0.25">
      <c r="A1199" t="s">
        <v>21</v>
      </c>
      <c r="B1199" t="s">
        <v>360</v>
      </c>
      <c r="C1199">
        <v>50.8</v>
      </c>
      <c r="D1199">
        <f t="shared" si="36"/>
        <v>66</v>
      </c>
      <c r="E1199" t="str">
        <f t="shared" si="37"/>
        <v>66. Austria</v>
      </c>
    </row>
    <row r="1200" spans="1:5" x14ac:dyDescent="0.25">
      <c r="A1200" t="s">
        <v>27</v>
      </c>
      <c r="B1200" t="s">
        <v>360</v>
      </c>
      <c r="C1200">
        <v>50.8</v>
      </c>
      <c r="D1200">
        <f t="shared" si="36"/>
        <v>67</v>
      </c>
      <c r="E1200" t="str">
        <f t="shared" si="37"/>
        <v>67. Bangladesh</v>
      </c>
    </row>
    <row r="1201" spans="1:5" x14ac:dyDescent="0.25">
      <c r="A1201" t="s">
        <v>36</v>
      </c>
      <c r="B1201" t="s">
        <v>360</v>
      </c>
      <c r="C1201">
        <v>50.8</v>
      </c>
      <c r="D1201">
        <f t="shared" si="36"/>
        <v>68</v>
      </c>
      <c r="E1201" t="str">
        <f t="shared" si="37"/>
        <v>68. Brazil</v>
      </c>
    </row>
    <row r="1202" spans="1:5" x14ac:dyDescent="0.25">
      <c r="A1202" t="s">
        <v>216</v>
      </c>
      <c r="B1202" t="s">
        <v>360</v>
      </c>
      <c r="C1202">
        <v>50.8</v>
      </c>
      <c r="D1202">
        <f t="shared" si="36"/>
        <v>69</v>
      </c>
      <c r="E1202" t="str">
        <f t="shared" si="37"/>
        <v>69. Kosovo</v>
      </c>
    </row>
    <row r="1203" spans="1:5" x14ac:dyDescent="0.25">
      <c r="A1203" t="s">
        <v>150</v>
      </c>
      <c r="B1203" t="s">
        <v>360</v>
      </c>
      <c r="C1203">
        <v>50.8</v>
      </c>
      <c r="D1203">
        <f t="shared" si="36"/>
        <v>70</v>
      </c>
      <c r="E1203" t="str">
        <f t="shared" si="37"/>
        <v>70. Nicaragua</v>
      </c>
    </row>
    <row r="1204" spans="1:5" x14ac:dyDescent="0.25">
      <c r="A1204" t="s">
        <v>180</v>
      </c>
      <c r="B1204" t="s">
        <v>360</v>
      </c>
      <c r="C1204">
        <v>50.8</v>
      </c>
      <c r="D1204">
        <f t="shared" si="36"/>
        <v>71</v>
      </c>
      <c r="E1204" t="str">
        <f t="shared" si="37"/>
        <v>71. San Marino</v>
      </c>
    </row>
    <row r="1205" spans="1:5" x14ac:dyDescent="0.25">
      <c r="A1205" t="s">
        <v>183</v>
      </c>
      <c r="B1205" t="s">
        <v>360</v>
      </c>
      <c r="C1205">
        <v>50.8</v>
      </c>
      <c r="D1205">
        <f t="shared" si="36"/>
        <v>72</v>
      </c>
      <c r="E1205" t="str">
        <f t="shared" si="37"/>
        <v>72. South Sudan</v>
      </c>
    </row>
    <row r="1206" spans="1:5" x14ac:dyDescent="0.25">
      <c r="A1206" t="s">
        <v>77</v>
      </c>
      <c r="B1206" t="s">
        <v>360</v>
      </c>
      <c r="C1206">
        <v>50.8</v>
      </c>
      <c r="D1206">
        <f t="shared" si="36"/>
        <v>73</v>
      </c>
      <c r="E1206" t="str">
        <f t="shared" si="37"/>
        <v>73. United Kingdom</v>
      </c>
    </row>
    <row r="1207" spans="1:5" x14ac:dyDescent="0.25">
      <c r="A1207" t="s">
        <v>24</v>
      </c>
      <c r="B1207" t="s">
        <v>360</v>
      </c>
      <c r="C1207">
        <v>50.7</v>
      </c>
      <c r="D1207">
        <f t="shared" si="36"/>
        <v>74</v>
      </c>
      <c r="E1207" t="str">
        <f t="shared" si="37"/>
        <v>74. Belgium</v>
      </c>
    </row>
    <row r="1208" spans="1:5" x14ac:dyDescent="0.25">
      <c r="A1208" t="s">
        <v>51</v>
      </c>
      <c r="B1208" t="s">
        <v>360</v>
      </c>
      <c r="C1208">
        <v>50.7</v>
      </c>
      <c r="D1208">
        <f t="shared" si="36"/>
        <v>75</v>
      </c>
      <c r="E1208" t="str">
        <f t="shared" si="37"/>
        <v>75. Colombia</v>
      </c>
    </row>
    <row r="1209" spans="1:5" x14ac:dyDescent="0.25">
      <c r="A1209" t="s">
        <v>55</v>
      </c>
      <c r="B1209" t="s">
        <v>360</v>
      </c>
      <c r="C1209">
        <v>50.7</v>
      </c>
      <c r="D1209">
        <f t="shared" si="36"/>
        <v>76</v>
      </c>
      <c r="E1209" t="str">
        <f t="shared" si="37"/>
        <v>76. Cuba</v>
      </c>
    </row>
    <row r="1210" spans="1:5" x14ac:dyDescent="0.25">
      <c r="A1210" t="s">
        <v>59</v>
      </c>
      <c r="B1210" t="s">
        <v>360</v>
      </c>
      <c r="C1210">
        <v>50.7</v>
      </c>
      <c r="D1210">
        <f t="shared" si="36"/>
        <v>77</v>
      </c>
      <c r="E1210" t="str">
        <f t="shared" si="37"/>
        <v>77. Czechia</v>
      </c>
    </row>
    <row r="1211" spans="1:5" x14ac:dyDescent="0.25">
      <c r="A1211" t="s">
        <v>147</v>
      </c>
      <c r="B1211" t="s">
        <v>360</v>
      </c>
      <c r="C1211">
        <v>50.7</v>
      </c>
      <c r="D1211">
        <f t="shared" si="36"/>
        <v>78</v>
      </c>
      <c r="E1211" t="str">
        <f t="shared" si="37"/>
        <v>78. New Caledonia</v>
      </c>
    </row>
    <row r="1212" spans="1:5" x14ac:dyDescent="0.25">
      <c r="A1212" t="s">
        <v>13</v>
      </c>
      <c r="B1212" t="s">
        <v>360</v>
      </c>
      <c r="C1212">
        <v>50.6</v>
      </c>
      <c r="D1212">
        <f t="shared" si="36"/>
        <v>79</v>
      </c>
      <c r="E1212" t="str">
        <f t="shared" si="37"/>
        <v>79. Albania</v>
      </c>
    </row>
    <row r="1213" spans="1:5" x14ac:dyDescent="0.25">
      <c r="A1213" t="s">
        <v>44</v>
      </c>
      <c r="B1213" t="s">
        <v>360</v>
      </c>
      <c r="C1213">
        <v>50.6</v>
      </c>
      <c r="D1213">
        <f t="shared" si="36"/>
        <v>80</v>
      </c>
      <c r="E1213" t="str">
        <f t="shared" si="37"/>
        <v>80. Channel Islands</v>
      </c>
    </row>
    <row r="1214" spans="1:5" x14ac:dyDescent="0.25">
      <c r="A1214" t="s">
        <v>54</v>
      </c>
      <c r="B1214" t="s">
        <v>360</v>
      </c>
      <c r="C1214">
        <v>50.6</v>
      </c>
      <c r="D1214">
        <f t="shared" si="36"/>
        <v>81</v>
      </c>
      <c r="E1214" t="str">
        <f t="shared" si="37"/>
        <v>81. Costa Rica</v>
      </c>
    </row>
    <row r="1215" spans="1:5" x14ac:dyDescent="0.25">
      <c r="A1215" t="s">
        <v>224</v>
      </c>
      <c r="B1215" t="s">
        <v>360</v>
      </c>
      <c r="C1215">
        <v>50.6</v>
      </c>
      <c r="D1215">
        <f t="shared" si="36"/>
        <v>82</v>
      </c>
      <c r="E1215" t="str">
        <f t="shared" si="37"/>
        <v>82. Eritrea</v>
      </c>
    </row>
    <row r="1216" spans="1:5" x14ac:dyDescent="0.25">
      <c r="A1216" t="s">
        <v>71</v>
      </c>
      <c r="B1216" t="s">
        <v>360</v>
      </c>
      <c r="C1216">
        <v>50.6</v>
      </c>
      <c r="D1216">
        <f t="shared" si="36"/>
        <v>83</v>
      </c>
      <c r="E1216" t="str">
        <f t="shared" si="37"/>
        <v>83. Finland</v>
      </c>
    </row>
    <row r="1217" spans="1:5" x14ac:dyDescent="0.25">
      <c r="A1217" t="s">
        <v>60</v>
      </c>
      <c r="B1217" t="s">
        <v>360</v>
      </c>
      <c r="C1217">
        <v>50.6</v>
      </c>
      <c r="D1217">
        <f t="shared" si="36"/>
        <v>84</v>
      </c>
      <c r="E1217" t="str">
        <f t="shared" si="37"/>
        <v>84. Germany</v>
      </c>
    </row>
    <row r="1218" spans="1:5" x14ac:dyDescent="0.25">
      <c r="A1218" t="s">
        <v>82</v>
      </c>
      <c r="B1218" t="s">
        <v>360</v>
      </c>
      <c r="C1218">
        <v>50.6</v>
      </c>
      <c r="D1218">
        <f t="shared" si="36"/>
        <v>85</v>
      </c>
      <c r="E1218" t="str">
        <f t="shared" si="37"/>
        <v>85. Guinea-Bissau</v>
      </c>
    </row>
    <row r="1219" spans="1:5" x14ac:dyDescent="0.25">
      <c r="A1219" t="s">
        <v>104</v>
      </c>
      <c r="B1219" t="s">
        <v>360</v>
      </c>
      <c r="C1219">
        <v>50.6</v>
      </c>
      <c r="D1219">
        <f t="shared" ref="D1219:D1282" si="38">IF(ROW() = 2, 1, IF(B1219 = B1218, D1218 + 1, 1))</f>
        <v>86</v>
      </c>
      <c r="E1219" t="str">
        <f t="shared" ref="E1219:E1282" si="39">_xlfn.CONCAT(D1219, ". ", A1219)</f>
        <v>86. Jamaica</v>
      </c>
    </row>
    <row r="1220" spans="1:5" x14ac:dyDescent="0.25">
      <c r="A1220" t="s">
        <v>109</v>
      </c>
      <c r="B1220" t="s">
        <v>360</v>
      </c>
      <c r="C1220">
        <v>50.6</v>
      </c>
      <c r="D1220">
        <f t="shared" si="38"/>
        <v>87</v>
      </c>
      <c r="E1220" t="str">
        <f t="shared" si="39"/>
        <v>87. Kyrgyz Republic</v>
      </c>
    </row>
    <row r="1221" spans="1:5" x14ac:dyDescent="0.25">
      <c r="A1221" t="s">
        <v>119</v>
      </c>
      <c r="B1221" t="s">
        <v>360</v>
      </c>
      <c r="C1221">
        <v>50.6</v>
      </c>
      <c r="D1221">
        <f t="shared" si="38"/>
        <v>88</v>
      </c>
      <c r="E1221" t="str">
        <f t="shared" si="39"/>
        <v>88. St. Lucia</v>
      </c>
    </row>
    <row r="1222" spans="1:5" x14ac:dyDescent="0.25">
      <c r="A1222" t="s">
        <v>201</v>
      </c>
      <c r="B1222" t="s">
        <v>360</v>
      </c>
      <c r="C1222">
        <v>50.6</v>
      </c>
      <c r="D1222">
        <f t="shared" si="38"/>
        <v>89</v>
      </c>
      <c r="E1222" t="str">
        <f t="shared" si="39"/>
        <v>89. Trinidad and Tobago</v>
      </c>
    </row>
    <row r="1223" spans="1:5" x14ac:dyDescent="0.25">
      <c r="A1223" t="s">
        <v>202</v>
      </c>
      <c r="B1223" t="s">
        <v>360</v>
      </c>
      <c r="C1223">
        <v>50.6</v>
      </c>
      <c r="D1223">
        <f t="shared" si="38"/>
        <v>90</v>
      </c>
      <c r="E1223" t="str">
        <f t="shared" si="39"/>
        <v>90. Tunisia</v>
      </c>
    </row>
    <row r="1224" spans="1:5" x14ac:dyDescent="0.25">
      <c r="A1224" t="s">
        <v>223</v>
      </c>
      <c r="B1224" t="s">
        <v>360</v>
      </c>
      <c r="C1224">
        <v>50.6</v>
      </c>
      <c r="D1224">
        <f t="shared" si="38"/>
        <v>91</v>
      </c>
      <c r="E1224" t="str">
        <f t="shared" si="39"/>
        <v>91. Venezuela, RB</v>
      </c>
    </row>
    <row r="1225" spans="1:5" x14ac:dyDescent="0.25">
      <c r="A1225" t="s">
        <v>12</v>
      </c>
      <c r="B1225" t="s">
        <v>360</v>
      </c>
      <c r="C1225">
        <v>50.5</v>
      </c>
      <c r="D1225">
        <f t="shared" si="38"/>
        <v>92</v>
      </c>
      <c r="E1225" t="str">
        <f t="shared" si="39"/>
        <v>92. Angola</v>
      </c>
    </row>
    <row r="1226" spans="1:5" x14ac:dyDescent="0.25">
      <c r="A1226" t="s">
        <v>80</v>
      </c>
      <c r="B1226" t="s">
        <v>360</v>
      </c>
      <c r="C1226">
        <v>50.5</v>
      </c>
      <c r="D1226">
        <f t="shared" si="38"/>
        <v>93</v>
      </c>
      <c r="E1226" t="str">
        <f t="shared" si="39"/>
        <v>93. Guinea</v>
      </c>
    </row>
    <row r="1227" spans="1:5" x14ac:dyDescent="0.25">
      <c r="A1227" t="s">
        <v>93</v>
      </c>
      <c r="B1227" t="s">
        <v>360</v>
      </c>
      <c r="C1227">
        <v>50.5</v>
      </c>
      <c r="D1227">
        <f t="shared" si="38"/>
        <v>94</v>
      </c>
      <c r="E1227" t="str">
        <f t="shared" si="39"/>
        <v>94. Haiti</v>
      </c>
    </row>
    <row r="1228" spans="1:5" x14ac:dyDescent="0.25">
      <c r="A1228" t="s">
        <v>98</v>
      </c>
      <c r="B1228" t="s">
        <v>360</v>
      </c>
      <c r="C1228">
        <v>50.5</v>
      </c>
      <c r="D1228">
        <f t="shared" si="38"/>
        <v>95</v>
      </c>
      <c r="E1228" t="str">
        <f t="shared" si="39"/>
        <v>95. Ireland</v>
      </c>
    </row>
    <row r="1229" spans="1:5" x14ac:dyDescent="0.25">
      <c r="A1229" t="s">
        <v>96</v>
      </c>
      <c r="B1229" t="s">
        <v>360</v>
      </c>
      <c r="C1229">
        <v>50.5</v>
      </c>
      <c r="D1229">
        <f t="shared" si="38"/>
        <v>96</v>
      </c>
      <c r="E1229" t="str">
        <f t="shared" si="39"/>
        <v>96. Isle of Man</v>
      </c>
    </row>
    <row r="1230" spans="1:5" x14ac:dyDescent="0.25">
      <c r="A1230" t="s">
        <v>219</v>
      </c>
      <c r="B1230" t="s">
        <v>360</v>
      </c>
      <c r="C1230">
        <v>50.5</v>
      </c>
      <c r="D1230">
        <f t="shared" si="38"/>
        <v>97</v>
      </c>
      <c r="E1230" t="str">
        <f t="shared" si="39"/>
        <v>97. Zambia</v>
      </c>
    </row>
    <row r="1231" spans="1:5" x14ac:dyDescent="0.25">
      <c r="A1231" t="s">
        <v>16</v>
      </c>
      <c r="B1231" t="s">
        <v>360</v>
      </c>
      <c r="C1231">
        <v>50.4</v>
      </c>
      <c r="D1231">
        <f t="shared" si="38"/>
        <v>98</v>
      </c>
      <c r="E1231" t="str">
        <f t="shared" si="39"/>
        <v>98. Argentina</v>
      </c>
    </row>
    <row r="1232" spans="1:5" x14ac:dyDescent="0.25">
      <c r="A1232" t="s">
        <v>20</v>
      </c>
      <c r="B1232" t="s">
        <v>360</v>
      </c>
      <c r="C1232">
        <v>50.4</v>
      </c>
      <c r="D1232">
        <f t="shared" si="38"/>
        <v>99</v>
      </c>
      <c r="E1232" t="str">
        <f t="shared" si="39"/>
        <v>99. Australia</v>
      </c>
    </row>
    <row r="1233" spans="1:5" x14ac:dyDescent="0.25">
      <c r="A1233" t="s">
        <v>49</v>
      </c>
      <c r="B1233" t="s">
        <v>360</v>
      </c>
      <c r="C1233">
        <v>50.4</v>
      </c>
      <c r="D1233">
        <f t="shared" si="38"/>
        <v>100</v>
      </c>
      <c r="E1233" t="str">
        <f t="shared" si="39"/>
        <v>100. Congo, Dem. Rep.</v>
      </c>
    </row>
    <row r="1234" spans="1:5" x14ac:dyDescent="0.25">
      <c r="A1234" t="s">
        <v>61</v>
      </c>
      <c r="B1234" t="s">
        <v>360</v>
      </c>
      <c r="C1234">
        <v>50.4</v>
      </c>
      <c r="D1234">
        <f t="shared" si="38"/>
        <v>101</v>
      </c>
      <c r="E1234" t="str">
        <f t="shared" si="39"/>
        <v>101. Djibouti</v>
      </c>
    </row>
    <row r="1235" spans="1:5" x14ac:dyDescent="0.25">
      <c r="A1235" t="s">
        <v>72</v>
      </c>
      <c r="B1235" t="s">
        <v>360</v>
      </c>
      <c r="C1235">
        <v>50.4</v>
      </c>
      <c r="D1235">
        <f t="shared" si="38"/>
        <v>102</v>
      </c>
      <c r="E1235" t="str">
        <f t="shared" si="39"/>
        <v>102. Fiji</v>
      </c>
    </row>
    <row r="1236" spans="1:5" x14ac:dyDescent="0.25">
      <c r="A1236" t="s">
        <v>87</v>
      </c>
      <c r="B1236" t="s">
        <v>360</v>
      </c>
      <c r="C1236">
        <v>50.4</v>
      </c>
      <c r="D1236">
        <f t="shared" si="38"/>
        <v>103</v>
      </c>
      <c r="E1236" t="str">
        <f t="shared" si="39"/>
        <v>103. Guatemala</v>
      </c>
    </row>
    <row r="1237" spans="1:5" x14ac:dyDescent="0.25">
      <c r="A1237" t="s">
        <v>174</v>
      </c>
      <c r="B1237" t="s">
        <v>360</v>
      </c>
      <c r="C1237">
        <v>50.4</v>
      </c>
      <c r="D1237">
        <f t="shared" si="38"/>
        <v>104</v>
      </c>
      <c r="E1237" t="str">
        <f t="shared" si="39"/>
        <v>104. Sudan</v>
      </c>
    </row>
    <row r="1238" spans="1:5" x14ac:dyDescent="0.25">
      <c r="A1238" t="s">
        <v>205</v>
      </c>
      <c r="B1238" t="s">
        <v>360</v>
      </c>
      <c r="C1238">
        <v>50.4</v>
      </c>
      <c r="D1238">
        <f t="shared" si="38"/>
        <v>105</v>
      </c>
      <c r="E1238" t="str">
        <f t="shared" si="39"/>
        <v>105. Tanzania</v>
      </c>
    </row>
    <row r="1239" spans="1:5" x14ac:dyDescent="0.25">
      <c r="A1239" t="s">
        <v>206</v>
      </c>
      <c r="B1239" t="s">
        <v>360</v>
      </c>
      <c r="C1239">
        <v>50.4</v>
      </c>
      <c r="D1239">
        <f t="shared" si="38"/>
        <v>106</v>
      </c>
      <c r="E1239" t="str">
        <f t="shared" si="39"/>
        <v>106. Uganda</v>
      </c>
    </row>
    <row r="1240" spans="1:5" x14ac:dyDescent="0.25">
      <c r="A1240" t="s">
        <v>167</v>
      </c>
      <c r="B1240" t="s">
        <v>360</v>
      </c>
      <c r="C1240">
        <v>50.4</v>
      </c>
      <c r="D1240">
        <f t="shared" si="38"/>
        <v>107</v>
      </c>
      <c r="E1240" t="str">
        <f t="shared" si="39"/>
        <v>107. West Bank and Gaza</v>
      </c>
    </row>
    <row r="1241" spans="1:5" x14ac:dyDescent="0.25">
      <c r="A1241" t="s">
        <v>23</v>
      </c>
      <c r="B1241" t="s">
        <v>360</v>
      </c>
      <c r="C1241">
        <v>50.3</v>
      </c>
      <c r="D1241">
        <f t="shared" si="38"/>
        <v>108</v>
      </c>
      <c r="E1241" t="str">
        <f t="shared" si="39"/>
        <v>108. Burundi</v>
      </c>
    </row>
    <row r="1242" spans="1:5" x14ac:dyDescent="0.25">
      <c r="A1242" t="s">
        <v>42</v>
      </c>
      <c r="B1242" t="s">
        <v>360</v>
      </c>
      <c r="C1242">
        <v>50.3</v>
      </c>
      <c r="D1242">
        <f t="shared" si="38"/>
        <v>109</v>
      </c>
      <c r="E1242" t="str">
        <f t="shared" si="39"/>
        <v>109. Canada</v>
      </c>
    </row>
    <row r="1243" spans="1:5" x14ac:dyDescent="0.25">
      <c r="A1243" t="s">
        <v>45</v>
      </c>
      <c r="B1243" t="s">
        <v>360</v>
      </c>
      <c r="C1243">
        <v>50.3</v>
      </c>
      <c r="D1243">
        <f t="shared" si="38"/>
        <v>110</v>
      </c>
      <c r="E1243" t="str">
        <f t="shared" si="39"/>
        <v>110. Chile</v>
      </c>
    </row>
    <row r="1244" spans="1:5" x14ac:dyDescent="0.25">
      <c r="A1244" t="s">
        <v>63</v>
      </c>
      <c r="B1244" t="s">
        <v>360</v>
      </c>
      <c r="C1244">
        <v>50.3</v>
      </c>
      <c r="D1244">
        <f t="shared" si="38"/>
        <v>111</v>
      </c>
      <c r="E1244" t="str">
        <f t="shared" si="39"/>
        <v>111. Denmark</v>
      </c>
    </row>
    <row r="1245" spans="1:5" x14ac:dyDescent="0.25">
      <c r="A1245" t="s">
        <v>64</v>
      </c>
      <c r="B1245" t="s">
        <v>360</v>
      </c>
      <c r="C1245">
        <v>50.3</v>
      </c>
      <c r="D1245">
        <f t="shared" si="38"/>
        <v>112</v>
      </c>
      <c r="E1245" t="str">
        <f t="shared" si="39"/>
        <v>112. Dominican Republic</v>
      </c>
    </row>
    <row r="1246" spans="1:5" x14ac:dyDescent="0.25">
      <c r="A1246" t="s">
        <v>108</v>
      </c>
      <c r="B1246" t="s">
        <v>360</v>
      </c>
      <c r="C1246">
        <v>50.3</v>
      </c>
      <c r="D1246">
        <f t="shared" si="38"/>
        <v>113</v>
      </c>
      <c r="E1246" t="str">
        <f t="shared" si="39"/>
        <v>113. Kenya</v>
      </c>
    </row>
    <row r="1247" spans="1:5" x14ac:dyDescent="0.25">
      <c r="A1247" t="s">
        <v>120</v>
      </c>
      <c r="B1247" t="s">
        <v>360</v>
      </c>
      <c r="C1247">
        <v>50.3</v>
      </c>
      <c r="D1247">
        <f t="shared" si="38"/>
        <v>114</v>
      </c>
      <c r="E1247" t="str">
        <f t="shared" si="39"/>
        <v>114. Liechtenstein</v>
      </c>
    </row>
    <row r="1248" spans="1:5" x14ac:dyDescent="0.25">
      <c r="A1248" t="s">
        <v>75</v>
      </c>
      <c r="B1248" t="s">
        <v>360</v>
      </c>
      <c r="C1248">
        <v>50.3</v>
      </c>
      <c r="D1248">
        <f t="shared" si="38"/>
        <v>115</v>
      </c>
      <c r="E1248" t="str">
        <f t="shared" si="39"/>
        <v>115. Micronesia, Fed. Sts.</v>
      </c>
    </row>
    <row r="1249" spans="1:5" x14ac:dyDescent="0.25">
      <c r="A1249" t="s">
        <v>151</v>
      </c>
      <c r="B1249" t="s">
        <v>360</v>
      </c>
      <c r="C1249">
        <v>50.3</v>
      </c>
      <c r="D1249">
        <f t="shared" si="38"/>
        <v>116</v>
      </c>
      <c r="E1249" t="str">
        <f t="shared" si="39"/>
        <v>116. Netherlands</v>
      </c>
    </row>
    <row r="1250" spans="1:5" x14ac:dyDescent="0.25">
      <c r="A1250" t="s">
        <v>155</v>
      </c>
      <c r="B1250" t="s">
        <v>360</v>
      </c>
      <c r="C1250">
        <v>50.3</v>
      </c>
      <c r="D1250">
        <f t="shared" si="38"/>
        <v>117</v>
      </c>
      <c r="E1250" t="str">
        <f t="shared" si="39"/>
        <v>117. New Zealand</v>
      </c>
    </row>
    <row r="1251" spans="1:5" x14ac:dyDescent="0.25">
      <c r="A1251" t="s">
        <v>159</v>
      </c>
      <c r="B1251" t="s">
        <v>360</v>
      </c>
      <c r="C1251">
        <v>50.3</v>
      </c>
      <c r="D1251">
        <f t="shared" si="38"/>
        <v>118</v>
      </c>
      <c r="E1251" t="str">
        <f t="shared" si="39"/>
        <v>118. Peru</v>
      </c>
    </row>
    <row r="1252" spans="1:5" x14ac:dyDescent="0.25">
      <c r="A1252" t="s">
        <v>184</v>
      </c>
      <c r="B1252" t="s">
        <v>360</v>
      </c>
      <c r="C1252">
        <v>50.3</v>
      </c>
      <c r="D1252">
        <f t="shared" si="38"/>
        <v>119</v>
      </c>
      <c r="E1252" t="str">
        <f t="shared" si="39"/>
        <v>119. Sao Tome and Principe</v>
      </c>
    </row>
    <row r="1253" spans="1:5" x14ac:dyDescent="0.25">
      <c r="A1253" t="s">
        <v>43</v>
      </c>
      <c r="B1253" t="s">
        <v>360</v>
      </c>
      <c r="C1253">
        <v>50.3</v>
      </c>
      <c r="D1253">
        <f t="shared" si="38"/>
        <v>120</v>
      </c>
      <c r="E1253" t="str">
        <f t="shared" si="39"/>
        <v>120. Switzerland</v>
      </c>
    </row>
    <row r="1254" spans="1:5" x14ac:dyDescent="0.25">
      <c r="A1254" t="s">
        <v>40</v>
      </c>
      <c r="B1254" t="s">
        <v>360</v>
      </c>
      <c r="C1254">
        <v>50.2</v>
      </c>
      <c r="D1254">
        <f t="shared" si="38"/>
        <v>121</v>
      </c>
      <c r="E1254" t="str">
        <f t="shared" si="39"/>
        <v>121. Botswana</v>
      </c>
    </row>
    <row r="1255" spans="1:5" x14ac:dyDescent="0.25">
      <c r="A1255" t="s">
        <v>26</v>
      </c>
      <c r="B1255" t="s">
        <v>360</v>
      </c>
      <c r="C1255">
        <v>50.2</v>
      </c>
      <c r="D1255">
        <f t="shared" si="38"/>
        <v>122</v>
      </c>
      <c r="E1255" t="str">
        <f t="shared" si="39"/>
        <v>122. Burkina Faso</v>
      </c>
    </row>
    <row r="1256" spans="1:5" x14ac:dyDescent="0.25">
      <c r="A1256" t="s">
        <v>48</v>
      </c>
      <c r="B1256" t="s">
        <v>360</v>
      </c>
      <c r="C1256">
        <v>50.2</v>
      </c>
      <c r="D1256">
        <f t="shared" si="38"/>
        <v>123</v>
      </c>
      <c r="E1256" t="str">
        <f t="shared" si="39"/>
        <v>123. Cameroon</v>
      </c>
    </row>
    <row r="1257" spans="1:5" x14ac:dyDescent="0.25">
      <c r="A1257" t="s">
        <v>81</v>
      </c>
      <c r="B1257" t="s">
        <v>360</v>
      </c>
      <c r="C1257">
        <v>50.2</v>
      </c>
      <c r="D1257">
        <f t="shared" si="38"/>
        <v>124</v>
      </c>
      <c r="E1257" t="str">
        <f t="shared" si="39"/>
        <v>124. Gambia, The</v>
      </c>
    </row>
    <row r="1258" spans="1:5" x14ac:dyDescent="0.25">
      <c r="A1258" t="s">
        <v>102</v>
      </c>
      <c r="B1258" t="s">
        <v>360</v>
      </c>
      <c r="C1258">
        <v>50.2</v>
      </c>
      <c r="D1258">
        <f t="shared" si="38"/>
        <v>125</v>
      </c>
      <c r="E1258" t="str">
        <f t="shared" si="39"/>
        <v>125. Israel</v>
      </c>
    </row>
    <row r="1259" spans="1:5" x14ac:dyDescent="0.25">
      <c r="A1259" t="s">
        <v>137</v>
      </c>
      <c r="B1259" t="s">
        <v>360</v>
      </c>
      <c r="C1259">
        <v>50.2</v>
      </c>
      <c r="D1259">
        <f t="shared" si="38"/>
        <v>126</v>
      </c>
      <c r="E1259" t="str">
        <f t="shared" si="39"/>
        <v>126. Myanmar</v>
      </c>
    </row>
    <row r="1260" spans="1:5" x14ac:dyDescent="0.25">
      <c r="A1260" t="s">
        <v>66</v>
      </c>
      <c r="B1260" t="s">
        <v>360</v>
      </c>
      <c r="C1260">
        <v>50.1</v>
      </c>
      <c r="D1260">
        <f t="shared" si="38"/>
        <v>127</v>
      </c>
      <c r="E1260" t="str">
        <f t="shared" si="39"/>
        <v>127. Ecuador</v>
      </c>
    </row>
    <row r="1261" spans="1:5" x14ac:dyDescent="0.25">
      <c r="A1261" t="s">
        <v>79</v>
      </c>
      <c r="B1261" t="s">
        <v>360</v>
      </c>
      <c r="C1261">
        <v>50.1</v>
      </c>
      <c r="D1261">
        <f t="shared" si="38"/>
        <v>128</v>
      </c>
      <c r="E1261" t="str">
        <f t="shared" si="39"/>
        <v>128. Ghana</v>
      </c>
    </row>
    <row r="1262" spans="1:5" x14ac:dyDescent="0.25">
      <c r="A1262" t="s">
        <v>113</v>
      </c>
      <c r="B1262" t="s">
        <v>360</v>
      </c>
      <c r="C1262">
        <v>50.1</v>
      </c>
      <c r="D1262">
        <f t="shared" si="38"/>
        <v>129</v>
      </c>
      <c r="E1262" t="str">
        <f t="shared" si="39"/>
        <v>129. Korea, Rep.</v>
      </c>
    </row>
    <row r="1263" spans="1:5" x14ac:dyDescent="0.25">
      <c r="A1263" t="s">
        <v>117</v>
      </c>
      <c r="B1263" t="s">
        <v>360</v>
      </c>
      <c r="C1263">
        <v>50.1</v>
      </c>
      <c r="D1263">
        <f t="shared" si="38"/>
        <v>130</v>
      </c>
      <c r="E1263" t="str">
        <f t="shared" si="39"/>
        <v>130. Liberia</v>
      </c>
    </row>
    <row r="1264" spans="1:5" x14ac:dyDescent="0.25">
      <c r="A1264" t="s">
        <v>143</v>
      </c>
      <c r="B1264" t="s">
        <v>360</v>
      </c>
      <c r="C1264">
        <v>50.1</v>
      </c>
      <c r="D1264">
        <f t="shared" si="38"/>
        <v>131</v>
      </c>
      <c r="E1264" t="str">
        <f t="shared" si="39"/>
        <v>131. Mauritius</v>
      </c>
    </row>
    <row r="1265" spans="1:5" x14ac:dyDescent="0.25">
      <c r="A1265" t="s">
        <v>139</v>
      </c>
      <c r="B1265" t="s">
        <v>360</v>
      </c>
      <c r="C1265">
        <v>50.1</v>
      </c>
      <c r="D1265">
        <f t="shared" si="38"/>
        <v>132</v>
      </c>
      <c r="E1265" t="str">
        <f t="shared" si="39"/>
        <v>132. Mongolia</v>
      </c>
    </row>
    <row r="1266" spans="1:5" x14ac:dyDescent="0.25">
      <c r="A1266" t="s">
        <v>160</v>
      </c>
      <c r="B1266" t="s">
        <v>360</v>
      </c>
      <c r="C1266">
        <v>50.1</v>
      </c>
      <c r="D1266">
        <f t="shared" si="38"/>
        <v>133</v>
      </c>
      <c r="E1266" t="str">
        <f t="shared" si="39"/>
        <v>133. Philippines</v>
      </c>
    </row>
    <row r="1267" spans="1:5" x14ac:dyDescent="0.25">
      <c r="A1267" t="s">
        <v>178</v>
      </c>
      <c r="B1267" t="s">
        <v>360</v>
      </c>
      <c r="C1267">
        <v>50.1</v>
      </c>
      <c r="D1267">
        <f t="shared" si="38"/>
        <v>134</v>
      </c>
      <c r="E1267" t="str">
        <f t="shared" si="39"/>
        <v>134. Sierra Leone</v>
      </c>
    </row>
    <row r="1268" spans="1:5" x14ac:dyDescent="0.25">
      <c r="A1268" t="s">
        <v>203</v>
      </c>
      <c r="B1268" t="s">
        <v>360</v>
      </c>
      <c r="C1268">
        <v>50.1</v>
      </c>
      <c r="D1268">
        <f t="shared" si="38"/>
        <v>135</v>
      </c>
      <c r="E1268" t="str">
        <f t="shared" si="39"/>
        <v>135. Turkiye</v>
      </c>
    </row>
    <row r="1269" spans="1:5" x14ac:dyDescent="0.25">
      <c r="A1269" t="s">
        <v>50</v>
      </c>
      <c r="B1269" t="s">
        <v>360</v>
      </c>
      <c r="C1269">
        <v>50</v>
      </c>
      <c r="D1269">
        <f t="shared" si="38"/>
        <v>136</v>
      </c>
      <c r="E1269" t="str">
        <f t="shared" si="39"/>
        <v>136. Congo, Rep.</v>
      </c>
    </row>
    <row r="1270" spans="1:5" x14ac:dyDescent="0.25">
      <c r="A1270" t="s">
        <v>62</v>
      </c>
      <c r="B1270" t="s">
        <v>360</v>
      </c>
      <c r="C1270">
        <v>50</v>
      </c>
      <c r="D1270">
        <f t="shared" si="38"/>
        <v>137</v>
      </c>
      <c r="E1270" t="str">
        <f t="shared" si="39"/>
        <v>137. Dominica</v>
      </c>
    </row>
    <row r="1271" spans="1:5" x14ac:dyDescent="0.25">
      <c r="A1271" t="s">
        <v>158</v>
      </c>
      <c r="B1271" t="s">
        <v>360</v>
      </c>
      <c r="C1271">
        <v>50</v>
      </c>
      <c r="D1271">
        <f t="shared" si="38"/>
        <v>138</v>
      </c>
      <c r="E1271" t="str">
        <f t="shared" si="39"/>
        <v>138. Panama</v>
      </c>
    </row>
    <row r="1272" spans="1:5" x14ac:dyDescent="0.25">
      <c r="A1272" t="s">
        <v>185</v>
      </c>
      <c r="B1272" t="s">
        <v>360</v>
      </c>
      <c r="C1272">
        <v>50</v>
      </c>
      <c r="D1272">
        <f t="shared" si="38"/>
        <v>139</v>
      </c>
      <c r="E1272" t="str">
        <f t="shared" si="39"/>
        <v>139. Suriname</v>
      </c>
    </row>
    <row r="1273" spans="1:5" x14ac:dyDescent="0.25">
      <c r="A1273" t="s">
        <v>192</v>
      </c>
      <c r="B1273" t="s">
        <v>360</v>
      </c>
      <c r="C1273">
        <v>50</v>
      </c>
      <c r="D1273">
        <f t="shared" si="38"/>
        <v>140</v>
      </c>
      <c r="E1273" t="str">
        <f t="shared" si="39"/>
        <v>140. Syrian Arab Republic</v>
      </c>
    </row>
    <row r="1274" spans="1:5" x14ac:dyDescent="0.25">
      <c r="A1274" t="s">
        <v>25</v>
      </c>
      <c r="B1274" t="s">
        <v>360</v>
      </c>
      <c r="C1274">
        <v>49.9</v>
      </c>
      <c r="D1274">
        <f t="shared" si="38"/>
        <v>141</v>
      </c>
      <c r="E1274" t="str">
        <f t="shared" si="39"/>
        <v>141. Benin</v>
      </c>
    </row>
    <row r="1275" spans="1:5" x14ac:dyDescent="0.25">
      <c r="A1275" t="s">
        <v>35</v>
      </c>
      <c r="B1275" t="s">
        <v>360</v>
      </c>
      <c r="C1275">
        <v>49.9</v>
      </c>
      <c r="D1275">
        <f t="shared" si="38"/>
        <v>142</v>
      </c>
      <c r="E1275" t="str">
        <f t="shared" si="39"/>
        <v>142. Bolivia</v>
      </c>
    </row>
    <row r="1276" spans="1:5" x14ac:dyDescent="0.25">
      <c r="A1276" t="s">
        <v>70</v>
      </c>
      <c r="B1276" t="s">
        <v>360</v>
      </c>
      <c r="C1276">
        <v>49.9</v>
      </c>
      <c r="D1276">
        <f t="shared" si="38"/>
        <v>143</v>
      </c>
      <c r="E1276" t="str">
        <f t="shared" si="39"/>
        <v>143. Ethiopia</v>
      </c>
    </row>
    <row r="1277" spans="1:5" x14ac:dyDescent="0.25">
      <c r="A1277" t="s">
        <v>85</v>
      </c>
      <c r="B1277" t="s">
        <v>360</v>
      </c>
      <c r="C1277">
        <v>49.9</v>
      </c>
      <c r="D1277">
        <f t="shared" si="38"/>
        <v>144</v>
      </c>
      <c r="E1277" t="str">
        <f t="shared" si="39"/>
        <v>144. Grenada</v>
      </c>
    </row>
    <row r="1278" spans="1:5" x14ac:dyDescent="0.25">
      <c r="A1278" t="s">
        <v>166</v>
      </c>
      <c r="B1278" t="s">
        <v>360</v>
      </c>
      <c r="C1278">
        <v>49.9</v>
      </c>
      <c r="D1278">
        <f t="shared" si="38"/>
        <v>145</v>
      </c>
      <c r="E1278" t="str">
        <f t="shared" si="39"/>
        <v>145. Paraguay</v>
      </c>
    </row>
    <row r="1279" spans="1:5" x14ac:dyDescent="0.25">
      <c r="A1279" t="s">
        <v>222</v>
      </c>
      <c r="B1279" t="s">
        <v>360</v>
      </c>
      <c r="C1279">
        <v>49.9</v>
      </c>
      <c r="D1279">
        <f t="shared" si="38"/>
        <v>146</v>
      </c>
      <c r="E1279" t="str">
        <f t="shared" si="39"/>
        <v>146. Somalia, Fed. Rep.</v>
      </c>
    </row>
    <row r="1280" spans="1:5" x14ac:dyDescent="0.25">
      <c r="A1280" t="s">
        <v>193</v>
      </c>
      <c r="B1280" t="s">
        <v>360</v>
      </c>
      <c r="C1280">
        <v>49.9</v>
      </c>
      <c r="D1280">
        <f t="shared" si="38"/>
        <v>147</v>
      </c>
      <c r="E1280" t="str">
        <f t="shared" si="39"/>
        <v>147. Turks and Caicos Islands</v>
      </c>
    </row>
    <row r="1281" spans="1:5" x14ac:dyDescent="0.25">
      <c r="A1281" t="s">
        <v>57</v>
      </c>
      <c r="B1281" t="s">
        <v>360</v>
      </c>
      <c r="C1281">
        <v>49.8</v>
      </c>
      <c r="D1281">
        <f t="shared" si="38"/>
        <v>148</v>
      </c>
      <c r="E1281" t="str">
        <f t="shared" si="39"/>
        <v>148. Cayman Islands</v>
      </c>
    </row>
    <row r="1282" spans="1:5" x14ac:dyDescent="0.25">
      <c r="A1282" t="s">
        <v>194</v>
      </c>
      <c r="B1282" t="s">
        <v>360</v>
      </c>
      <c r="C1282">
        <v>49.8</v>
      </c>
      <c r="D1282">
        <f t="shared" si="38"/>
        <v>149</v>
      </c>
      <c r="E1282" t="str">
        <f t="shared" si="39"/>
        <v>149. Chad</v>
      </c>
    </row>
    <row r="1283" spans="1:5" x14ac:dyDescent="0.25">
      <c r="A1283" t="s">
        <v>95</v>
      </c>
      <c r="B1283" t="s">
        <v>360</v>
      </c>
      <c r="C1283">
        <v>49.8</v>
      </c>
      <c r="D1283">
        <f t="shared" ref="D1283:D1346" si="40">IF(ROW() = 2, 1, IF(B1283 = B1282, D1282 + 1, 1))</f>
        <v>150</v>
      </c>
      <c r="E1283" t="str">
        <f t="shared" ref="E1283:E1346" si="41">_xlfn.CONCAT(D1283, ". ", A1283)</f>
        <v>150. Indonesia</v>
      </c>
    </row>
    <row r="1284" spans="1:5" x14ac:dyDescent="0.25">
      <c r="A1284" t="s">
        <v>100</v>
      </c>
      <c r="B1284" t="s">
        <v>360</v>
      </c>
      <c r="C1284">
        <v>49.8</v>
      </c>
      <c r="D1284">
        <f t="shared" si="40"/>
        <v>151</v>
      </c>
      <c r="E1284" t="str">
        <f t="shared" si="41"/>
        <v>151. Iraq</v>
      </c>
    </row>
    <row r="1285" spans="1:5" x14ac:dyDescent="0.25">
      <c r="A1285" t="s">
        <v>115</v>
      </c>
      <c r="B1285" t="s">
        <v>360</v>
      </c>
      <c r="C1285">
        <v>49.8</v>
      </c>
      <c r="D1285">
        <f t="shared" si="40"/>
        <v>152</v>
      </c>
      <c r="E1285" t="str">
        <f t="shared" si="41"/>
        <v>152. Lao PDR</v>
      </c>
    </row>
    <row r="1286" spans="1:5" x14ac:dyDescent="0.25">
      <c r="A1286" t="s">
        <v>130</v>
      </c>
      <c r="B1286" t="s">
        <v>360</v>
      </c>
      <c r="C1286">
        <v>49.8</v>
      </c>
      <c r="D1286">
        <f t="shared" si="40"/>
        <v>153</v>
      </c>
      <c r="E1286" t="str">
        <f t="shared" si="41"/>
        <v>153. Madagascar</v>
      </c>
    </row>
    <row r="1287" spans="1:5" x14ac:dyDescent="0.25">
      <c r="A1287" t="s">
        <v>187</v>
      </c>
      <c r="B1287" t="s">
        <v>360</v>
      </c>
      <c r="C1287">
        <v>49.8</v>
      </c>
      <c r="D1287">
        <f t="shared" si="40"/>
        <v>154</v>
      </c>
      <c r="E1287" t="str">
        <f t="shared" si="41"/>
        <v>154. Slovenia</v>
      </c>
    </row>
    <row r="1288" spans="1:5" x14ac:dyDescent="0.25">
      <c r="A1288" t="s">
        <v>209</v>
      </c>
      <c r="B1288" t="s">
        <v>360</v>
      </c>
      <c r="C1288">
        <v>49.8</v>
      </c>
      <c r="D1288">
        <f t="shared" si="40"/>
        <v>155</v>
      </c>
      <c r="E1288" t="str">
        <f t="shared" si="41"/>
        <v>155. United States</v>
      </c>
    </row>
    <row r="1289" spans="1:5" x14ac:dyDescent="0.25">
      <c r="A1289" t="s">
        <v>52</v>
      </c>
      <c r="B1289" t="s">
        <v>360</v>
      </c>
      <c r="C1289">
        <v>49.7</v>
      </c>
      <c r="D1289">
        <f t="shared" si="40"/>
        <v>156</v>
      </c>
      <c r="E1289" t="str">
        <f t="shared" si="41"/>
        <v>156. Comoros</v>
      </c>
    </row>
    <row r="1290" spans="1:5" x14ac:dyDescent="0.25">
      <c r="A1290" t="s">
        <v>91</v>
      </c>
      <c r="B1290" t="s">
        <v>360</v>
      </c>
      <c r="C1290">
        <v>49.7</v>
      </c>
      <c r="D1290">
        <f t="shared" si="40"/>
        <v>157</v>
      </c>
      <c r="E1290" t="str">
        <f t="shared" si="41"/>
        <v>157. Honduras</v>
      </c>
    </row>
    <row r="1291" spans="1:5" x14ac:dyDescent="0.25">
      <c r="A1291" t="s">
        <v>124</v>
      </c>
      <c r="B1291" t="s">
        <v>360</v>
      </c>
      <c r="C1291">
        <v>49.7</v>
      </c>
      <c r="D1291">
        <f t="shared" si="40"/>
        <v>158</v>
      </c>
      <c r="E1291" t="str">
        <f t="shared" si="41"/>
        <v>158. Luxembourg</v>
      </c>
    </row>
    <row r="1292" spans="1:5" x14ac:dyDescent="0.25">
      <c r="A1292" t="s">
        <v>195</v>
      </c>
      <c r="B1292" t="s">
        <v>360</v>
      </c>
      <c r="C1292">
        <v>49.7</v>
      </c>
      <c r="D1292">
        <f t="shared" si="40"/>
        <v>159</v>
      </c>
      <c r="E1292" t="str">
        <f t="shared" si="41"/>
        <v>159. Togo</v>
      </c>
    </row>
    <row r="1293" spans="1:5" x14ac:dyDescent="0.25">
      <c r="A1293" t="s">
        <v>58</v>
      </c>
      <c r="B1293" t="s">
        <v>360</v>
      </c>
      <c r="C1293">
        <v>49.6</v>
      </c>
      <c r="D1293">
        <f t="shared" si="40"/>
        <v>160</v>
      </c>
      <c r="E1293" t="str">
        <f t="shared" si="41"/>
        <v>160. Cyprus</v>
      </c>
    </row>
    <row r="1294" spans="1:5" x14ac:dyDescent="0.25">
      <c r="A1294" t="s">
        <v>127</v>
      </c>
      <c r="B1294" t="s">
        <v>360</v>
      </c>
      <c r="C1294">
        <v>49.6</v>
      </c>
      <c r="D1294">
        <f t="shared" si="40"/>
        <v>161</v>
      </c>
      <c r="E1294" t="str">
        <f t="shared" si="41"/>
        <v>161. Morocco</v>
      </c>
    </row>
    <row r="1295" spans="1:5" x14ac:dyDescent="0.25">
      <c r="A1295" t="s">
        <v>152</v>
      </c>
      <c r="B1295" t="s">
        <v>360</v>
      </c>
      <c r="C1295">
        <v>49.6</v>
      </c>
      <c r="D1295">
        <f t="shared" si="40"/>
        <v>162</v>
      </c>
      <c r="E1295" t="str">
        <f t="shared" si="41"/>
        <v>162. Norway</v>
      </c>
    </row>
    <row r="1296" spans="1:5" x14ac:dyDescent="0.25">
      <c r="A1296" t="s">
        <v>215</v>
      </c>
      <c r="B1296" t="s">
        <v>360</v>
      </c>
      <c r="C1296">
        <v>49.6</v>
      </c>
      <c r="D1296">
        <f t="shared" si="40"/>
        <v>163</v>
      </c>
      <c r="E1296" t="str">
        <f t="shared" si="41"/>
        <v>163. Samoa</v>
      </c>
    </row>
    <row r="1297" spans="1:5" x14ac:dyDescent="0.25">
      <c r="A1297" t="s">
        <v>188</v>
      </c>
      <c r="B1297" t="s">
        <v>360</v>
      </c>
      <c r="C1297">
        <v>49.6</v>
      </c>
      <c r="D1297">
        <f t="shared" si="40"/>
        <v>164</v>
      </c>
      <c r="E1297" t="str">
        <f t="shared" si="41"/>
        <v>164. Sweden</v>
      </c>
    </row>
    <row r="1298" spans="1:5" x14ac:dyDescent="0.25">
      <c r="A1298" t="s">
        <v>199</v>
      </c>
      <c r="B1298" t="s">
        <v>360</v>
      </c>
      <c r="C1298">
        <v>49.6</v>
      </c>
      <c r="D1298">
        <f t="shared" si="40"/>
        <v>165</v>
      </c>
      <c r="E1298" t="str">
        <f t="shared" si="41"/>
        <v>165. Timor-Leste</v>
      </c>
    </row>
    <row r="1299" spans="1:5" x14ac:dyDescent="0.25">
      <c r="A1299" t="s">
        <v>210</v>
      </c>
      <c r="B1299" t="s">
        <v>360</v>
      </c>
      <c r="C1299">
        <v>49.6</v>
      </c>
      <c r="D1299">
        <f t="shared" si="40"/>
        <v>166</v>
      </c>
      <c r="E1299" t="str">
        <f t="shared" si="41"/>
        <v>166. Uzbekistan</v>
      </c>
    </row>
    <row r="1300" spans="1:5" x14ac:dyDescent="0.25">
      <c r="A1300" t="s">
        <v>11</v>
      </c>
      <c r="B1300" t="s">
        <v>360</v>
      </c>
      <c r="C1300">
        <v>49.5</v>
      </c>
      <c r="D1300">
        <f t="shared" si="40"/>
        <v>167</v>
      </c>
      <c r="E1300" t="str">
        <f t="shared" si="41"/>
        <v>167. Afghanistan</v>
      </c>
    </row>
    <row r="1301" spans="1:5" x14ac:dyDescent="0.25">
      <c r="A1301" t="s">
        <v>18</v>
      </c>
      <c r="B1301" t="s">
        <v>360</v>
      </c>
      <c r="C1301">
        <v>49.5</v>
      </c>
      <c r="D1301">
        <f t="shared" si="40"/>
        <v>168</v>
      </c>
      <c r="E1301" t="str">
        <f t="shared" si="41"/>
        <v>168. American Samoa</v>
      </c>
    </row>
    <row r="1302" spans="1:5" x14ac:dyDescent="0.25">
      <c r="A1302" t="s">
        <v>33</v>
      </c>
      <c r="B1302" t="s">
        <v>360</v>
      </c>
      <c r="C1302">
        <v>49.5</v>
      </c>
      <c r="D1302">
        <f t="shared" si="40"/>
        <v>169</v>
      </c>
      <c r="E1302" t="str">
        <f t="shared" si="41"/>
        <v>169. Belize</v>
      </c>
    </row>
    <row r="1303" spans="1:5" x14ac:dyDescent="0.25">
      <c r="A1303" t="s">
        <v>67</v>
      </c>
      <c r="B1303" t="s">
        <v>360</v>
      </c>
      <c r="C1303">
        <v>49.5</v>
      </c>
      <c r="D1303">
        <f t="shared" si="40"/>
        <v>170</v>
      </c>
      <c r="E1303" t="str">
        <f t="shared" si="41"/>
        <v>170. Egypt, Arab Rep.</v>
      </c>
    </row>
    <row r="1304" spans="1:5" x14ac:dyDescent="0.25">
      <c r="A1304" t="s">
        <v>135</v>
      </c>
      <c r="B1304" t="s">
        <v>360</v>
      </c>
      <c r="C1304">
        <v>49.5</v>
      </c>
      <c r="D1304">
        <f t="shared" si="40"/>
        <v>171</v>
      </c>
      <c r="E1304" t="str">
        <f t="shared" si="41"/>
        <v>171. Mali</v>
      </c>
    </row>
    <row r="1305" spans="1:5" x14ac:dyDescent="0.25">
      <c r="A1305" t="s">
        <v>214</v>
      </c>
      <c r="B1305" t="s">
        <v>360</v>
      </c>
      <c r="C1305">
        <v>49.5</v>
      </c>
      <c r="D1305">
        <f t="shared" si="40"/>
        <v>172</v>
      </c>
      <c r="E1305" t="str">
        <f t="shared" si="41"/>
        <v>172. Vanuatu</v>
      </c>
    </row>
    <row r="1306" spans="1:5" x14ac:dyDescent="0.25">
      <c r="A1306" t="s">
        <v>168</v>
      </c>
      <c r="B1306" t="s">
        <v>360</v>
      </c>
      <c r="C1306">
        <v>49.4</v>
      </c>
      <c r="D1306">
        <f t="shared" si="40"/>
        <v>173</v>
      </c>
      <c r="E1306" t="str">
        <f t="shared" si="41"/>
        <v>173. French Polynesia</v>
      </c>
    </row>
    <row r="1307" spans="1:5" x14ac:dyDescent="0.25">
      <c r="A1307" t="s">
        <v>149</v>
      </c>
      <c r="B1307" t="s">
        <v>360</v>
      </c>
      <c r="C1307">
        <v>49.4</v>
      </c>
      <c r="D1307">
        <f t="shared" si="40"/>
        <v>174</v>
      </c>
      <c r="E1307" t="str">
        <f t="shared" si="41"/>
        <v>174. Nigeria</v>
      </c>
    </row>
    <row r="1308" spans="1:5" x14ac:dyDescent="0.25">
      <c r="A1308" t="s">
        <v>88</v>
      </c>
      <c r="B1308" t="s">
        <v>360</v>
      </c>
      <c r="C1308">
        <v>49.3</v>
      </c>
      <c r="D1308">
        <f t="shared" si="40"/>
        <v>175</v>
      </c>
      <c r="E1308" t="str">
        <f t="shared" si="41"/>
        <v>175. Guam</v>
      </c>
    </row>
    <row r="1309" spans="1:5" x14ac:dyDescent="0.25">
      <c r="A1309" t="s">
        <v>157</v>
      </c>
      <c r="B1309" t="s">
        <v>360</v>
      </c>
      <c r="C1309">
        <v>49.3</v>
      </c>
      <c r="D1309">
        <f t="shared" si="40"/>
        <v>176</v>
      </c>
      <c r="E1309" t="str">
        <f t="shared" si="41"/>
        <v>176. Pakistan</v>
      </c>
    </row>
    <row r="1310" spans="1:5" x14ac:dyDescent="0.25">
      <c r="A1310" t="s">
        <v>217</v>
      </c>
      <c r="B1310" t="s">
        <v>360</v>
      </c>
      <c r="C1310">
        <v>49.3</v>
      </c>
      <c r="D1310">
        <f t="shared" si="40"/>
        <v>177</v>
      </c>
      <c r="E1310" t="str">
        <f t="shared" si="41"/>
        <v>177. Yemen, Rep.</v>
      </c>
    </row>
    <row r="1311" spans="1:5" x14ac:dyDescent="0.25">
      <c r="A1311" t="s">
        <v>76</v>
      </c>
      <c r="B1311" t="s">
        <v>360</v>
      </c>
      <c r="C1311">
        <v>49.2</v>
      </c>
      <c r="D1311">
        <f t="shared" si="40"/>
        <v>178</v>
      </c>
      <c r="E1311" t="str">
        <f t="shared" si="41"/>
        <v>178. Gabon</v>
      </c>
    </row>
    <row r="1312" spans="1:5" x14ac:dyDescent="0.25">
      <c r="A1312" t="s">
        <v>99</v>
      </c>
      <c r="B1312" t="s">
        <v>360</v>
      </c>
      <c r="C1312">
        <v>49.2</v>
      </c>
      <c r="D1312">
        <f t="shared" si="40"/>
        <v>179</v>
      </c>
      <c r="E1312" t="str">
        <f t="shared" si="41"/>
        <v>179. Iran, Islamic Rep.</v>
      </c>
    </row>
    <row r="1313" spans="1:5" x14ac:dyDescent="0.25">
      <c r="A1313" t="s">
        <v>118</v>
      </c>
      <c r="B1313" t="s">
        <v>360</v>
      </c>
      <c r="C1313">
        <v>49.2</v>
      </c>
      <c r="D1313">
        <f t="shared" si="40"/>
        <v>180</v>
      </c>
      <c r="E1313" t="str">
        <f t="shared" si="41"/>
        <v>180. Libya</v>
      </c>
    </row>
    <row r="1314" spans="1:5" x14ac:dyDescent="0.25">
      <c r="A1314" t="s">
        <v>148</v>
      </c>
      <c r="B1314" t="s">
        <v>360</v>
      </c>
      <c r="C1314">
        <v>49.2</v>
      </c>
      <c r="D1314">
        <f t="shared" si="40"/>
        <v>181</v>
      </c>
      <c r="E1314" t="str">
        <f t="shared" si="41"/>
        <v>181. Niger</v>
      </c>
    </row>
    <row r="1315" spans="1:5" x14ac:dyDescent="0.25">
      <c r="A1315" t="s">
        <v>175</v>
      </c>
      <c r="B1315" t="s">
        <v>360</v>
      </c>
      <c r="C1315">
        <v>49.2</v>
      </c>
      <c r="D1315">
        <f t="shared" si="40"/>
        <v>182</v>
      </c>
      <c r="E1315" t="str">
        <f t="shared" si="41"/>
        <v>182. Senegal</v>
      </c>
    </row>
    <row r="1316" spans="1:5" x14ac:dyDescent="0.25">
      <c r="A1316" t="s">
        <v>53</v>
      </c>
      <c r="B1316" t="s">
        <v>360</v>
      </c>
      <c r="C1316">
        <v>49.1</v>
      </c>
      <c r="D1316">
        <f t="shared" si="40"/>
        <v>183</v>
      </c>
      <c r="E1316" t="str">
        <f t="shared" si="41"/>
        <v>183. Cabo Verde</v>
      </c>
    </row>
    <row r="1317" spans="1:5" x14ac:dyDescent="0.25">
      <c r="A1317" t="s">
        <v>46</v>
      </c>
      <c r="B1317" t="s">
        <v>360</v>
      </c>
      <c r="C1317">
        <v>49.1</v>
      </c>
      <c r="D1317">
        <f t="shared" si="40"/>
        <v>184</v>
      </c>
      <c r="E1317" t="str">
        <f t="shared" si="41"/>
        <v>184. China</v>
      </c>
    </row>
    <row r="1318" spans="1:5" x14ac:dyDescent="0.25">
      <c r="A1318" t="s">
        <v>47</v>
      </c>
      <c r="B1318" t="s">
        <v>360</v>
      </c>
      <c r="C1318">
        <v>49.1</v>
      </c>
      <c r="D1318">
        <f t="shared" si="40"/>
        <v>185</v>
      </c>
      <c r="E1318" t="str">
        <f t="shared" si="41"/>
        <v>185. Cote d'Ivoire</v>
      </c>
    </row>
    <row r="1319" spans="1:5" x14ac:dyDescent="0.25">
      <c r="A1319" t="s">
        <v>154</v>
      </c>
      <c r="B1319" t="s">
        <v>360</v>
      </c>
      <c r="C1319">
        <v>49.1</v>
      </c>
      <c r="D1319">
        <f t="shared" si="40"/>
        <v>186</v>
      </c>
      <c r="E1319" t="str">
        <f t="shared" si="41"/>
        <v>186. Nauru</v>
      </c>
    </row>
    <row r="1320" spans="1:5" x14ac:dyDescent="0.25">
      <c r="A1320" t="s">
        <v>211</v>
      </c>
      <c r="B1320" t="s">
        <v>360</v>
      </c>
      <c r="C1320">
        <v>49.1</v>
      </c>
      <c r="D1320">
        <f t="shared" si="40"/>
        <v>187</v>
      </c>
      <c r="E1320" t="str">
        <f t="shared" si="41"/>
        <v>187. St. Vincent and the Grenadines</v>
      </c>
    </row>
    <row r="1321" spans="1:5" x14ac:dyDescent="0.25">
      <c r="A1321" t="s">
        <v>65</v>
      </c>
      <c r="B1321" t="s">
        <v>360</v>
      </c>
      <c r="C1321">
        <v>49</v>
      </c>
      <c r="D1321">
        <f t="shared" si="40"/>
        <v>188</v>
      </c>
      <c r="E1321" t="str">
        <f t="shared" si="41"/>
        <v>188. Algeria</v>
      </c>
    </row>
    <row r="1322" spans="1:5" x14ac:dyDescent="0.25">
      <c r="A1322" t="s">
        <v>14</v>
      </c>
      <c r="B1322" t="s">
        <v>360</v>
      </c>
      <c r="C1322">
        <v>48.9</v>
      </c>
      <c r="D1322">
        <f t="shared" si="40"/>
        <v>189</v>
      </c>
      <c r="E1322" t="str">
        <f t="shared" si="41"/>
        <v>189. Andorra</v>
      </c>
    </row>
    <row r="1323" spans="1:5" x14ac:dyDescent="0.25">
      <c r="A1323" t="s">
        <v>177</v>
      </c>
      <c r="B1323" t="s">
        <v>360</v>
      </c>
      <c r="C1323">
        <v>48.9</v>
      </c>
      <c r="D1323">
        <f t="shared" si="40"/>
        <v>190</v>
      </c>
      <c r="E1323" t="str">
        <f t="shared" si="41"/>
        <v>190. Solomon Islands</v>
      </c>
    </row>
    <row r="1324" spans="1:5" x14ac:dyDescent="0.25">
      <c r="A1324" t="s">
        <v>101</v>
      </c>
      <c r="B1324" t="s">
        <v>360</v>
      </c>
      <c r="C1324">
        <v>48.8</v>
      </c>
      <c r="D1324">
        <f t="shared" si="40"/>
        <v>191</v>
      </c>
      <c r="E1324" t="str">
        <f t="shared" si="41"/>
        <v>191. Iceland</v>
      </c>
    </row>
    <row r="1325" spans="1:5" x14ac:dyDescent="0.25">
      <c r="A1325" t="s">
        <v>133</v>
      </c>
      <c r="B1325" t="s">
        <v>360</v>
      </c>
      <c r="C1325">
        <v>48.8</v>
      </c>
      <c r="D1325">
        <f t="shared" si="40"/>
        <v>192</v>
      </c>
      <c r="E1325" t="str">
        <f t="shared" si="41"/>
        <v>192. Marshall Islands</v>
      </c>
    </row>
    <row r="1326" spans="1:5" x14ac:dyDescent="0.25">
      <c r="A1326" t="s">
        <v>204</v>
      </c>
      <c r="B1326" t="s">
        <v>360</v>
      </c>
      <c r="C1326">
        <v>48.8</v>
      </c>
      <c r="D1326">
        <f t="shared" si="40"/>
        <v>193</v>
      </c>
      <c r="E1326" t="str">
        <f t="shared" si="41"/>
        <v>193. Tuvalu</v>
      </c>
    </row>
    <row r="1327" spans="1:5" x14ac:dyDescent="0.25">
      <c r="A1327" t="s">
        <v>162</v>
      </c>
      <c r="B1327" t="s">
        <v>360</v>
      </c>
      <c r="C1327">
        <v>48.6</v>
      </c>
      <c r="D1327">
        <f t="shared" si="40"/>
        <v>194</v>
      </c>
      <c r="E1327" t="str">
        <f t="shared" si="41"/>
        <v>194. Papua New Guinea</v>
      </c>
    </row>
    <row r="1328" spans="1:5" x14ac:dyDescent="0.25">
      <c r="A1328" t="s">
        <v>97</v>
      </c>
      <c r="B1328" t="s">
        <v>360</v>
      </c>
      <c r="C1328">
        <v>48.4</v>
      </c>
      <c r="D1328">
        <f t="shared" si="40"/>
        <v>195</v>
      </c>
      <c r="E1328" t="str">
        <f t="shared" si="41"/>
        <v>195. India</v>
      </c>
    </row>
    <row r="1329" spans="1:5" x14ac:dyDescent="0.25">
      <c r="A1329" t="s">
        <v>105</v>
      </c>
      <c r="B1329" t="s">
        <v>360</v>
      </c>
      <c r="C1329">
        <v>48.4</v>
      </c>
      <c r="D1329">
        <f t="shared" si="40"/>
        <v>196</v>
      </c>
      <c r="E1329" t="str">
        <f t="shared" si="41"/>
        <v>196. Jordan</v>
      </c>
    </row>
    <row r="1330" spans="1:5" x14ac:dyDescent="0.25">
      <c r="A1330" t="s">
        <v>74</v>
      </c>
      <c r="B1330" t="s">
        <v>360</v>
      </c>
      <c r="C1330">
        <v>48.3</v>
      </c>
      <c r="D1330">
        <f t="shared" si="40"/>
        <v>197</v>
      </c>
      <c r="E1330" t="str">
        <f t="shared" si="41"/>
        <v>197. Faroe Islands</v>
      </c>
    </row>
    <row r="1331" spans="1:5" x14ac:dyDescent="0.25">
      <c r="A1331" t="s">
        <v>176</v>
      </c>
      <c r="B1331" t="s">
        <v>360</v>
      </c>
      <c r="C1331">
        <v>48.3</v>
      </c>
      <c r="D1331">
        <f t="shared" si="40"/>
        <v>198</v>
      </c>
      <c r="E1331" t="str">
        <f t="shared" si="41"/>
        <v>198. Singapore</v>
      </c>
    </row>
    <row r="1332" spans="1:5" x14ac:dyDescent="0.25">
      <c r="A1332" t="s">
        <v>136</v>
      </c>
      <c r="B1332" t="s">
        <v>360</v>
      </c>
      <c r="C1332">
        <v>48.1</v>
      </c>
      <c r="D1332">
        <f t="shared" si="40"/>
        <v>199</v>
      </c>
      <c r="E1332" t="str">
        <f t="shared" si="41"/>
        <v>199. Malta</v>
      </c>
    </row>
    <row r="1333" spans="1:5" x14ac:dyDescent="0.25">
      <c r="A1333" t="s">
        <v>145</v>
      </c>
      <c r="B1333" t="s">
        <v>360</v>
      </c>
      <c r="C1333">
        <v>47.6</v>
      </c>
      <c r="D1333">
        <f t="shared" si="40"/>
        <v>200</v>
      </c>
      <c r="E1333" t="str">
        <f t="shared" si="41"/>
        <v>200. Malaysia</v>
      </c>
    </row>
    <row r="1334" spans="1:5" x14ac:dyDescent="0.25">
      <c r="A1334" t="s">
        <v>86</v>
      </c>
      <c r="B1334" t="s">
        <v>360</v>
      </c>
      <c r="C1334">
        <v>47.4</v>
      </c>
      <c r="D1334">
        <f t="shared" si="40"/>
        <v>201</v>
      </c>
      <c r="E1334" t="str">
        <f t="shared" si="41"/>
        <v>201. Greenland</v>
      </c>
    </row>
    <row r="1335" spans="1:5" x14ac:dyDescent="0.25">
      <c r="A1335" t="s">
        <v>83</v>
      </c>
      <c r="B1335" t="s">
        <v>360</v>
      </c>
      <c r="C1335">
        <v>47.3</v>
      </c>
      <c r="D1335">
        <f t="shared" si="40"/>
        <v>202</v>
      </c>
      <c r="E1335" t="str">
        <f t="shared" si="41"/>
        <v>202. Equatorial Guinea</v>
      </c>
    </row>
    <row r="1336" spans="1:5" x14ac:dyDescent="0.25">
      <c r="A1336" t="s">
        <v>140</v>
      </c>
      <c r="B1336" t="s">
        <v>360</v>
      </c>
      <c r="C1336">
        <v>47.2</v>
      </c>
      <c r="D1336">
        <f t="shared" si="40"/>
        <v>203</v>
      </c>
      <c r="E1336" t="str">
        <f t="shared" si="41"/>
        <v>203. Northern Mariana Islands</v>
      </c>
    </row>
    <row r="1337" spans="1:5" x14ac:dyDescent="0.25">
      <c r="A1337" t="s">
        <v>38</v>
      </c>
      <c r="B1337" t="s">
        <v>360</v>
      </c>
      <c r="C1337">
        <v>46.9</v>
      </c>
      <c r="D1337">
        <f t="shared" si="40"/>
        <v>204</v>
      </c>
      <c r="E1337" t="str">
        <f t="shared" si="41"/>
        <v>204. Brunei Darussalam</v>
      </c>
    </row>
    <row r="1338" spans="1:5" x14ac:dyDescent="0.25">
      <c r="A1338" t="s">
        <v>39</v>
      </c>
      <c r="B1338" t="s">
        <v>360</v>
      </c>
      <c r="C1338">
        <v>46.6</v>
      </c>
      <c r="D1338">
        <f t="shared" si="40"/>
        <v>205</v>
      </c>
      <c r="E1338" t="str">
        <f t="shared" si="41"/>
        <v>205. Bhutan</v>
      </c>
    </row>
    <row r="1339" spans="1:5" x14ac:dyDescent="0.25">
      <c r="A1339" t="s">
        <v>161</v>
      </c>
      <c r="B1339" t="s">
        <v>360</v>
      </c>
      <c r="C1339">
        <v>46.1</v>
      </c>
      <c r="D1339">
        <f t="shared" si="40"/>
        <v>206</v>
      </c>
      <c r="E1339" t="str">
        <f t="shared" si="41"/>
        <v>206. Palau</v>
      </c>
    </row>
    <row r="1340" spans="1:5" x14ac:dyDescent="0.25">
      <c r="A1340" t="s">
        <v>191</v>
      </c>
      <c r="B1340" t="s">
        <v>360</v>
      </c>
      <c r="C1340">
        <v>44.8</v>
      </c>
      <c r="D1340">
        <f t="shared" si="40"/>
        <v>207</v>
      </c>
      <c r="E1340" t="str">
        <f t="shared" si="41"/>
        <v>207. Seychelles</v>
      </c>
    </row>
    <row r="1341" spans="1:5" x14ac:dyDescent="0.25">
      <c r="A1341" t="s">
        <v>173</v>
      </c>
      <c r="B1341" t="s">
        <v>360</v>
      </c>
      <c r="C1341">
        <v>39.5</v>
      </c>
      <c r="D1341">
        <f t="shared" si="40"/>
        <v>208</v>
      </c>
      <c r="E1341" t="str">
        <f t="shared" si="41"/>
        <v>208. Saudi Arabia</v>
      </c>
    </row>
    <row r="1342" spans="1:5" x14ac:dyDescent="0.25">
      <c r="A1342" t="s">
        <v>114</v>
      </c>
      <c r="B1342" t="s">
        <v>360</v>
      </c>
      <c r="C1342">
        <v>38.9</v>
      </c>
      <c r="D1342">
        <f t="shared" si="40"/>
        <v>209</v>
      </c>
      <c r="E1342" t="str">
        <f t="shared" si="41"/>
        <v>209. Kuwait</v>
      </c>
    </row>
    <row r="1343" spans="1:5" x14ac:dyDescent="0.25">
      <c r="A1343" t="s">
        <v>131</v>
      </c>
      <c r="B1343" t="s">
        <v>360</v>
      </c>
      <c r="C1343">
        <v>38.1</v>
      </c>
      <c r="D1343">
        <f t="shared" si="40"/>
        <v>210</v>
      </c>
      <c r="E1343" t="str">
        <f t="shared" si="41"/>
        <v>210. Maldives</v>
      </c>
    </row>
    <row r="1344" spans="1:5" x14ac:dyDescent="0.25">
      <c r="A1344" t="s">
        <v>29</v>
      </c>
      <c r="B1344" t="s">
        <v>360</v>
      </c>
      <c r="C1344">
        <v>38</v>
      </c>
      <c r="D1344">
        <f t="shared" si="40"/>
        <v>211</v>
      </c>
      <c r="E1344" t="str">
        <f t="shared" si="41"/>
        <v>211. Bahrain</v>
      </c>
    </row>
    <row r="1345" spans="1:5" x14ac:dyDescent="0.25">
      <c r="A1345" t="s">
        <v>156</v>
      </c>
      <c r="B1345" t="s">
        <v>360</v>
      </c>
      <c r="C1345">
        <v>37.799999999999997</v>
      </c>
      <c r="D1345">
        <f t="shared" si="40"/>
        <v>212</v>
      </c>
      <c r="E1345" t="str">
        <f t="shared" si="41"/>
        <v>212. Oman</v>
      </c>
    </row>
    <row r="1346" spans="1:5" x14ac:dyDescent="0.25">
      <c r="A1346" t="s">
        <v>15</v>
      </c>
      <c r="B1346" t="s">
        <v>360</v>
      </c>
      <c r="C1346">
        <v>36.1</v>
      </c>
      <c r="D1346">
        <f t="shared" si="40"/>
        <v>213</v>
      </c>
      <c r="E1346" t="str">
        <f t="shared" si="41"/>
        <v>213. United Arab Emirates</v>
      </c>
    </row>
    <row r="1347" spans="1:5" x14ac:dyDescent="0.25">
      <c r="A1347" t="s">
        <v>169</v>
      </c>
      <c r="B1347" t="s">
        <v>360</v>
      </c>
      <c r="C1347">
        <v>28.7</v>
      </c>
      <c r="D1347">
        <f t="shared" ref="D1347:D1410" si="42">IF(ROW() = 2, 1, IF(B1347 = B1346, D1346 + 1, 1))</f>
        <v>214</v>
      </c>
      <c r="E1347" t="str">
        <f t="shared" ref="E1347:E1410" si="43">_xlfn.CONCAT(D1347, ". ", A1347)</f>
        <v>214. Qatar</v>
      </c>
    </row>
    <row r="1348" spans="1:5" x14ac:dyDescent="0.25">
      <c r="A1348" t="s">
        <v>209</v>
      </c>
      <c r="B1348" t="s">
        <v>353</v>
      </c>
      <c r="C1348">
        <v>297.10000000000002</v>
      </c>
      <c r="D1348">
        <f t="shared" si="42"/>
        <v>1</v>
      </c>
      <c r="E1348" t="str">
        <f t="shared" si="43"/>
        <v>1. United States</v>
      </c>
    </row>
    <row r="1349" spans="1:5" x14ac:dyDescent="0.25">
      <c r="A1349" t="s">
        <v>176</v>
      </c>
      <c r="B1349" t="s">
        <v>353</v>
      </c>
      <c r="C1349">
        <v>151.9</v>
      </c>
      <c r="D1349">
        <f t="shared" si="42"/>
        <v>2</v>
      </c>
      <c r="E1349" t="str">
        <f t="shared" si="43"/>
        <v>2. Singapore</v>
      </c>
    </row>
    <row r="1350" spans="1:5" x14ac:dyDescent="0.25">
      <c r="A1350" t="s">
        <v>90</v>
      </c>
      <c r="B1350" t="s">
        <v>353</v>
      </c>
      <c r="C1350">
        <v>117</v>
      </c>
      <c r="D1350">
        <f t="shared" si="42"/>
        <v>3</v>
      </c>
      <c r="E1350" t="str">
        <f t="shared" si="43"/>
        <v>3. Hong Kong SAR, China</v>
      </c>
    </row>
    <row r="1351" spans="1:5" x14ac:dyDescent="0.25">
      <c r="A1351" t="s">
        <v>124</v>
      </c>
      <c r="B1351" t="s">
        <v>353</v>
      </c>
      <c r="C1351">
        <v>106</v>
      </c>
      <c r="D1351">
        <f t="shared" si="42"/>
        <v>4</v>
      </c>
      <c r="E1351" t="str">
        <f t="shared" si="43"/>
        <v>4. Luxembourg</v>
      </c>
    </row>
    <row r="1352" spans="1:5" x14ac:dyDescent="0.25">
      <c r="A1352" t="s">
        <v>36</v>
      </c>
      <c r="B1352" t="s">
        <v>353</v>
      </c>
      <c r="C1352">
        <v>71.099999999999994</v>
      </c>
      <c r="D1352">
        <f t="shared" si="42"/>
        <v>5</v>
      </c>
      <c r="E1352" t="str">
        <f t="shared" si="43"/>
        <v>5. Brazil</v>
      </c>
    </row>
    <row r="1353" spans="1:5" x14ac:dyDescent="0.25">
      <c r="A1353" t="s">
        <v>42</v>
      </c>
      <c r="B1353" t="s">
        <v>353</v>
      </c>
      <c r="C1353">
        <v>58.8</v>
      </c>
      <c r="D1353">
        <f t="shared" si="42"/>
        <v>6</v>
      </c>
      <c r="E1353" t="str">
        <f t="shared" si="43"/>
        <v>6. Canada</v>
      </c>
    </row>
    <row r="1354" spans="1:5" x14ac:dyDescent="0.25">
      <c r="A1354" t="s">
        <v>20</v>
      </c>
      <c r="B1354" t="s">
        <v>353</v>
      </c>
      <c r="C1354">
        <v>54.2</v>
      </c>
      <c r="D1354">
        <f t="shared" si="42"/>
        <v>7</v>
      </c>
      <c r="E1354" t="str">
        <f t="shared" si="43"/>
        <v>7. Australia</v>
      </c>
    </row>
    <row r="1355" spans="1:5" x14ac:dyDescent="0.25">
      <c r="A1355" t="s">
        <v>73</v>
      </c>
      <c r="B1355" t="s">
        <v>353</v>
      </c>
      <c r="C1355">
        <v>52.1</v>
      </c>
      <c r="D1355">
        <f t="shared" si="42"/>
        <v>8</v>
      </c>
      <c r="E1355" t="str">
        <f t="shared" si="43"/>
        <v>8. France</v>
      </c>
    </row>
    <row r="1356" spans="1:5" x14ac:dyDescent="0.25">
      <c r="A1356" t="s">
        <v>60</v>
      </c>
      <c r="B1356" t="s">
        <v>353</v>
      </c>
      <c r="C1356">
        <v>47.6</v>
      </c>
      <c r="D1356">
        <f t="shared" si="42"/>
        <v>9</v>
      </c>
      <c r="E1356" t="str">
        <f t="shared" si="43"/>
        <v>9. Germany</v>
      </c>
    </row>
    <row r="1357" spans="1:5" x14ac:dyDescent="0.25">
      <c r="A1357" t="s">
        <v>67</v>
      </c>
      <c r="B1357" t="s">
        <v>353</v>
      </c>
      <c r="C1357">
        <v>46.6</v>
      </c>
      <c r="D1357">
        <f t="shared" si="42"/>
        <v>10</v>
      </c>
      <c r="E1357" t="str">
        <f t="shared" si="43"/>
        <v>10. Egypt, Arab Rep.</v>
      </c>
    </row>
    <row r="1358" spans="1:5" x14ac:dyDescent="0.25">
      <c r="A1358" t="s">
        <v>15</v>
      </c>
      <c r="B1358" t="s">
        <v>353</v>
      </c>
      <c r="C1358">
        <v>45.6</v>
      </c>
      <c r="D1358">
        <f t="shared" si="42"/>
        <v>11</v>
      </c>
      <c r="E1358" t="str">
        <f t="shared" si="43"/>
        <v>11. United Arab Emirates</v>
      </c>
    </row>
    <row r="1359" spans="1:5" x14ac:dyDescent="0.25">
      <c r="A1359" t="s">
        <v>132</v>
      </c>
      <c r="B1359" t="s">
        <v>353</v>
      </c>
      <c r="C1359">
        <v>45.3</v>
      </c>
      <c r="D1359">
        <f t="shared" si="42"/>
        <v>12</v>
      </c>
      <c r="E1359" t="str">
        <f t="shared" si="43"/>
        <v>12. Mexico</v>
      </c>
    </row>
    <row r="1360" spans="1:5" x14ac:dyDescent="0.25">
      <c r="A1360" t="s">
        <v>136</v>
      </c>
      <c r="B1360" t="s">
        <v>353</v>
      </c>
      <c r="C1360">
        <v>42.5</v>
      </c>
      <c r="D1360">
        <f t="shared" si="42"/>
        <v>13</v>
      </c>
      <c r="E1360" t="str">
        <f t="shared" si="43"/>
        <v>13. Malta</v>
      </c>
    </row>
    <row r="1361" spans="1:5" x14ac:dyDescent="0.25">
      <c r="A1361" t="s">
        <v>57</v>
      </c>
      <c r="B1361" t="s">
        <v>353</v>
      </c>
      <c r="C1361">
        <v>35.9</v>
      </c>
      <c r="D1361">
        <f t="shared" si="42"/>
        <v>14</v>
      </c>
      <c r="E1361" t="str">
        <f t="shared" si="43"/>
        <v>14. Cayman Islands</v>
      </c>
    </row>
    <row r="1362" spans="1:5" x14ac:dyDescent="0.25">
      <c r="A1362" t="s">
        <v>68</v>
      </c>
      <c r="B1362" t="s">
        <v>353</v>
      </c>
      <c r="C1362">
        <v>34.1</v>
      </c>
      <c r="D1362">
        <f t="shared" si="42"/>
        <v>15</v>
      </c>
      <c r="E1362" t="str">
        <f t="shared" si="43"/>
        <v>15. Spain</v>
      </c>
    </row>
    <row r="1363" spans="1:5" x14ac:dyDescent="0.25">
      <c r="A1363" t="s">
        <v>188</v>
      </c>
      <c r="B1363" t="s">
        <v>353</v>
      </c>
      <c r="C1363">
        <v>28.9</v>
      </c>
      <c r="D1363">
        <f t="shared" si="42"/>
        <v>16</v>
      </c>
      <c r="E1363" t="str">
        <f t="shared" si="43"/>
        <v>16. Sweden</v>
      </c>
    </row>
    <row r="1364" spans="1:5" x14ac:dyDescent="0.25">
      <c r="A1364" t="s">
        <v>97</v>
      </c>
      <c r="B1364" t="s">
        <v>353</v>
      </c>
      <c r="C1364">
        <v>27.1</v>
      </c>
      <c r="D1364">
        <f t="shared" si="42"/>
        <v>17</v>
      </c>
      <c r="E1364" t="str">
        <f t="shared" si="43"/>
        <v>17. India</v>
      </c>
    </row>
    <row r="1365" spans="1:5" x14ac:dyDescent="0.25">
      <c r="A1365" t="s">
        <v>95</v>
      </c>
      <c r="B1365" t="s">
        <v>353</v>
      </c>
      <c r="C1365">
        <v>24.1</v>
      </c>
      <c r="D1365">
        <f t="shared" si="42"/>
        <v>18</v>
      </c>
      <c r="E1365" t="str">
        <f t="shared" si="43"/>
        <v>18. Indonesia</v>
      </c>
    </row>
    <row r="1366" spans="1:5" x14ac:dyDescent="0.25">
      <c r="A1366" t="s">
        <v>103</v>
      </c>
      <c r="B1366" t="s">
        <v>353</v>
      </c>
      <c r="C1366">
        <v>21.8</v>
      </c>
      <c r="D1366">
        <f t="shared" si="42"/>
        <v>19</v>
      </c>
      <c r="E1366" t="str">
        <f t="shared" si="43"/>
        <v>19. Italy</v>
      </c>
    </row>
    <row r="1367" spans="1:5" x14ac:dyDescent="0.25">
      <c r="A1367" t="s">
        <v>163</v>
      </c>
      <c r="B1367" t="s">
        <v>353</v>
      </c>
      <c r="C1367">
        <v>21.4</v>
      </c>
      <c r="D1367">
        <f t="shared" si="42"/>
        <v>20</v>
      </c>
      <c r="E1367" t="str">
        <f t="shared" si="43"/>
        <v>20. Poland</v>
      </c>
    </row>
    <row r="1368" spans="1:5" x14ac:dyDescent="0.25">
      <c r="A1368" t="s">
        <v>173</v>
      </c>
      <c r="B1368" t="s">
        <v>353</v>
      </c>
      <c r="C1368">
        <v>20.3</v>
      </c>
      <c r="D1368">
        <f t="shared" si="42"/>
        <v>21</v>
      </c>
      <c r="E1368" t="str">
        <f t="shared" si="43"/>
        <v>21. Saudi Arabia</v>
      </c>
    </row>
    <row r="1369" spans="1:5" x14ac:dyDescent="0.25">
      <c r="A1369" t="s">
        <v>213</v>
      </c>
      <c r="B1369" t="s">
        <v>353</v>
      </c>
      <c r="C1369">
        <v>20.2</v>
      </c>
      <c r="D1369">
        <f t="shared" si="42"/>
        <v>22</v>
      </c>
      <c r="E1369" t="str">
        <f t="shared" si="43"/>
        <v>22. Viet Nam</v>
      </c>
    </row>
    <row r="1370" spans="1:5" x14ac:dyDescent="0.25">
      <c r="A1370" t="s">
        <v>46</v>
      </c>
      <c r="B1370" t="s">
        <v>353</v>
      </c>
      <c r="C1370">
        <v>18.600000000000001</v>
      </c>
      <c r="D1370">
        <f t="shared" si="42"/>
        <v>23</v>
      </c>
      <c r="E1370" t="str">
        <f t="shared" si="43"/>
        <v>23. China</v>
      </c>
    </row>
    <row r="1371" spans="1:5" x14ac:dyDescent="0.25">
      <c r="A1371" t="s">
        <v>63</v>
      </c>
      <c r="B1371" t="s">
        <v>353</v>
      </c>
      <c r="C1371">
        <v>18.5</v>
      </c>
      <c r="D1371">
        <f t="shared" si="42"/>
        <v>24</v>
      </c>
      <c r="E1371" t="str">
        <f t="shared" si="43"/>
        <v>24. Denmark</v>
      </c>
    </row>
    <row r="1372" spans="1:5" x14ac:dyDescent="0.25">
      <c r="A1372" t="s">
        <v>106</v>
      </c>
      <c r="B1372" t="s">
        <v>353</v>
      </c>
      <c r="C1372">
        <v>17.2</v>
      </c>
      <c r="D1372">
        <f t="shared" si="42"/>
        <v>25</v>
      </c>
      <c r="E1372" t="str">
        <f t="shared" si="43"/>
        <v>25. Japan</v>
      </c>
    </row>
    <row r="1373" spans="1:5" x14ac:dyDescent="0.25">
      <c r="A1373" t="s">
        <v>145</v>
      </c>
      <c r="B1373" t="s">
        <v>353</v>
      </c>
      <c r="C1373">
        <v>15.6</v>
      </c>
      <c r="D1373">
        <f t="shared" si="42"/>
        <v>26</v>
      </c>
      <c r="E1373" t="str">
        <f t="shared" si="43"/>
        <v>26. Malaysia</v>
      </c>
    </row>
    <row r="1374" spans="1:5" x14ac:dyDescent="0.25">
      <c r="A1374" t="s">
        <v>113</v>
      </c>
      <c r="B1374" t="s">
        <v>353</v>
      </c>
      <c r="C1374">
        <v>15.2</v>
      </c>
      <c r="D1374">
        <f t="shared" si="42"/>
        <v>27</v>
      </c>
      <c r="E1374" t="str">
        <f t="shared" si="43"/>
        <v>27. Korea, Rep.</v>
      </c>
    </row>
    <row r="1375" spans="1:5" x14ac:dyDescent="0.25">
      <c r="A1375" t="s">
        <v>102</v>
      </c>
      <c r="B1375" t="s">
        <v>353</v>
      </c>
      <c r="C1375">
        <v>14.8</v>
      </c>
      <c r="D1375">
        <f t="shared" si="42"/>
        <v>28</v>
      </c>
      <c r="E1375" t="str">
        <f t="shared" si="43"/>
        <v>28. Israel</v>
      </c>
    </row>
    <row r="1376" spans="1:5" x14ac:dyDescent="0.25">
      <c r="A1376" t="s">
        <v>51</v>
      </c>
      <c r="B1376" t="s">
        <v>353</v>
      </c>
      <c r="C1376">
        <v>14.3</v>
      </c>
      <c r="D1376">
        <f t="shared" si="42"/>
        <v>29</v>
      </c>
      <c r="E1376" t="str">
        <f t="shared" si="43"/>
        <v>29. Colombia</v>
      </c>
    </row>
    <row r="1377" spans="1:5" x14ac:dyDescent="0.25">
      <c r="A1377" t="s">
        <v>165</v>
      </c>
      <c r="B1377" t="s">
        <v>353</v>
      </c>
      <c r="C1377">
        <v>13.2</v>
      </c>
      <c r="D1377">
        <f t="shared" si="42"/>
        <v>30</v>
      </c>
      <c r="E1377" t="str">
        <f t="shared" si="43"/>
        <v>30. Portugal</v>
      </c>
    </row>
    <row r="1378" spans="1:5" x14ac:dyDescent="0.25">
      <c r="A1378" t="s">
        <v>59</v>
      </c>
      <c r="B1378" t="s">
        <v>353</v>
      </c>
      <c r="C1378">
        <v>13.1</v>
      </c>
      <c r="D1378">
        <f t="shared" si="42"/>
        <v>31</v>
      </c>
      <c r="E1378" t="str">
        <f t="shared" si="43"/>
        <v>31. Czechia</v>
      </c>
    </row>
    <row r="1379" spans="1:5" x14ac:dyDescent="0.25">
      <c r="A1379" t="s">
        <v>152</v>
      </c>
      <c r="B1379" t="s">
        <v>353</v>
      </c>
      <c r="C1379">
        <v>12.6</v>
      </c>
      <c r="D1379">
        <f t="shared" si="42"/>
        <v>32</v>
      </c>
      <c r="E1379" t="str">
        <f t="shared" si="43"/>
        <v>32. Norway</v>
      </c>
    </row>
    <row r="1380" spans="1:5" x14ac:dyDescent="0.25">
      <c r="A1380" t="s">
        <v>45</v>
      </c>
      <c r="B1380" t="s">
        <v>353</v>
      </c>
      <c r="C1380">
        <v>12.5</v>
      </c>
      <c r="D1380">
        <f t="shared" si="42"/>
        <v>33</v>
      </c>
      <c r="E1380" t="str">
        <f t="shared" si="43"/>
        <v>33. Chile</v>
      </c>
    </row>
    <row r="1381" spans="1:5" x14ac:dyDescent="0.25">
      <c r="A1381" t="s">
        <v>203</v>
      </c>
      <c r="B1381" t="s">
        <v>353</v>
      </c>
      <c r="C1381">
        <v>11.7</v>
      </c>
      <c r="D1381">
        <f t="shared" si="42"/>
        <v>34</v>
      </c>
      <c r="E1381" t="str">
        <f t="shared" si="43"/>
        <v>34. Turkiye</v>
      </c>
    </row>
    <row r="1382" spans="1:5" x14ac:dyDescent="0.25">
      <c r="A1382" t="s">
        <v>16</v>
      </c>
      <c r="B1382" t="s">
        <v>353</v>
      </c>
      <c r="C1382">
        <v>11.6</v>
      </c>
      <c r="D1382">
        <f t="shared" si="42"/>
        <v>35</v>
      </c>
      <c r="E1382" t="str">
        <f t="shared" si="43"/>
        <v>35. Argentina</v>
      </c>
    </row>
    <row r="1383" spans="1:5" x14ac:dyDescent="0.25">
      <c r="A1383" t="s">
        <v>196</v>
      </c>
      <c r="B1383" t="s">
        <v>353</v>
      </c>
      <c r="C1383">
        <v>10.1</v>
      </c>
      <c r="D1383">
        <f t="shared" si="42"/>
        <v>36</v>
      </c>
      <c r="E1383" t="str">
        <f t="shared" si="43"/>
        <v>36. Thailand</v>
      </c>
    </row>
    <row r="1384" spans="1:5" x14ac:dyDescent="0.25">
      <c r="A1384" t="s">
        <v>21</v>
      </c>
      <c r="B1384" t="s">
        <v>353</v>
      </c>
      <c r="C1384">
        <v>9.3000000000000007</v>
      </c>
      <c r="D1384">
        <f t="shared" si="42"/>
        <v>37</v>
      </c>
      <c r="E1384" t="str">
        <f t="shared" si="43"/>
        <v>37. Austria</v>
      </c>
    </row>
    <row r="1385" spans="1:5" x14ac:dyDescent="0.25">
      <c r="A1385" t="s">
        <v>160</v>
      </c>
      <c r="B1385" t="s">
        <v>353</v>
      </c>
      <c r="C1385">
        <v>8.9</v>
      </c>
      <c r="D1385">
        <f t="shared" si="42"/>
        <v>38</v>
      </c>
      <c r="E1385" t="str">
        <f t="shared" si="43"/>
        <v>38. Philippines</v>
      </c>
    </row>
    <row r="1386" spans="1:5" x14ac:dyDescent="0.25">
      <c r="A1386" t="s">
        <v>156</v>
      </c>
      <c r="B1386" t="s">
        <v>353</v>
      </c>
      <c r="C1386">
        <v>8.6999999999999993</v>
      </c>
      <c r="D1386">
        <f t="shared" si="42"/>
        <v>39</v>
      </c>
      <c r="E1386" t="str">
        <f t="shared" si="43"/>
        <v>39. Oman</v>
      </c>
    </row>
    <row r="1387" spans="1:5" x14ac:dyDescent="0.25">
      <c r="A1387" t="s">
        <v>89</v>
      </c>
      <c r="B1387" t="s">
        <v>353</v>
      </c>
      <c r="C1387">
        <v>8.6</v>
      </c>
      <c r="D1387">
        <f t="shared" si="42"/>
        <v>40</v>
      </c>
      <c r="E1387" t="str">
        <f t="shared" si="43"/>
        <v>40. Guyana</v>
      </c>
    </row>
    <row r="1388" spans="1:5" x14ac:dyDescent="0.25">
      <c r="A1388" t="s">
        <v>170</v>
      </c>
      <c r="B1388" t="s">
        <v>353</v>
      </c>
      <c r="C1388">
        <v>7.4</v>
      </c>
      <c r="D1388">
        <f t="shared" si="42"/>
        <v>41</v>
      </c>
      <c r="E1388" t="str">
        <f t="shared" si="43"/>
        <v>41. Romania</v>
      </c>
    </row>
    <row r="1389" spans="1:5" x14ac:dyDescent="0.25">
      <c r="A1389" t="s">
        <v>159</v>
      </c>
      <c r="B1389" t="s">
        <v>353</v>
      </c>
      <c r="C1389">
        <v>6.8</v>
      </c>
      <c r="D1389">
        <f t="shared" si="42"/>
        <v>42</v>
      </c>
      <c r="E1389" t="str">
        <f t="shared" si="43"/>
        <v>42. Peru</v>
      </c>
    </row>
    <row r="1390" spans="1:5" x14ac:dyDescent="0.25">
      <c r="A1390" t="s">
        <v>84</v>
      </c>
      <c r="B1390" t="s">
        <v>353</v>
      </c>
      <c r="C1390">
        <v>6.5</v>
      </c>
      <c r="D1390">
        <f t="shared" si="42"/>
        <v>43</v>
      </c>
      <c r="E1390" t="str">
        <f t="shared" si="43"/>
        <v>43. Greece</v>
      </c>
    </row>
    <row r="1391" spans="1:5" x14ac:dyDescent="0.25">
      <c r="A1391" t="s">
        <v>182</v>
      </c>
      <c r="B1391" t="s">
        <v>353</v>
      </c>
      <c r="C1391">
        <v>5.6</v>
      </c>
      <c r="D1391">
        <f t="shared" si="42"/>
        <v>44</v>
      </c>
      <c r="E1391" t="str">
        <f t="shared" si="43"/>
        <v>44. Serbia</v>
      </c>
    </row>
    <row r="1392" spans="1:5" x14ac:dyDescent="0.25">
      <c r="A1392" t="s">
        <v>54</v>
      </c>
      <c r="B1392" t="s">
        <v>353</v>
      </c>
      <c r="C1392">
        <v>5.3</v>
      </c>
      <c r="D1392">
        <f t="shared" si="42"/>
        <v>45</v>
      </c>
      <c r="E1392" t="str">
        <f t="shared" si="43"/>
        <v>45. Costa Rica</v>
      </c>
    </row>
    <row r="1393" spans="1:5" x14ac:dyDescent="0.25">
      <c r="A1393" t="s">
        <v>92</v>
      </c>
      <c r="B1393" t="s">
        <v>353</v>
      </c>
      <c r="C1393">
        <v>4.7</v>
      </c>
      <c r="D1393">
        <f t="shared" si="42"/>
        <v>46</v>
      </c>
      <c r="E1393" t="str">
        <f t="shared" si="43"/>
        <v>46. Croatia</v>
      </c>
    </row>
    <row r="1394" spans="1:5" x14ac:dyDescent="0.25">
      <c r="A1394" t="s">
        <v>64</v>
      </c>
      <c r="B1394" t="s">
        <v>353</v>
      </c>
      <c r="C1394">
        <v>4.5</v>
      </c>
      <c r="D1394">
        <f t="shared" si="42"/>
        <v>47</v>
      </c>
      <c r="E1394" t="str">
        <f t="shared" si="43"/>
        <v>47. Dominican Republic</v>
      </c>
    </row>
    <row r="1395" spans="1:5" x14ac:dyDescent="0.25">
      <c r="A1395" t="s">
        <v>110</v>
      </c>
      <c r="B1395" t="s">
        <v>353</v>
      </c>
      <c r="C1395">
        <v>4.4000000000000004</v>
      </c>
      <c r="D1395">
        <f t="shared" si="42"/>
        <v>48</v>
      </c>
      <c r="E1395" t="str">
        <f t="shared" si="43"/>
        <v>48. Cambodia</v>
      </c>
    </row>
    <row r="1396" spans="1:5" x14ac:dyDescent="0.25">
      <c r="A1396" t="s">
        <v>70</v>
      </c>
      <c r="B1396" t="s">
        <v>353</v>
      </c>
      <c r="C1396">
        <v>4</v>
      </c>
      <c r="D1396">
        <f t="shared" si="42"/>
        <v>49</v>
      </c>
      <c r="E1396" t="str">
        <f t="shared" si="43"/>
        <v>49. Ethiopia</v>
      </c>
    </row>
    <row r="1397" spans="1:5" x14ac:dyDescent="0.25">
      <c r="A1397" t="s">
        <v>207</v>
      </c>
      <c r="B1397" t="s">
        <v>353</v>
      </c>
      <c r="C1397">
        <v>4</v>
      </c>
      <c r="D1397">
        <f t="shared" si="42"/>
        <v>50</v>
      </c>
      <c r="E1397" t="str">
        <f t="shared" si="43"/>
        <v>50. Ukraine</v>
      </c>
    </row>
    <row r="1398" spans="1:5" x14ac:dyDescent="0.25">
      <c r="A1398" t="s">
        <v>47</v>
      </c>
      <c r="B1398" t="s">
        <v>353</v>
      </c>
      <c r="C1398">
        <v>3.8</v>
      </c>
      <c r="D1398">
        <f t="shared" si="42"/>
        <v>51</v>
      </c>
      <c r="E1398" t="str">
        <f t="shared" si="43"/>
        <v>51. Cote d'Ivoire</v>
      </c>
    </row>
    <row r="1399" spans="1:5" x14ac:dyDescent="0.25">
      <c r="A1399" t="s">
        <v>123</v>
      </c>
      <c r="B1399" t="s">
        <v>353</v>
      </c>
      <c r="C1399">
        <v>3.6</v>
      </c>
      <c r="D1399">
        <f t="shared" si="42"/>
        <v>52</v>
      </c>
      <c r="E1399" t="str">
        <f t="shared" si="43"/>
        <v>52. Lithuania</v>
      </c>
    </row>
    <row r="1400" spans="1:5" x14ac:dyDescent="0.25">
      <c r="A1400" t="s">
        <v>186</v>
      </c>
      <c r="B1400" t="s">
        <v>353</v>
      </c>
      <c r="C1400">
        <v>3.6</v>
      </c>
      <c r="D1400">
        <f t="shared" si="42"/>
        <v>53</v>
      </c>
      <c r="E1400" t="str">
        <f t="shared" si="43"/>
        <v>53. Slovak Republic</v>
      </c>
    </row>
    <row r="1401" spans="1:5" x14ac:dyDescent="0.25">
      <c r="A1401" t="s">
        <v>28</v>
      </c>
      <c r="B1401" t="s">
        <v>353</v>
      </c>
      <c r="C1401">
        <v>3.5</v>
      </c>
      <c r="D1401">
        <f t="shared" si="42"/>
        <v>54</v>
      </c>
      <c r="E1401" t="str">
        <f t="shared" si="43"/>
        <v>54. Bulgaria</v>
      </c>
    </row>
    <row r="1402" spans="1:5" x14ac:dyDescent="0.25">
      <c r="A1402" t="s">
        <v>126</v>
      </c>
      <c r="B1402" t="s">
        <v>353</v>
      </c>
      <c r="C1402">
        <v>3.5</v>
      </c>
      <c r="D1402">
        <f t="shared" si="42"/>
        <v>55</v>
      </c>
      <c r="E1402" t="str">
        <f t="shared" si="43"/>
        <v>55. Macao SAR, China</v>
      </c>
    </row>
    <row r="1403" spans="1:5" x14ac:dyDescent="0.25">
      <c r="A1403" t="s">
        <v>141</v>
      </c>
      <c r="B1403" t="s">
        <v>353</v>
      </c>
      <c r="C1403">
        <v>3.5</v>
      </c>
      <c r="D1403">
        <f t="shared" si="42"/>
        <v>56</v>
      </c>
      <c r="E1403" t="str">
        <f t="shared" si="43"/>
        <v>56. Mozambique</v>
      </c>
    </row>
    <row r="1404" spans="1:5" x14ac:dyDescent="0.25">
      <c r="A1404" t="s">
        <v>77</v>
      </c>
      <c r="B1404" t="s">
        <v>353</v>
      </c>
      <c r="C1404">
        <v>3.5</v>
      </c>
      <c r="D1404">
        <f t="shared" si="42"/>
        <v>57</v>
      </c>
      <c r="E1404" t="str">
        <f t="shared" si="43"/>
        <v>57. United Kingdom</v>
      </c>
    </row>
    <row r="1405" spans="1:5" x14ac:dyDescent="0.25">
      <c r="A1405" t="s">
        <v>155</v>
      </c>
      <c r="B1405" t="s">
        <v>353</v>
      </c>
      <c r="C1405">
        <v>3.4</v>
      </c>
      <c r="D1405">
        <f t="shared" si="42"/>
        <v>58</v>
      </c>
      <c r="E1405" t="str">
        <f t="shared" si="43"/>
        <v>58. New Zealand</v>
      </c>
    </row>
    <row r="1406" spans="1:5" x14ac:dyDescent="0.25">
      <c r="A1406" t="s">
        <v>206</v>
      </c>
      <c r="B1406" t="s">
        <v>353</v>
      </c>
      <c r="C1406">
        <v>3.3</v>
      </c>
      <c r="D1406">
        <f t="shared" si="42"/>
        <v>59</v>
      </c>
      <c r="E1406" t="str">
        <f t="shared" si="43"/>
        <v>59. Uganda</v>
      </c>
    </row>
    <row r="1407" spans="1:5" x14ac:dyDescent="0.25">
      <c r="A1407" t="s">
        <v>158</v>
      </c>
      <c r="B1407" t="s">
        <v>353</v>
      </c>
      <c r="C1407">
        <v>3.2</v>
      </c>
      <c r="D1407">
        <f t="shared" si="42"/>
        <v>60</v>
      </c>
      <c r="E1407" t="str">
        <f t="shared" si="43"/>
        <v>60. Panama</v>
      </c>
    </row>
    <row r="1408" spans="1:5" x14ac:dyDescent="0.25">
      <c r="A1408" t="s">
        <v>49</v>
      </c>
      <c r="B1408" t="s">
        <v>353</v>
      </c>
      <c r="C1408">
        <v>2.9</v>
      </c>
      <c r="D1408">
        <f t="shared" si="42"/>
        <v>61</v>
      </c>
      <c r="E1408" t="str">
        <f t="shared" si="43"/>
        <v>61. Congo, Dem. Rep.</v>
      </c>
    </row>
    <row r="1409" spans="1:5" x14ac:dyDescent="0.25">
      <c r="A1409" t="s">
        <v>139</v>
      </c>
      <c r="B1409" t="s">
        <v>353</v>
      </c>
      <c r="C1409">
        <v>2.8</v>
      </c>
      <c r="D1409">
        <f t="shared" si="42"/>
        <v>62</v>
      </c>
      <c r="E1409" t="str">
        <f t="shared" si="43"/>
        <v>62. Mongolia</v>
      </c>
    </row>
    <row r="1410" spans="1:5" x14ac:dyDescent="0.25">
      <c r="A1410" t="s">
        <v>210</v>
      </c>
      <c r="B1410" t="s">
        <v>353</v>
      </c>
      <c r="C1410">
        <v>2.8</v>
      </c>
      <c r="D1410">
        <f t="shared" si="42"/>
        <v>63</v>
      </c>
      <c r="E1410" t="str">
        <f t="shared" si="43"/>
        <v>63. Uzbekistan</v>
      </c>
    </row>
    <row r="1411" spans="1:5" x14ac:dyDescent="0.25">
      <c r="A1411" t="s">
        <v>29</v>
      </c>
      <c r="B1411" t="s">
        <v>353</v>
      </c>
      <c r="C1411">
        <v>2.7</v>
      </c>
      <c r="D1411">
        <f t="shared" ref="D1411:D1474" si="44">IF(ROW() = 2, 1, IF(B1411 = B1410, D1410 + 1, 1))</f>
        <v>64</v>
      </c>
      <c r="E1411" t="str">
        <f t="shared" ref="E1411:E1474" si="45">_xlfn.CONCAT(D1411, ". ", A1411)</f>
        <v>64. Bahrain</v>
      </c>
    </row>
    <row r="1412" spans="1:5" x14ac:dyDescent="0.25">
      <c r="A1412" t="s">
        <v>101</v>
      </c>
      <c r="B1412" t="s">
        <v>353</v>
      </c>
      <c r="C1412">
        <v>2.7</v>
      </c>
      <c r="D1412">
        <f t="shared" si="44"/>
        <v>65</v>
      </c>
      <c r="E1412" t="str">
        <f t="shared" si="45"/>
        <v>65. Iceland</v>
      </c>
    </row>
    <row r="1413" spans="1:5" x14ac:dyDescent="0.25">
      <c r="A1413" t="s">
        <v>157</v>
      </c>
      <c r="B1413" t="s">
        <v>353</v>
      </c>
      <c r="C1413">
        <v>2.7</v>
      </c>
      <c r="D1413">
        <f t="shared" si="44"/>
        <v>66</v>
      </c>
      <c r="E1413" t="str">
        <f t="shared" si="45"/>
        <v>66. Pakistan</v>
      </c>
    </row>
    <row r="1414" spans="1:5" x14ac:dyDescent="0.25">
      <c r="A1414" t="s">
        <v>71</v>
      </c>
      <c r="B1414" t="s">
        <v>353</v>
      </c>
      <c r="C1414">
        <v>2.5</v>
      </c>
      <c r="D1414">
        <f t="shared" si="44"/>
        <v>67</v>
      </c>
      <c r="E1414" t="str">
        <f t="shared" si="45"/>
        <v>67. Finland</v>
      </c>
    </row>
    <row r="1415" spans="1:5" x14ac:dyDescent="0.25">
      <c r="A1415" t="s">
        <v>218</v>
      </c>
      <c r="B1415" t="s">
        <v>353</v>
      </c>
      <c r="C1415">
        <v>2.2999999999999998</v>
      </c>
      <c r="D1415">
        <f t="shared" si="44"/>
        <v>68</v>
      </c>
      <c r="E1415" t="str">
        <f t="shared" si="45"/>
        <v>68. South Africa</v>
      </c>
    </row>
    <row r="1416" spans="1:5" x14ac:dyDescent="0.25">
      <c r="A1416" t="s">
        <v>146</v>
      </c>
      <c r="B1416" t="s">
        <v>353</v>
      </c>
      <c r="C1416">
        <v>2</v>
      </c>
      <c r="D1416">
        <f t="shared" si="44"/>
        <v>69</v>
      </c>
      <c r="E1416" t="str">
        <f t="shared" si="45"/>
        <v>69. Namibia</v>
      </c>
    </row>
    <row r="1417" spans="1:5" x14ac:dyDescent="0.25">
      <c r="A1417" t="s">
        <v>175</v>
      </c>
      <c r="B1417" t="s">
        <v>353</v>
      </c>
      <c r="C1417">
        <v>2</v>
      </c>
      <c r="D1417">
        <f t="shared" si="44"/>
        <v>70</v>
      </c>
      <c r="E1417" t="str">
        <f t="shared" si="45"/>
        <v>70. Senegal</v>
      </c>
    </row>
    <row r="1418" spans="1:5" x14ac:dyDescent="0.25">
      <c r="A1418" t="s">
        <v>187</v>
      </c>
      <c r="B1418" t="s">
        <v>353</v>
      </c>
      <c r="C1418">
        <v>2</v>
      </c>
      <c r="D1418">
        <f t="shared" si="44"/>
        <v>71</v>
      </c>
      <c r="E1418" t="str">
        <f t="shared" si="45"/>
        <v>71. Slovenia</v>
      </c>
    </row>
    <row r="1419" spans="1:5" x14ac:dyDescent="0.25">
      <c r="A1419" t="s">
        <v>79</v>
      </c>
      <c r="B1419" t="s">
        <v>353</v>
      </c>
      <c r="C1419">
        <v>1.8</v>
      </c>
      <c r="D1419">
        <f t="shared" si="44"/>
        <v>72</v>
      </c>
      <c r="E1419" t="str">
        <f t="shared" si="45"/>
        <v>72. Ghana</v>
      </c>
    </row>
    <row r="1420" spans="1:5" x14ac:dyDescent="0.25">
      <c r="A1420" t="s">
        <v>87</v>
      </c>
      <c r="B1420" t="s">
        <v>353</v>
      </c>
      <c r="C1420">
        <v>1.8</v>
      </c>
      <c r="D1420">
        <f t="shared" si="44"/>
        <v>73</v>
      </c>
      <c r="E1420" t="str">
        <f t="shared" si="45"/>
        <v>73. Guatemala</v>
      </c>
    </row>
    <row r="1421" spans="1:5" x14ac:dyDescent="0.25">
      <c r="A1421" t="s">
        <v>116</v>
      </c>
      <c r="B1421" t="s">
        <v>353</v>
      </c>
      <c r="C1421">
        <v>1.8</v>
      </c>
      <c r="D1421">
        <f t="shared" si="44"/>
        <v>74</v>
      </c>
      <c r="E1421" t="str">
        <f t="shared" si="45"/>
        <v>74. Lebanon</v>
      </c>
    </row>
    <row r="1422" spans="1:5" x14ac:dyDescent="0.25">
      <c r="A1422" t="s">
        <v>13</v>
      </c>
      <c r="B1422" t="s">
        <v>353</v>
      </c>
      <c r="C1422">
        <v>1.7</v>
      </c>
      <c r="D1422">
        <f t="shared" si="44"/>
        <v>75</v>
      </c>
      <c r="E1422" t="str">
        <f t="shared" si="45"/>
        <v>75. Albania</v>
      </c>
    </row>
    <row r="1423" spans="1:5" x14ac:dyDescent="0.25">
      <c r="A1423" t="s">
        <v>32</v>
      </c>
      <c r="B1423" t="s">
        <v>353</v>
      </c>
      <c r="C1423">
        <v>1.7</v>
      </c>
      <c r="D1423">
        <f t="shared" si="44"/>
        <v>76</v>
      </c>
      <c r="E1423" t="str">
        <f t="shared" si="45"/>
        <v>76. Belarus</v>
      </c>
    </row>
    <row r="1424" spans="1:5" x14ac:dyDescent="0.25">
      <c r="A1424" t="s">
        <v>205</v>
      </c>
      <c r="B1424" t="s">
        <v>353</v>
      </c>
      <c r="C1424">
        <v>1.7</v>
      </c>
      <c r="D1424">
        <f t="shared" si="44"/>
        <v>77</v>
      </c>
      <c r="E1424" t="str">
        <f t="shared" si="45"/>
        <v>77. Tanzania</v>
      </c>
    </row>
    <row r="1425" spans="1:5" x14ac:dyDescent="0.25">
      <c r="A1425" t="s">
        <v>105</v>
      </c>
      <c r="B1425" t="s">
        <v>353</v>
      </c>
      <c r="C1425">
        <v>1.6</v>
      </c>
      <c r="D1425">
        <f t="shared" si="44"/>
        <v>78</v>
      </c>
      <c r="E1425" t="str">
        <f t="shared" si="45"/>
        <v>78. Jordan</v>
      </c>
    </row>
    <row r="1426" spans="1:5" x14ac:dyDescent="0.25">
      <c r="A1426" t="s">
        <v>127</v>
      </c>
      <c r="B1426" t="s">
        <v>353</v>
      </c>
      <c r="C1426">
        <v>1.6</v>
      </c>
      <c r="D1426">
        <f t="shared" si="44"/>
        <v>79</v>
      </c>
      <c r="E1426" t="str">
        <f t="shared" si="45"/>
        <v>79. Morocco</v>
      </c>
    </row>
    <row r="1427" spans="1:5" x14ac:dyDescent="0.25">
      <c r="A1427" t="s">
        <v>198</v>
      </c>
      <c r="B1427" t="s">
        <v>353</v>
      </c>
      <c r="C1427">
        <v>1.6</v>
      </c>
      <c r="D1427">
        <f t="shared" si="44"/>
        <v>80</v>
      </c>
      <c r="E1427" t="str">
        <f t="shared" si="45"/>
        <v>80. Turkmenistan</v>
      </c>
    </row>
    <row r="1428" spans="1:5" x14ac:dyDescent="0.25">
      <c r="A1428" t="s">
        <v>223</v>
      </c>
      <c r="B1428" t="s">
        <v>353</v>
      </c>
      <c r="C1428">
        <v>1.6</v>
      </c>
      <c r="D1428">
        <f t="shared" si="44"/>
        <v>81</v>
      </c>
      <c r="E1428" t="str">
        <f t="shared" si="45"/>
        <v>81. Venezuela, RB</v>
      </c>
    </row>
    <row r="1429" spans="1:5" x14ac:dyDescent="0.25">
      <c r="A1429" t="s">
        <v>27</v>
      </c>
      <c r="B1429" t="s">
        <v>353</v>
      </c>
      <c r="C1429">
        <v>1.5</v>
      </c>
      <c r="D1429">
        <f t="shared" si="44"/>
        <v>82</v>
      </c>
      <c r="E1429" t="str">
        <f t="shared" si="45"/>
        <v>82. Bangladesh</v>
      </c>
    </row>
    <row r="1430" spans="1:5" x14ac:dyDescent="0.25">
      <c r="A1430" t="s">
        <v>125</v>
      </c>
      <c r="B1430" t="s">
        <v>353</v>
      </c>
      <c r="C1430">
        <v>1.5</v>
      </c>
      <c r="D1430">
        <f t="shared" si="44"/>
        <v>83</v>
      </c>
      <c r="E1430" t="str">
        <f t="shared" si="45"/>
        <v>83. Latvia</v>
      </c>
    </row>
    <row r="1431" spans="1:5" x14ac:dyDescent="0.25">
      <c r="A1431" t="s">
        <v>78</v>
      </c>
      <c r="B1431" t="s">
        <v>353</v>
      </c>
      <c r="C1431">
        <v>1.4</v>
      </c>
      <c r="D1431">
        <f t="shared" si="44"/>
        <v>84</v>
      </c>
      <c r="E1431" t="str">
        <f t="shared" si="45"/>
        <v>84. Georgia</v>
      </c>
    </row>
    <row r="1432" spans="1:5" x14ac:dyDescent="0.25">
      <c r="A1432" t="s">
        <v>80</v>
      </c>
      <c r="B1432" t="s">
        <v>353</v>
      </c>
      <c r="C1432">
        <v>1.4</v>
      </c>
      <c r="D1432">
        <f t="shared" si="44"/>
        <v>85</v>
      </c>
      <c r="E1432" t="str">
        <f t="shared" si="45"/>
        <v>85. Guinea</v>
      </c>
    </row>
    <row r="1433" spans="1:5" x14ac:dyDescent="0.25">
      <c r="A1433" t="s">
        <v>99</v>
      </c>
      <c r="B1433" t="s">
        <v>353</v>
      </c>
      <c r="C1433">
        <v>1.4</v>
      </c>
      <c r="D1433">
        <f t="shared" si="44"/>
        <v>86</v>
      </c>
      <c r="E1433" t="str">
        <f t="shared" si="45"/>
        <v>86. Iran, Islamic Rep.</v>
      </c>
    </row>
    <row r="1434" spans="1:5" x14ac:dyDescent="0.25">
      <c r="A1434" t="s">
        <v>142</v>
      </c>
      <c r="B1434" t="s">
        <v>353</v>
      </c>
      <c r="C1434">
        <v>1.4</v>
      </c>
      <c r="D1434">
        <f t="shared" si="44"/>
        <v>87</v>
      </c>
      <c r="E1434" t="str">
        <f t="shared" si="45"/>
        <v>87. Mauritania</v>
      </c>
    </row>
    <row r="1435" spans="1:5" x14ac:dyDescent="0.25">
      <c r="A1435" t="s">
        <v>150</v>
      </c>
      <c r="B1435" t="s">
        <v>353</v>
      </c>
      <c r="C1435">
        <v>1.4</v>
      </c>
      <c r="D1435">
        <f t="shared" si="44"/>
        <v>88</v>
      </c>
      <c r="E1435" t="str">
        <f t="shared" si="45"/>
        <v>88. Nicaragua</v>
      </c>
    </row>
    <row r="1436" spans="1:5" x14ac:dyDescent="0.25">
      <c r="A1436" t="s">
        <v>91</v>
      </c>
      <c r="B1436" t="s">
        <v>353</v>
      </c>
      <c r="C1436">
        <v>1.3</v>
      </c>
      <c r="D1436">
        <f t="shared" si="44"/>
        <v>89</v>
      </c>
      <c r="E1436" t="str">
        <f t="shared" si="45"/>
        <v>89. Honduras</v>
      </c>
    </row>
    <row r="1437" spans="1:5" x14ac:dyDescent="0.25">
      <c r="A1437" t="s">
        <v>65</v>
      </c>
      <c r="B1437" t="s">
        <v>353</v>
      </c>
      <c r="C1437">
        <v>1.2</v>
      </c>
      <c r="D1437">
        <f t="shared" si="44"/>
        <v>90</v>
      </c>
      <c r="E1437" t="str">
        <f t="shared" si="45"/>
        <v>90. Algeria</v>
      </c>
    </row>
    <row r="1438" spans="1:5" x14ac:dyDescent="0.25">
      <c r="A1438" t="s">
        <v>134</v>
      </c>
      <c r="B1438" t="s">
        <v>353</v>
      </c>
      <c r="C1438">
        <v>1.2</v>
      </c>
      <c r="D1438">
        <f t="shared" si="44"/>
        <v>91</v>
      </c>
      <c r="E1438" t="str">
        <f t="shared" si="45"/>
        <v>91. North Macedonia</v>
      </c>
    </row>
    <row r="1439" spans="1:5" x14ac:dyDescent="0.25">
      <c r="A1439" t="s">
        <v>219</v>
      </c>
      <c r="B1439" t="s">
        <v>353</v>
      </c>
      <c r="C1439">
        <v>1.2</v>
      </c>
      <c r="D1439">
        <f t="shared" si="44"/>
        <v>92</v>
      </c>
      <c r="E1439" t="str">
        <f t="shared" si="45"/>
        <v>92. Zambia</v>
      </c>
    </row>
    <row r="1440" spans="1:5" x14ac:dyDescent="0.25">
      <c r="A1440" t="s">
        <v>76</v>
      </c>
      <c r="B1440" t="s">
        <v>353</v>
      </c>
      <c r="C1440">
        <v>1.1000000000000001</v>
      </c>
      <c r="D1440">
        <f t="shared" si="44"/>
        <v>93</v>
      </c>
      <c r="E1440" t="str">
        <f t="shared" si="45"/>
        <v>93. Gabon</v>
      </c>
    </row>
    <row r="1441" spans="1:5" x14ac:dyDescent="0.25">
      <c r="A1441" t="s">
        <v>137</v>
      </c>
      <c r="B1441" t="s">
        <v>353</v>
      </c>
      <c r="C1441">
        <v>1.1000000000000001</v>
      </c>
      <c r="D1441">
        <f t="shared" si="44"/>
        <v>94</v>
      </c>
      <c r="E1441" t="str">
        <f t="shared" si="45"/>
        <v>94. Myanmar</v>
      </c>
    </row>
    <row r="1442" spans="1:5" x14ac:dyDescent="0.25">
      <c r="A1442" t="s">
        <v>149</v>
      </c>
      <c r="B1442" t="s">
        <v>353</v>
      </c>
      <c r="C1442">
        <v>1.1000000000000001</v>
      </c>
      <c r="D1442">
        <f t="shared" si="44"/>
        <v>95</v>
      </c>
      <c r="E1442" t="str">
        <f t="shared" si="45"/>
        <v>95. Nigeria</v>
      </c>
    </row>
    <row r="1443" spans="1:5" x14ac:dyDescent="0.25">
      <c r="A1443" t="s">
        <v>31</v>
      </c>
      <c r="B1443" t="s">
        <v>353</v>
      </c>
      <c r="C1443">
        <v>1</v>
      </c>
      <c r="D1443">
        <f t="shared" si="44"/>
        <v>96</v>
      </c>
      <c r="E1443" t="str">
        <f t="shared" si="45"/>
        <v>96. Bosnia and Herzegovina</v>
      </c>
    </row>
    <row r="1444" spans="1:5" x14ac:dyDescent="0.25">
      <c r="A1444" t="s">
        <v>194</v>
      </c>
      <c r="B1444" t="s">
        <v>353</v>
      </c>
      <c r="C1444">
        <v>1</v>
      </c>
      <c r="D1444">
        <f t="shared" si="44"/>
        <v>97</v>
      </c>
      <c r="E1444" t="str">
        <f t="shared" si="45"/>
        <v>97. Chad</v>
      </c>
    </row>
    <row r="1445" spans="1:5" x14ac:dyDescent="0.25">
      <c r="A1445" t="s">
        <v>115</v>
      </c>
      <c r="B1445" t="s">
        <v>353</v>
      </c>
      <c r="C1445">
        <v>1</v>
      </c>
      <c r="D1445">
        <f t="shared" si="44"/>
        <v>98</v>
      </c>
      <c r="E1445" t="str">
        <f t="shared" si="45"/>
        <v>98. Lao PDR</v>
      </c>
    </row>
    <row r="1446" spans="1:5" x14ac:dyDescent="0.25">
      <c r="A1446" t="s">
        <v>48</v>
      </c>
      <c r="B1446" t="s">
        <v>353</v>
      </c>
      <c r="C1446">
        <v>0.9</v>
      </c>
      <c r="D1446">
        <f t="shared" si="44"/>
        <v>99</v>
      </c>
      <c r="E1446" t="str">
        <f t="shared" si="45"/>
        <v>99. Cameroon</v>
      </c>
    </row>
    <row r="1447" spans="1:5" x14ac:dyDescent="0.25">
      <c r="A1447" t="s">
        <v>179</v>
      </c>
      <c r="B1447" t="s">
        <v>353</v>
      </c>
      <c r="C1447">
        <v>0.9</v>
      </c>
      <c r="D1447">
        <f t="shared" si="44"/>
        <v>100</v>
      </c>
      <c r="E1447" t="str">
        <f t="shared" si="45"/>
        <v>100. El Salvador</v>
      </c>
    </row>
    <row r="1448" spans="1:5" x14ac:dyDescent="0.25">
      <c r="A1448" t="s">
        <v>216</v>
      </c>
      <c r="B1448" t="s">
        <v>353</v>
      </c>
      <c r="C1448">
        <v>0.9</v>
      </c>
      <c r="D1448">
        <f t="shared" si="44"/>
        <v>101</v>
      </c>
      <c r="E1448" t="str">
        <f t="shared" si="45"/>
        <v>101. Kosovo</v>
      </c>
    </row>
    <row r="1449" spans="1:5" x14ac:dyDescent="0.25">
      <c r="A1449" t="s">
        <v>131</v>
      </c>
      <c r="B1449" t="s">
        <v>353</v>
      </c>
      <c r="C1449">
        <v>0.8</v>
      </c>
      <c r="D1449">
        <f t="shared" si="44"/>
        <v>102</v>
      </c>
      <c r="E1449" t="str">
        <f t="shared" si="45"/>
        <v>102. Maldives</v>
      </c>
    </row>
    <row r="1450" spans="1:5" x14ac:dyDescent="0.25">
      <c r="A1450" t="s">
        <v>172</v>
      </c>
      <c r="B1450" t="s">
        <v>353</v>
      </c>
      <c r="C1450">
        <v>0.8</v>
      </c>
      <c r="D1450">
        <f t="shared" si="44"/>
        <v>103</v>
      </c>
      <c r="E1450" t="str">
        <f t="shared" si="45"/>
        <v>103. Rwanda</v>
      </c>
    </row>
    <row r="1451" spans="1:5" x14ac:dyDescent="0.25">
      <c r="A1451" t="s">
        <v>222</v>
      </c>
      <c r="B1451" t="s">
        <v>353</v>
      </c>
      <c r="C1451">
        <v>0.8</v>
      </c>
      <c r="D1451">
        <f t="shared" si="44"/>
        <v>104</v>
      </c>
      <c r="E1451" t="str">
        <f t="shared" si="45"/>
        <v>104. Somalia, Fed. Rep.</v>
      </c>
    </row>
    <row r="1452" spans="1:5" x14ac:dyDescent="0.25">
      <c r="A1452" t="s">
        <v>121</v>
      </c>
      <c r="B1452" t="s">
        <v>353</v>
      </c>
      <c r="C1452">
        <v>0.8</v>
      </c>
      <c r="D1452">
        <f t="shared" si="44"/>
        <v>105</v>
      </c>
      <c r="E1452" t="str">
        <f t="shared" si="45"/>
        <v>105. Sri Lanka</v>
      </c>
    </row>
    <row r="1453" spans="1:5" x14ac:dyDescent="0.25">
      <c r="A1453" t="s">
        <v>202</v>
      </c>
      <c r="B1453" t="s">
        <v>353</v>
      </c>
      <c r="C1453">
        <v>0.8</v>
      </c>
      <c r="D1453">
        <f t="shared" si="44"/>
        <v>106</v>
      </c>
      <c r="E1453" t="str">
        <f t="shared" si="45"/>
        <v>106. Tunisia</v>
      </c>
    </row>
    <row r="1454" spans="1:5" x14ac:dyDescent="0.25">
      <c r="A1454" t="s">
        <v>109</v>
      </c>
      <c r="B1454" t="s">
        <v>353</v>
      </c>
      <c r="C1454">
        <v>0.7</v>
      </c>
      <c r="D1454">
        <f t="shared" si="44"/>
        <v>107</v>
      </c>
      <c r="E1454" t="str">
        <f t="shared" si="45"/>
        <v>107. Kyrgyz Republic</v>
      </c>
    </row>
    <row r="1455" spans="1:5" x14ac:dyDescent="0.25">
      <c r="A1455" t="s">
        <v>117</v>
      </c>
      <c r="B1455" t="s">
        <v>353</v>
      </c>
      <c r="C1455">
        <v>0.7</v>
      </c>
      <c r="D1455">
        <f t="shared" si="44"/>
        <v>108</v>
      </c>
      <c r="E1455" t="str">
        <f t="shared" si="45"/>
        <v>108. Liberia</v>
      </c>
    </row>
    <row r="1456" spans="1:5" x14ac:dyDescent="0.25">
      <c r="A1456" t="s">
        <v>135</v>
      </c>
      <c r="B1456" t="s">
        <v>353</v>
      </c>
      <c r="C1456">
        <v>0.7</v>
      </c>
      <c r="D1456">
        <f t="shared" si="44"/>
        <v>109</v>
      </c>
      <c r="E1456" t="str">
        <f t="shared" si="45"/>
        <v>109. Mali</v>
      </c>
    </row>
    <row r="1457" spans="1:5" x14ac:dyDescent="0.25">
      <c r="A1457" t="s">
        <v>143</v>
      </c>
      <c r="B1457" t="s">
        <v>353</v>
      </c>
      <c r="C1457">
        <v>0.7</v>
      </c>
      <c r="D1457">
        <f t="shared" si="44"/>
        <v>110</v>
      </c>
      <c r="E1457" t="str">
        <f t="shared" si="45"/>
        <v>110. Mauritius</v>
      </c>
    </row>
    <row r="1458" spans="1:5" x14ac:dyDescent="0.25">
      <c r="A1458" t="s">
        <v>147</v>
      </c>
      <c r="B1458" t="s">
        <v>353</v>
      </c>
      <c r="C1458">
        <v>0.7</v>
      </c>
      <c r="D1458">
        <f t="shared" si="44"/>
        <v>111</v>
      </c>
      <c r="E1458" t="str">
        <f t="shared" si="45"/>
        <v>111. New Caledonia</v>
      </c>
    </row>
    <row r="1459" spans="1:5" x14ac:dyDescent="0.25">
      <c r="A1459" t="s">
        <v>50</v>
      </c>
      <c r="B1459" t="s">
        <v>353</v>
      </c>
      <c r="C1459">
        <v>0.6</v>
      </c>
      <c r="D1459">
        <f t="shared" si="44"/>
        <v>112</v>
      </c>
      <c r="E1459" t="str">
        <f t="shared" si="45"/>
        <v>112. Congo, Rep.</v>
      </c>
    </row>
    <row r="1460" spans="1:5" x14ac:dyDescent="0.25">
      <c r="A1460" t="s">
        <v>114</v>
      </c>
      <c r="B1460" t="s">
        <v>353</v>
      </c>
      <c r="C1460">
        <v>0.6</v>
      </c>
      <c r="D1460">
        <f t="shared" si="44"/>
        <v>113</v>
      </c>
      <c r="E1460" t="str">
        <f t="shared" si="45"/>
        <v>113. Kuwait</v>
      </c>
    </row>
    <row r="1461" spans="1:5" x14ac:dyDescent="0.25">
      <c r="A1461" t="s">
        <v>138</v>
      </c>
      <c r="B1461" t="s">
        <v>353</v>
      </c>
      <c r="C1461">
        <v>0.6</v>
      </c>
      <c r="D1461">
        <f t="shared" si="44"/>
        <v>114</v>
      </c>
      <c r="E1461" t="str">
        <f t="shared" si="45"/>
        <v>114. Montenegro</v>
      </c>
    </row>
    <row r="1462" spans="1:5" x14ac:dyDescent="0.25">
      <c r="A1462" t="s">
        <v>220</v>
      </c>
      <c r="B1462" t="s">
        <v>353</v>
      </c>
      <c r="C1462">
        <v>0.6</v>
      </c>
      <c r="D1462">
        <f t="shared" si="44"/>
        <v>115</v>
      </c>
      <c r="E1462" t="str">
        <f t="shared" si="45"/>
        <v>115. Zimbabwe</v>
      </c>
    </row>
    <row r="1463" spans="1:5" x14ac:dyDescent="0.25">
      <c r="A1463" t="s">
        <v>25</v>
      </c>
      <c r="B1463" t="s">
        <v>353</v>
      </c>
      <c r="C1463">
        <v>0.5</v>
      </c>
      <c r="D1463">
        <f t="shared" si="44"/>
        <v>116</v>
      </c>
      <c r="E1463" t="str">
        <f t="shared" si="45"/>
        <v>116. Benin</v>
      </c>
    </row>
    <row r="1464" spans="1:5" x14ac:dyDescent="0.25">
      <c r="A1464" t="s">
        <v>40</v>
      </c>
      <c r="B1464" t="s">
        <v>353</v>
      </c>
      <c r="C1464">
        <v>0.5</v>
      </c>
      <c r="D1464">
        <f t="shared" si="44"/>
        <v>117</v>
      </c>
      <c r="E1464" t="str">
        <f t="shared" si="45"/>
        <v>117. Botswana</v>
      </c>
    </row>
    <row r="1465" spans="1:5" x14ac:dyDescent="0.25">
      <c r="A1465" t="s">
        <v>108</v>
      </c>
      <c r="B1465" t="s">
        <v>353</v>
      </c>
      <c r="C1465">
        <v>0.5</v>
      </c>
      <c r="D1465">
        <f t="shared" si="44"/>
        <v>118</v>
      </c>
      <c r="E1465" t="str">
        <f t="shared" si="45"/>
        <v>118. Kenya</v>
      </c>
    </row>
    <row r="1466" spans="1:5" x14ac:dyDescent="0.25">
      <c r="A1466" t="s">
        <v>148</v>
      </c>
      <c r="B1466" t="s">
        <v>353</v>
      </c>
      <c r="C1466">
        <v>0.5</v>
      </c>
      <c r="D1466">
        <f t="shared" si="44"/>
        <v>119</v>
      </c>
      <c r="E1466" t="str">
        <f t="shared" si="45"/>
        <v>119. Niger</v>
      </c>
    </row>
    <row r="1467" spans="1:5" x14ac:dyDescent="0.25">
      <c r="A1467" t="s">
        <v>169</v>
      </c>
      <c r="B1467" t="s">
        <v>353</v>
      </c>
      <c r="C1467">
        <v>0.5</v>
      </c>
      <c r="D1467">
        <f t="shared" si="44"/>
        <v>120</v>
      </c>
      <c r="E1467" t="str">
        <f t="shared" si="45"/>
        <v>120. Qatar</v>
      </c>
    </row>
    <row r="1468" spans="1:5" x14ac:dyDescent="0.25">
      <c r="A1468" t="s">
        <v>35</v>
      </c>
      <c r="B1468" t="s">
        <v>353</v>
      </c>
      <c r="C1468">
        <v>0.4</v>
      </c>
      <c r="D1468">
        <f t="shared" si="44"/>
        <v>121</v>
      </c>
      <c r="E1468" t="str">
        <f t="shared" si="45"/>
        <v>121. Bolivia</v>
      </c>
    </row>
    <row r="1469" spans="1:5" x14ac:dyDescent="0.25">
      <c r="A1469" t="s">
        <v>130</v>
      </c>
      <c r="B1469" t="s">
        <v>353</v>
      </c>
      <c r="C1469">
        <v>0.4</v>
      </c>
      <c r="D1469">
        <f t="shared" si="44"/>
        <v>122</v>
      </c>
      <c r="E1469" t="str">
        <f t="shared" si="45"/>
        <v>122. Madagascar</v>
      </c>
    </row>
    <row r="1470" spans="1:5" x14ac:dyDescent="0.25">
      <c r="A1470" t="s">
        <v>166</v>
      </c>
      <c r="B1470" t="s">
        <v>353</v>
      </c>
      <c r="C1470">
        <v>0.4</v>
      </c>
      <c r="D1470">
        <f t="shared" si="44"/>
        <v>123</v>
      </c>
      <c r="E1470" t="str">
        <f t="shared" si="45"/>
        <v>123. Paraguay</v>
      </c>
    </row>
    <row r="1471" spans="1:5" x14ac:dyDescent="0.25">
      <c r="A1471" t="s">
        <v>14</v>
      </c>
      <c r="B1471" t="s">
        <v>353</v>
      </c>
      <c r="C1471">
        <v>0.3</v>
      </c>
      <c r="D1471">
        <f t="shared" si="44"/>
        <v>124</v>
      </c>
      <c r="E1471" t="str">
        <f t="shared" si="45"/>
        <v>124. Andorra</v>
      </c>
    </row>
    <row r="1472" spans="1:5" x14ac:dyDescent="0.25">
      <c r="A1472" t="s">
        <v>19</v>
      </c>
      <c r="B1472" t="s">
        <v>353</v>
      </c>
      <c r="C1472">
        <v>0.3</v>
      </c>
      <c r="D1472">
        <f t="shared" si="44"/>
        <v>125</v>
      </c>
      <c r="E1472" t="str">
        <f t="shared" si="45"/>
        <v>125. Antigua and Barbuda</v>
      </c>
    </row>
    <row r="1473" spans="1:5" x14ac:dyDescent="0.25">
      <c r="A1473" t="s">
        <v>37</v>
      </c>
      <c r="B1473" t="s">
        <v>353</v>
      </c>
      <c r="C1473">
        <v>0.3</v>
      </c>
      <c r="D1473">
        <f t="shared" si="44"/>
        <v>126</v>
      </c>
      <c r="E1473" t="str">
        <f t="shared" si="45"/>
        <v>126. Barbados</v>
      </c>
    </row>
    <row r="1474" spans="1:5" x14ac:dyDescent="0.25">
      <c r="A1474" t="s">
        <v>66</v>
      </c>
      <c r="B1474" t="s">
        <v>353</v>
      </c>
      <c r="C1474">
        <v>0.3</v>
      </c>
      <c r="D1474">
        <f t="shared" si="44"/>
        <v>127</v>
      </c>
      <c r="E1474" t="str">
        <f t="shared" si="45"/>
        <v>127. Ecuador</v>
      </c>
    </row>
    <row r="1475" spans="1:5" x14ac:dyDescent="0.25">
      <c r="A1475" t="s">
        <v>104</v>
      </c>
      <c r="B1475" t="s">
        <v>353</v>
      </c>
      <c r="C1475">
        <v>0.3</v>
      </c>
      <c r="D1475">
        <f t="shared" ref="D1475:D1538" si="46">IF(ROW() = 2, 1, IF(B1475 = B1474, D1474 + 1, 1))</f>
        <v>128</v>
      </c>
      <c r="E1475" t="str">
        <f t="shared" ref="E1475:E1538" si="47">_xlfn.CONCAT(D1475, ". ", A1475)</f>
        <v>128. Jamaica</v>
      </c>
    </row>
    <row r="1476" spans="1:5" x14ac:dyDescent="0.25">
      <c r="A1476" t="s">
        <v>129</v>
      </c>
      <c r="B1476" t="s">
        <v>353</v>
      </c>
      <c r="C1476">
        <v>0.3</v>
      </c>
      <c r="D1476">
        <f t="shared" si="46"/>
        <v>129</v>
      </c>
      <c r="E1476" t="str">
        <f t="shared" si="47"/>
        <v>129. Moldova</v>
      </c>
    </row>
    <row r="1477" spans="1:5" x14ac:dyDescent="0.25">
      <c r="A1477" t="s">
        <v>191</v>
      </c>
      <c r="B1477" t="s">
        <v>353</v>
      </c>
      <c r="C1477">
        <v>0.3</v>
      </c>
      <c r="D1477">
        <f t="shared" si="46"/>
        <v>130</v>
      </c>
      <c r="E1477" t="str">
        <f t="shared" si="47"/>
        <v>130. Seychelles</v>
      </c>
    </row>
    <row r="1478" spans="1:5" x14ac:dyDescent="0.25">
      <c r="A1478" t="s">
        <v>178</v>
      </c>
      <c r="B1478" t="s">
        <v>353</v>
      </c>
      <c r="C1478">
        <v>0.3</v>
      </c>
      <c r="D1478">
        <f t="shared" si="46"/>
        <v>131</v>
      </c>
      <c r="E1478" t="str">
        <f t="shared" si="47"/>
        <v>131. Sierra Leone</v>
      </c>
    </row>
    <row r="1479" spans="1:5" x14ac:dyDescent="0.25">
      <c r="A1479" t="s">
        <v>197</v>
      </c>
      <c r="B1479" t="s">
        <v>353</v>
      </c>
      <c r="C1479">
        <v>0.3</v>
      </c>
      <c r="D1479">
        <f t="shared" si="46"/>
        <v>132</v>
      </c>
      <c r="E1479" t="str">
        <f t="shared" si="47"/>
        <v>132. Tajikistan</v>
      </c>
    </row>
    <row r="1480" spans="1:5" x14ac:dyDescent="0.25">
      <c r="A1480" t="s">
        <v>22</v>
      </c>
      <c r="B1480" t="s">
        <v>353</v>
      </c>
      <c r="C1480">
        <v>0.2</v>
      </c>
      <c r="D1480">
        <f t="shared" si="46"/>
        <v>133</v>
      </c>
      <c r="E1480" t="str">
        <f t="shared" si="47"/>
        <v>133. Azerbaijan</v>
      </c>
    </row>
    <row r="1481" spans="1:5" x14ac:dyDescent="0.25">
      <c r="A1481" t="s">
        <v>30</v>
      </c>
      <c r="B1481" t="s">
        <v>353</v>
      </c>
      <c r="C1481">
        <v>0.2</v>
      </c>
      <c r="D1481">
        <f t="shared" si="46"/>
        <v>134</v>
      </c>
      <c r="E1481" t="str">
        <f t="shared" si="47"/>
        <v>134. Bahamas, The</v>
      </c>
    </row>
    <row r="1482" spans="1:5" x14ac:dyDescent="0.25">
      <c r="A1482" t="s">
        <v>56</v>
      </c>
      <c r="B1482" t="s">
        <v>353</v>
      </c>
      <c r="C1482">
        <v>0.2</v>
      </c>
      <c r="D1482">
        <f t="shared" si="46"/>
        <v>135</v>
      </c>
      <c r="E1482" t="str">
        <f t="shared" si="47"/>
        <v>135. Curacao</v>
      </c>
    </row>
    <row r="1483" spans="1:5" x14ac:dyDescent="0.25">
      <c r="A1483" t="s">
        <v>83</v>
      </c>
      <c r="B1483" t="s">
        <v>353</v>
      </c>
      <c r="C1483">
        <v>0.2</v>
      </c>
      <c r="D1483">
        <f t="shared" si="46"/>
        <v>136</v>
      </c>
      <c r="E1483" t="str">
        <f t="shared" si="47"/>
        <v>136. Equatorial Guinea</v>
      </c>
    </row>
    <row r="1484" spans="1:5" x14ac:dyDescent="0.25">
      <c r="A1484" t="s">
        <v>72</v>
      </c>
      <c r="B1484" t="s">
        <v>353</v>
      </c>
      <c r="C1484">
        <v>0.2</v>
      </c>
      <c r="D1484">
        <f t="shared" si="46"/>
        <v>137</v>
      </c>
      <c r="E1484" t="str">
        <f t="shared" si="47"/>
        <v>137. Fiji</v>
      </c>
    </row>
    <row r="1485" spans="1:5" x14ac:dyDescent="0.25">
      <c r="A1485" t="s">
        <v>81</v>
      </c>
      <c r="B1485" t="s">
        <v>353</v>
      </c>
      <c r="C1485">
        <v>0.2</v>
      </c>
      <c r="D1485">
        <f t="shared" si="46"/>
        <v>138</v>
      </c>
      <c r="E1485" t="str">
        <f t="shared" si="47"/>
        <v>138. Gambia, The</v>
      </c>
    </row>
    <row r="1486" spans="1:5" x14ac:dyDescent="0.25">
      <c r="A1486" t="s">
        <v>85</v>
      </c>
      <c r="B1486" t="s">
        <v>353</v>
      </c>
      <c r="C1486">
        <v>0.2</v>
      </c>
      <c r="D1486">
        <f t="shared" si="46"/>
        <v>139</v>
      </c>
      <c r="E1486" t="str">
        <f t="shared" si="47"/>
        <v>139. Grenada</v>
      </c>
    </row>
    <row r="1487" spans="1:5" x14ac:dyDescent="0.25">
      <c r="A1487" t="s">
        <v>144</v>
      </c>
      <c r="B1487" t="s">
        <v>353</v>
      </c>
      <c r="C1487">
        <v>0.2</v>
      </c>
      <c r="D1487">
        <f t="shared" si="46"/>
        <v>140</v>
      </c>
      <c r="E1487" t="str">
        <f t="shared" si="47"/>
        <v>140. Malawi</v>
      </c>
    </row>
    <row r="1488" spans="1:5" x14ac:dyDescent="0.25">
      <c r="A1488" t="s">
        <v>153</v>
      </c>
      <c r="B1488" t="s">
        <v>353</v>
      </c>
      <c r="C1488">
        <v>0.2</v>
      </c>
      <c r="D1488">
        <f t="shared" si="46"/>
        <v>141</v>
      </c>
      <c r="E1488" t="str">
        <f t="shared" si="47"/>
        <v>141. Nepal</v>
      </c>
    </row>
    <row r="1489" spans="1:5" x14ac:dyDescent="0.25">
      <c r="A1489" t="s">
        <v>119</v>
      </c>
      <c r="B1489" t="s">
        <v>353</v>
      </c>
      <c r="C1489">
        <v>0.2</v>
      </c>
      <c r="D1489">
        <f t="shared" si="46"/>
        <v>142</v>
      </c>
      <c r="E1489" t="str">
        <f t="shared" si="47"/>
        <v>142. St. Lucia</v>
      </c>
    </row>
    <row r="1490" spans="1:5" x14ac:dyDescent="0.25">
      <c r="A1490" t="s">
        <v>199</v>
      </c>
      <c r="B1490" t="s">
        <v>353</v>
      </c>
      <c r="C1490">
        <v>0.2</v>
      </c>
      <c r="D1490">
        <f t="shared" si="46"/>
        <v>143</v>
      </c>
      <c r="E1490" t="str">
        <f t="shared" si="47"/>
        <v>143. Timor-Leste</v>
      </c>
    </row>
    <row r="1491" spans="1:5" x14ac:dyDescent="0.25">
      <c r="A1491" t="s">
        <v>167</v>
      </c>
      <c r="B1491" t="s">
        <v>353</v>
      </c>
      <c r="C1491">
        <v>0.2</v>
      </c>
      <c r="D1491">
        <f t="shared" si="46"/>
        <v>144</v>
      </c>
      <c r="E1491" t="str">
        <f t="shared" si="47"/>
        <v>144. West Bank and Gaza</v>
      </c>
    </row>
    <row r="1492" spans="1:5" x14ac:dyDescent="0.25">
      <c r="A1492" t="s">
        <v>17</v>
      </c>
      <c r="B1492" t="s">
        <v>353</v>
      </c>
      <c r="C1492">
        <v>0.1</v>
      </c>
      <c r="D1492">
        <f t="shared" si="46"/>
        <v>145</v>
      </c>
      <c r="E1492" t="str">
        <f t="shared" si="47"/>
        <v>145. Armenia</v>
      </c>
    </row>
    <row r="1493" spans="1:5" x14ac:dyDescent="0.25">
      <c r="A1493" t="s">
        <v>10</v>
      </c>
      <c r="B1493" t="s">
        <v>353</v>
      </c>
      <c r="C1493">
        <v>0.1</v>
      </c>
      <c r="D1493">
        <f t="shared" si="46"/>
        <v>146</v>
      </c>
      <c r="E1493" t="str">
        <f t="shared" si="47"/>
        <v>146. Aruba</v>
      </c>
    </row>
    <row r="1494" spans="1:5" x14ac:dyDescent="0.25">
      <c r="A1494" t="s">
        <v>33</v>
      </c>
      <c r="B1494" t="s">
        <v>353</v>
      </c>
      <c r="C1494">
        <v>0.1</v>
      </c>
      <c r="D1494">
        <f t="shared" si="46"/>
        <v>147</v>
      </c>
      <c r="E1494" t="str">
        <f t="shared" si="47"/>
        <v>147. Belize</v>
      </c>
    </row>
    <row r="1495" spans="1:5" x14ac:dyDescent="0.25">
      <c r="A1495" t="s">
        <v>34</v>
      </c>
      <c r="B1495" t="s">
        <v>353</v>
      </c>
      <c r="C1495">
        <v>0.1</v>
      </c>
      <c r="D1495">
        <f t="shared" si="46"/>
        <v>148</v>
      </c>
      <c r="E1495" t="str">
        <f t="shared" si="47"/>
        <v>148. Bermuda</v>
      </c>
    </row>
    <row r="1496" spans="1:5" x14ac:dyDescent="0.25">
      <c r="A1496" t="s">
        <v>26</v>
      </c>
      <c r="B1496" t="s">
        <v>353</v>
      </c>
      <c r="C1496">
        <v>0.1</v>
      </c>
      <c r="D1496">
        <f t="shared" si="46"/>
        <v>149</v>
      </c>
      <c r="E1496" t="str">
        <f t="shared" si="47"/>
        <v>149. Burkina Faso</v>
      </c>
    </row>
    <row r="1497" spans="1:5" x14ac:dyDescent="0.25">
      <c r="A1497" t="s">
        <v>53</v>
      </c>
      <c r="B1497" t="s">
        <v>353</v>
      </c>
      <c r="C1497">
        <v>0.1</v>
      </c>
      <c r="D1497">
        <f t="shared" si="46"/>
        <v>150</v>
      </c>
      <c r="E1497" t="str">
        <f t="shared" si="47"/>
        <v>150. Cabo Verde</v>
      </c>
    </row>
    <row r="1498" spans="1:5" x14ac:dyDescent="0.25">
      <c r="A1498" t="s">
        <v>61</v>
      </c>
      <c r="B1498" t="s">
        <v>353</v>
      </c>
      <c r="C1498">
        <v>0.1</v>
      </c>
      <c r="D1498">
        <f t="shared" si="46"/>
        <v>151</v>
      </c>
      <c r="E1498" t="str">
        <f t="shared" si="47"/>
        <v>151. Djibouti</v>
      </c>
    </row>
    <row r="1499" spans="1:5" x14ac:dyDescent="0.25">
      <c r="A1499" t="s">
        <v>189</v>
      </c>
      <c r="B1499" t="s">
        <v>353</v>
      </c>
      <c r="C1499">
        <v>0.1</v>
      </c>
      <c r="D1499">
        <f t="shared" si="46"/>
        <v>152</v>
      </c>
      <c r="E1499" t="str">
        <f t="shared" si="47"/>
        <v>152. Eswatini</v>
      </c>
    </row>
    <row r="1500" spans="1:5" x14ac:dyDescent="0.25">
      <c r="A1500" t="s">
        <v>161</v>
      </c>
      <c r="B1500" t="s">
        <v>353</v>
      </c>
      <c r="C1500">
        <v>0.1</v>
      </c>
      <c r="D1500">
        <f t="shared" si="46"/>
        <v>153</v>
      </c>
      <c r="E1500" t="str">
        <f t="shared" si="47"/>
        <v>153. Palau</v>
      </c>
    </row>
    <row r="1501" spans="1:5" x14ac:dyDescent="0.25">
      <c r="A1501" t="s">
        <v>183</v>
      </c>
      <c r="B1501" t="s">
        <v>353</v>
      </c>
      <c r="C1501">
        <v>0.1</v>
      </c>
      <c r="D1501">
        <f t="shared" si="46"/>
        <v>154</v>
      </c>
      <c r="E1501" t="str">
        <f t="shared" si="47"/>
        <v>154. South Sudan</v>
      </c>
    </row>
    <row r="1502" spans="1:5" x14ac:dyDescent="0.25">
      <c r="A1502" t="s">
        <v>211</v>
      </c>
      <c r="B1502" t="s">
        <v>353</v>
      </c>
      <c r="C1502">
        <v>0.1</v>
      </c>
      <c r="D1502">
        <f t="shared" si="46"/>
        <v>155</v>
      </c>
      <c r="E1502" t="str">
        <f t="shared" si="47"/>
        <v>155. St. Vincent and the Grenadines</v>
      </c>
    </row>
    <row r="1503" spans="1:5" x14ac:dyDescent="0.25">
      <c r="A1503" t="s">
        <v>195</v>
      </c>
      <c r="B1503" t="s">
        <v>353</v>
      </c>
      <c r="C1503">
        <v>0.1</v>
      </c>
      <c r="D1503">
        <f t="shared" si="46"/>
        <v>156</v>
      </c>
      <c r="E1503" t="str">
        <f t="shared" si="47"/>
        <v>156. Togo</v>
      </c>
    </row>
    <row r="1504" spans="1:5" x14ac:dyDescent="0.25">
      <c r="A1504" t="s">
        <v>39</v>
      </c>
      <c r="B1504" t="s">
        <v>353</v>
      </c>
      <c r="C1504">
        <v>0</v>
      </c>
      <c r="D1504">
        <f t="shared" si="46"/>
        <v>157</v>
      </c>
      <c r="E1504" t="str">
        <f t="shared" si="47"/>
        <v>157. Bhutan</v>
      </c>
    </row>
    <row r="1505" spans="1:5" x14ac:dyDescent="0.25">
      <c r="A1505" t="s">
        <v>38</v>
      </c>
      <c r="B1505" t="s">
        <v>353</v>
      </c>
      <c r="C1505">
        <v>0</v>
      </c>
      <c r="D1505">
        <f t="shared" si="46"/>
        <v>158</v>
      </c>
      <c r="E1505" t="str">
        <f t="shared" si="47"/>
        <v>158. Brunei Darussalam</v>
      </c>
    </row>
    <row r="1506" spans="1:5" x14ac:dyDescent="0.25">
      <c r="A1506" t="s">
        <v>23</v>
      </c>
      <c r="B1506" t="s">
        <v>353</v>
      </c>
      <c r="C1506">
        <v>0</v>
      </c>
      <c r="D1506">
        <f t="shared" si="46"/>
        <v>159</v>
      </c>
      <c r="E1506" t="str">
        <f t="shared" si="47"/>
        <v>159. Burundi</v>
      </c>
    </row>
    <row r="1507" spans="1:5" x14ac:dyDescent="0.25">
      <c r="A1507" t="s">
        <v>41</v>
      </c>
      <c r="B1507" t="s">
        <v>353</v>
      </c>
      <c r="C1507">
        <v>0</v>
      </c>
      <c r="D1507">
        <f t="shared" si="46"/>
        <v>160</v>
      </c>
      <c r="E1507" t="str">
        <f t="shared" si="47"/>
        <v>160. Central African Republic</v>
      </c>
    </row>
    <row r="1508" spans="1:5" x14ac:dyDescent="0.25">
      <c r="A1508" t="s">
        <v>52</v>
      </c>
      <c r="B1508" t="s">
        <v>353</v>
      </c>
      <c r="C1508">
        <v>0</v>
      </c>
      <c r="D1508">
        <f t="shared" si="46"/>
        <v>161</v>
      </c>
      <c r="E1508" t="str">
        <f t="shared" si="47"/>
        <v>161. Comoros</v>
      </c>
    </row>
    <row r="1509" spans="1:5" x14ac:dyDescent="0.25">
      <c r="A1509" t="s">
        <v>62</v>
      </c>
      <c r="B1509" t="s">
        <v>353</v>
      </c>
      <c r="C1509">
        <v>0</v>
      </c>
      <c r="D1509">
        <f t="shared" si="46"/>
        <v>162</v>
      </c>
      <c r="E1509" t="str">
        <f t="shared" si="47"/>
        <v>162. Dominica</v>
      </c>
    </row>
    <row r="1510" spans="1:5" x14ac:dyDescent="0.25">
      <c r="A1510" t="s">
        <v>224</v>
      </c>
      <c r="B1510" t="s">
        <v>353</v>
      </c>
      <c r="C1510">
        <v>0</v>
      </c>
      <c r="D1510">
        <f t="shared" si="46"/>
        <v>163</v>
      </c>
      <c r="E1510" t="str">
        <f t="shared" si="47"/>
        <v>163. Eritrea</v>
      </c>
    </row>
    <row r="1511" spans="1:5" x14ac:dyDescent="0.25">
      <c r="A1511" t="s">
        <v>168</v>
      </c>
      <c r="B1511" t="s">
        <v>353</v>
      </c>
      <c r="C1511">
        <v>0</v>
      </c>
      <c r="D1511">
        <f t="shared" si="46"/>
        <v>164</v>
      </c>
      <c r="E1511" t="str">
        <f t="shared" si="47"/>
        <v>164. French Polynesia</v>
      </c>
    </row>
    <row r="1512" spans="1:5" x14ac:dyDescent="0.25">
      <c r="A1512" t="s">
        <v>82</v>
      </c>
      <c r="B1512" t="s">
        <v>353</v>
      </c>
      <c r="C1512">
        <v>0</v>
      </c>
      <c r="D1512">
        <f t="shared" si="46"/>
        <v>165</v>
      </c>
      <c r="E1512" t="str">
        <f t="shared" si="47"/>
        <v>165. Guinea-Bissau</v>
      </c>
    </row>
    <row r="1513" spans="1:5" x14ac:dyDescent="0.25">
      <c r="A1513" t="s">
        <v>93</v>
      </c>
      <c r="B1513" t="s">
        <v>353</v>
      </c>
      <c r="C1513">
        <v>0</v>
      </c>
      <c r="D1513">
        <f t="shared" si="46"/>
        <v>166</v>
      </c>
      <c r="E1513" t="str">
        <f t="shared" si="47"/>
        <v>166. Haiti</v>
      </c>
    </row>
    <row r="1514" spans="1:5" x14ac:dyDescent="0.25">
      <c r="A1514" t="s">
        <v>111</v>
      </c>
      <c r="B1514" t="s">
        <v>353</v>
      </c>
      <c r="C1514">
        <v>0</v>
      </c>
      <c r="D1514">
        <f t="shared" si="46"/>
        <v>167</v>
      </c>
      <c r="E1514" t="str">
        <f t="shared" si="47"/>
        <v>167. Kiribati</v>
      </c>
    </row>
    <row r="1515" spans="1:5" x14ac:dyDescent="0.25">
      <c r="A1515" t="s">
        <v>122</v>
      </c>
      <c r="B1515" t="s">
        <v>353</v>
      </c>
      <c r="C1515">
        <v>0</v>
      </c>
      <c r="D1515">
        <f t="shared" si="46"/>
        <v>168</v>
      </c>
      <c r="E1515" t="str">
        <f t="shared" si="47"/>
        <v>168. Lesotho</v>
      </c>
    </row>
    <row r="1516" spans="1:5" x14ac:dyDescent="0.25">
      <c r="A1516" t="s">
        <v>133</v>
      </c>
      <c r="B1516" t="s">
        <v>353</v>
      </c>
      <c r="C1516">
        <v>0</v>
      </c>
      <c r="D1516">
        <f t="shared" si="46"/>
        <v>169</v>
      </c>
      <c r="E1516" t="str">
        <f t="shared" si="47"/>
        <v>169. Marshall Islands</v>
      </c>
    </row>
    <row r="1517" spans="1:5" x14ac:dyDescent="0.25">
      <c r="A1517" t="s">
        <v>154</v>
      </c>
      <c r="B1517" t="s">
        <v>353</v>
      </c>
      <c r="C1517">
        <v>0</v>
      </c>
      <c r="D1517">
        <f t="shared" si="46"/>
        <v>170</v>
      </c>
      <c r="E1517" t="str">
        <f t="shared" si="47"/>
        <v>170. Nauru</v>
      </c>
    </row>
    <row r="1518" spans="1:5" x14ac:dyDescent="0.25">
      <c r="A1518" t="s">
        <v>215</v>
      </c>
      <c r="B1518" t="s">
        <v>353</v>
      </c>
      <c r="C1518">
        <v>0</v>
      </c>
      <c r="D1518">
        <f t="shared" si="46"/>
        <v>171</v>
      </c>
      <c r="E1518" t="str">
        <f t="shared" si="47"/>
        <v>171. Samoa</v>
      </c>
    </row>
    <row r="1519" spans="1:5" x14ac:dyDescent="0.25">
      <c r="A1519" t="s">
        <v>184</v>
      </c>
      <c r="B1519" t="s">
        <v>353</v>
      </c>
      <c r="C1519">
        <v>0</v>
      </c>
      <c r="D1519">
        <f t="shared" si="46"/>
        <v>172</v>
      </c>
      <c r="E1519" t="str">
        <f t="shared" si="47"/>
        <v>172. Sao Tome and Principe</v>
      </c>
    </row>
    <row r="1520" spans="1:5" x14ac:dyDescent="0.25">
      <c r="A1520" t="s">
        <v>190</v>
      </c>
      <c r="B1520" t="s">
        <v>353</v>
      </c>
      <c r="C1520">
        <v>0</v>
      </c>
      <c r="D1520">
        <f t="shared" si="46"/>
        <v>173</v>
      </c>
      <c r="E1520" t="str">
        <f t="shared" si="47"/>
        <v>173. Sint Maarten (Dutch part)</v>
      </c>
    </row>
    <row r="1521" spans="1:5" x14ac:dyDescent="0.25">
      <c r="A1521" t="s">
        <v>177</v>
      </c>
      <c r="B1521" t="s">
        <v>353</v>
      </c>
      <c r="C1521">
        <v>0</v>
      </c>
      <c r="D1521">
        <f t="shared" si="46"/>
        <v>174</v>
      </c>
      <c r="E1521" t="str">
        <f t="shared" si="47"/>
        <v>174. Solomon Islands</v>
      </c>
    </row>
    <row r="1522" spans="1:5" x14ac:dyDescent="0.25">
      <c r="A1522" t="s">
        <v>112</v>
      </c>
      <c r="B1522" t="s">
        <v>353</v>
      </c>
      <c r="C1522">
        <v>0</v>
      </c>
      <c r="D1522">
        <f t="shared" si="46"/>
        <v>175</v>
      </c>
      <c r="E1522" t="str">
        <f t="shared" si="47"/>
        <v>175. St. Kitts and Nevis</v>
      </c>
    </row>
    <row r="1523" spans="1:5" x14ac:dyDescent="0.25">
      <c r="A1523" t="s">
        <v>185</v>
      </c>
      <c r="B1523" t="s">
        <v>353</v>
      </c>
      <c r="C1523">
        <v>0</v>
      </c>
      <c r="D1523">
        <f t="shared" si="46"/>
        <v>176</v>
      </c>
      <c r="E1523" t="str">
        <f t="shared" si="47"/>
        <v>176. Suriname</v>
      </c>
    </row>
    <row r="1524" spans="1:5" x14ac:dyDescent="0.25">
      <c r="A1524" t="s">
        <v>200</v>
      </c>
      <c r="B1524" t="s">
        <v>353</v>
      </c>
      <c r="C1524">
        <v>0</v>
      </c>
      <c r="D1524">
        <f t="shared" si="46"/>
        <v>177</v>
      </c>
      <c r="E1524" t="str">
        <f t="shared" si="47"/>
        <v>177. Tonga</v>
      </c>
    </row>
    <row r="1525" spans="1:5" x14ac:dyDescent="0.25">
      <c r="A1525" t="s">
        <v>193</v>
      </c>
      <c r="B1525" t="s">
        <v>353</v>
      </c>
      <c r="C1525">
        <v>0</v>
      </c>
      <c r="D1525">
        <f t="shared" si="46"/>
        <v>178</v>
      </c>
      <c r="E1525" t="str">
        <f t="shared" si="47"/>
        <v>178. Turks and Caicos Islands</v>
      </c>
    </row>
    <row r="1526" spans="1:5" x14ac:dyDescent="0.25">
      <c r="A1526" t="s">
        <v>204</v>
      </c>
      <c r="B1526" t="s">
        <v>353</v>
      </c>
      <c r="C1526">
        <v>0</v>
      </c>
      <c r="D1526">
        <f t="shared" si="46"/>
        <v>179</v>
      </c>
      <c r="E1526" t="str">
        <f t="shared" si="47"/>
        <v>179. Tuvalu</v>
      </c>
    </row>
    <row r="1527" spans="1:5" x14ac:dyDescent="0.25">
      <c r="A1527" t="s">
        <v>214</v>
      </c>
      <c r="B1527" t="s">
        <v>353</v>
      </c>
      <c r="C1527">
        <v>0</v>
      </c>
      <c r="D1527">
        <f t="shared" si="46"/>
        <v>180</v>
      </c>
      <c r="E1527" t="str">
        <f t="shared" si="47"/>
        <v>180. Vanuatu</v>
      </c>
    </row>
    <row r="1528" spans="1:5" x14ac:dyDescent="0.25">
      <c r="A1528" t="s">
        <v>162</v>
      </c>
      <c r="B1528" t="s">
        <v>353</v>
      </c>
      <c r="C1528">
        <v>-0.2</v>
      </c>
      <c r="D1528">
        <f t="shared" si="46"/>
        <v>181</v>
      </c>
      <c r="E1528" t="str">
        <f t="shared" si="47"/>
        <v>181. Papua New Guinea</v>
      </c>
    </row>
    <row r="1529" spans="1:5" x14ac:dyDescent="0.25">
      <c r="A1529" t="s">
        <v>107</v>
      </c>
      <c r="B1529" t="s">
        <v>353</v>
      </c>
      <c r="C1529">
        <v>-0.7</v>
      </c>
      <c r="D1529">
        <f t="shared" si="46"/>
        <v>182</v>
      </c>
      <c r="E1529" t="str">
        <f t="shared" si="47"/>
        <v>182. Kazakhstan</v>
      </c>
    </row>
    <row r="1530" spans="1:5" x14ac:dyDescent="0.25">
      <c r="A1530" t="s">
        <v>201</v>
      </c>
      <c r="B1530" t="s">
        <v>353</v>
      </c>
      <c r="C1530">
        <v>-1</v>
      </c>
      <c r="D1530">
        <f t="shared" si="46"/>
        <v>183</v>
      </c>
      <c r="E1530" t="str">
        <f t="shared" si="47"/>
        <v>183. Trinidad and Tobago</v>
      </c>
    </row>
    <row r="1531" spans="1:5" x14ac:dyDescent="0.25">
      <c r="A1531" t="s">
        <v>12</v>
      </c>
      <c r="B1531" t="s">
        <v>353</v>
      </c>
      <c r="C1531">
        <v>-1.1000000000000001</v>
      </c>
      <c r="D1531">
        <f t="shared" si="46"/>
        <v>184</v>
      </c>
      <c r="E1531" t="str">
        <f t="shared" si="47"/>
        <v>184. Angola</v>
      </c>
    </row>
    <row r="1532" spans="1:5" x14ac:dyDescent="0.25">
      <c r="A1532" t="s">
        <v>208</v>
      </c>
      <c r="B1532" t="s">
        <v>353</v>
      </c>
      <c r="C1532">
        <v>-2.5</v>
      </c>
      <c r="D1532">
        <f t="shared" si="46"/>
        <v>185</v>
      </c>
      <c r="E1532" t="str">
        <f t="shared" si="47"/>
        <v>185. Uruguay</v>
      </c>
    </row>
    <row r="1533" spans="1:5" x14ac:dyDescent="0.25">
      <c r="A1533" t="s">
        <v>69</v>
      </c>
      <c r="B1533" t="s">
        <v>353</v>
      </c>
      <c r="C1533">
        <v>-3.5</v>
      </c>
      <c r="D1533">
        <f t="shared" si="46"/>
        <v>186</v>
      </c>
      <c r="E1533" t="str">
        <f t="shared" si="47"/>
        <v>186. Estonia</v>
      </c>
    </row>
    <row r="1534" spans="1:5" x14ac:dyDescent="0.25">
      <c r="A1534" t="s">
        <v>100</v>
      </c>
      <c r="B1534" t="s">
        <v>353</v>
      </c>
      <c r="C1534">
        <v>-7.5</v>
      </c>
      <c r="D1534">
        <f t="shared" si="46"/>
        <v>187</v>
      </c>
      <c r="E1534" t="str">
        <f t="shared" si="47"/>
        <v>187. Iraq</v>
      </c>
    </row>
    <row r="1535" spans="1:5" x14ac:dyDescent="0.25">
      <c r="A1535" t="s">
        <v>171</v>
      </c>
      <c r="B1535" t="s">
        <v>353</v>
      </c>
      <c r="C1535">
        <v>-8.1</v>
      </c>
      <c r="D1535">
        <f t="shared" si="46"/>
        <v>188</v>
      </c>
      <c r="E1535" t="str">
        <f t="shared" si="47"/>
        <v>188. Russian Federation</v>
      </c>
    </row>
    <row r="1536" spans="1:5" x14ac:dyDescent="0.25">
      <c r="A1536" t="s">
        <v>151</v>
      </c>
      <c r="B1536" t="s">
        <v>353</v>
      </c>
      <c r="C1536">
        <v>-17.100000000000001</v>
      </c>
      <c r="D1536">
        <f t="shared" si="46"/>
        <v>189</v>
      </c>
      <c r="E1536" t="str">
        <f t="shared" si="47"/>
        <v>189. Netherlands</v>
      </c>
    </row>
    <row r="1537" spans="1:5" x14ac:dyDescent="0.25">
      <c r="A1537" t="s">
        <v>58</v>
      </c>
      <c r="B1537" t="s">
        <v>353</v>
      </c>
      <c r="C1537">
        <v>-18.600000000000001</v>
      </c>
      <c r="D1537">
        <f t="shared" si="46"/>
        <v>190</v>
      </c>
      <c r="E1537" t="str">
        <f t="shared" si="47"/>
        <v>190. Cyprus</v>
      </c>
    </row>
    <row r="1538" spans="1:5" x14ac:dyDescent="0.25">
      <c r="A1538" t="s">
        <v>94</v>
      </c>
      <c r="B1538" t="s">
        <v>353</v>
      </c>
      <c r="C1538">
        <v>-34.9</v>
      </c>
      <c r="D1538">
        <f t="shared" si="46"/>
        <v>191</v>
      </c>
      <c r="E1538" t="str">
        <f t="shared" si="47"/>
        <v>191. Hungary</v>
      </c>
    </row>
    <row r="1539" spans="1:5" x14ac:dyDescent="0.25">
      <c r="A1539" t="s">
        <v>24</v>
      </c>
      <c r="B1539" t="s">
        <v>353</v>
      </c>
      <c r="C1539">
        <v>-35.6</v>
      </c>
      <c r="D1539">
        <f t="shared" ref="D1539:D1602" si="48">IF(ROW() = 2, 1, IF(B1539 = B1538, D1538 + 1, 1))</f>
        <v>192</v>
      </c>
      <c r="E1539" t="str">
        <f t="shared" ref="E1539:E1602" si="49">_xlfn.CONCAT(D1539, ". ", A1539)</f>
        <v>192. Belgium</v>
      </c>
    </row>
    <row r="1540" spans="1:5" x14ac:dyDescent="0.25">
      <c r="A1540" t="s">
        <v>98</v>
      </c>
      <c r="B1540" t="s">
        <v>353</v>
      </c>
      <c r="C1540">
        <v>-38.9</v>
      </c>
      <c r="D1540">
        <f t="shared" si="48"/>
        <v>193</v>
      </c>
      <c r="E1540" t="str">
        <f t="shared" si="49"/>
        <v>193. Ireland</v>
      </c>
    </row>
    <row r="1541" spans="1:5" x14ac:dyDescent="0.25">
      <c r="A1541" t="s">
        <v>43</v>
      </c>
      <c r="B1541" t="s">
        <v>353</v>
      </c>
      <c r="C1541">
        <v>-112.1</v>
      </c>
      <c r="D1541">
        <f t="shared" si="48"/>
        <v>194</v>
      </c>
      <c r="E1541" t="str">
        <f t="shared" si="49"/>
        <v>194. Switzerland</v>
      </c>
    </row>
    <row r="1542" spans="1:5" x14ac:dyDescent="0.25">
      <c r="A1542" t="s">
        <v>185</v>
      </c>
      <c r="B1542" t="s">
        <v>394</v>
      </c>
      <c r="C1542">
        <v>94.4</v>
      </c>
      <c r="D1542">
        <f t="shared" si="48"/>
        <v>1</v>
      </c>
      <c r="E1542" t="str">
        <f t="shared" si="49"/>
        <v>1. Suriname</v>
      </c>
    </row>
    <row r="1543" spans="1:5" x14ac:dyDescent="0.25">
      <c r="A1543" t="s">
        <v>75</v>
      </c>
      <c r="B1543" t="s">
        <v>394</v>
      </c>
      <c r="C1543">
        <v>92.2</v>
      </c>
      <c r="D1543">
        <f t="shared" si="48"/>
        <v>2</v>
      </c>
      <c r="E1543" t="str">
        <f t="shared" si="49"/>
        <v>2. Micronesia, Fed. Sts.</v>
      </c>
    </row>
    <row r="1544" spans="1:5" x14ac:dyDescent="0.25">
      <c r="A1544" t="s">
        <v>76</v>
      </c>
      <c r="B1544" t="s">
        <v>394</v>
      </c>
      <c r="C1544">
        <v>91.2</v>
      </c>
      <c r="D1544">
        <f t="shared" si="48"/>
        <v>3</v>
      </c>
      <c r="E1544" t="str">
        <f t="shared" si="49"/>
        <v>3. Gabon</v>
      </c>
    </row>
    <row r="1545" spans="1:5" x14ac:dyDescent="0.25">
      <c r="A1545" t="s">
        <v>161</v>
      </c>
      <c r="B1545" t="s">
        <v>394</v>
      </c>
      <c r="C1545">
        <v>90.5</v>
      </c>
      <c r="D1545">
        <f t="shared" si="48"/>
        <v>4</v>
      </c>
      <c r="E1545" t="str">
        <f t="shared" si="49"/>
        <v>4. Palau</v>
      </c>
    </row>
    <row r="1546" spans="1:5" x14ac:dyDescent="0.25">
      <c r="A1546" t="s">
        <v>177</v>
      </c>
      <c r="B1546" t="s">
        <v>394</v>
      </c>
      <c r="C1546">
        <v>90.1</v>
      </c>
      <c r="D1546">
        <f t="shared" si="48"/>
        <v>5</v>
      </c>
      <c r="E1546" t="str">
        <f t="shared" si="49"/>
        <v>5. Solomon Islands</v>
      </c>
    </row>
    <row r="1547" spans="1:5" x14ac:dyDescent="0.25">
      <c r="A1547" t="s">
        <v>89</v>
      </c>
      <c r="B1547" t="s">
        <v>394</v>
      </c>
      <c r="C1547">
        <v>87.1</v>
      </c>
      <c r="D1547">
        <f t="shared" si="48"/>
        <v>6</v>
      </c>
      <c r="E1547" t="str">
        <f t="shared" si="49"/>
        <v>6. Guyana</v>
      </c>
    </row>
    <row r="1548" spans="1:5" x14ac:dyDescent="0.25">
      <c r="A1548" t="s">
        <v>83</v>
      </c>
      <c r="B1548" t="s">
        <v>394</v>
      </c>
      <c r="C1548">
        <v>86.4</v>
      </c>
      <c r="D1548">
        <f t="shared" si="48"/>
        <v>7</v>
      </c>
      <c r="E1548" t="str">
        <f t="shared" si="49"/>
        <v>7. Equatorial Guinea</v>
      </c>
    </row>
    <row r="1549" spans="1:5" x14ac:dyDescent="0.25">
      <c r="A1549" t="s">
        <v>18</v>
      </c>
      <c r="B1549" t="s">
        <v>394</v>
      </c>
      <c r="C1549">
        <v>85.2</v>
      </c>
      <c r="D1549">
        <f t="shared" si="48"/>
        <v>8</v>
      </c>
      <c r="E1549" t="str">
        <f t="shared" si="49"/>
        <v>8. American Samoa</v>
      </c>
    </row>
    <row r="1550" spans="1:5" x14ac:dyDescent="0.25">
      <c r="A1550" t="s">
        <v>162</v>
      </c>
      <c r="B1550" t="s">
        <v>394</v>
      </c>
      <c r="C1550">
        <v>79</v>
      </c>
      <c r="D1550">
        <f t="shared" si="48"/>
        <v>9</v>
      </c>
      <c r="E1550" t="str">
        <f t="shared" si="49"/>
        <v>9. Papua New Guinea</v>
      </c>
    </row>
    <row r="1551" spans="1:5" x14ac:dyDescent="0.25">
      <c r="A1551" t="s">
        <v>117</v>
      </c>
      <c r="B1551" t="s">
        <v>394</v>
      </c>
      <c r="C1551">
        <v>78.099999999999994</v>
      </c>
      <c r="D1551">
        <f t="shared" si="48"/>
        <v>10</v>
      </c>
      <c r="E1551" t="str">
        <f t="shared" si="49"/>
        <v>10. Liberia</v>
      </c>
    </row>
    <row r="1552" spans="1:5" x14ac:dyDescent="0.25">
      <c r="A1552" t="s">
        <v>71</v>
      </c>
      <c r="B1552" t="s">
        <v>394</v>
      </c>
      <c r="C1552">
        <v>73.7</v>
      </c>
      <c r="D1552">
        <f t="shared" si="48"/>
        <v>11</v>
      </c>
      <c r="E1552" t="str">
        <f t="shared" si="49"/>
        <v>11. Finland</v>
      </c>
    </row>
    <row r="1553" spans="1:5" x14ac:dyDescent="0.25">
      <c r="A1553" t="s">
        <v>191</v>
      </c>
      <c r="B1553" t="s">
        <v>394</v>
      </c>
      <c r="C1553">
        <v>73.3</v>
      </c>
      <c r="D1553">
        <f t="shared" si="48"/>
        <v>12</v>
      </c>
      <c r="E1553" t="str">
        <f t="shared" si="49"/>
        <v>12. Seychelles</v>
      </c>
    </row>
    <row r="1554" spans="1:5" x14ac:dyDescent="0.25">
      <c r="A1554" t="s">
        <v>211</v>
      </c>
      <c r="B1554" t="s">
        <v>394</v>
      </c>
      <c r="C1554">
        <v>73.2</v>
      </c>
      <c r="D1554">
        <f t="shared" si="48"/>
        <v>13</v>
      </c>
      <c r="E1554" t="str">
        <f t="shared" si="49"/>
        <v>13. St. Vincent and the Grenadines</v>
      </c>
    </row>
    <row r="1555" spans="1:5" x14ac:dyDescent="0.25">
      <c r="A1555" t="s">
        <v>38</v>
      </c>
      <c r="B1555" t="s">
        <v>394</v>
      </c>
      <c r="C1555">
        <v>72.099999999999994</v>
      </c>
      <c r="D1555">
        <f t="shared" si="48"/>
        <v>14</v>
      </c>
      <c r="E1555" t="str">
        <f t="shared" si="49"/>
        <v>14. Brunei Darussalam</v>
      </c>
    </row>
    <row r="1556" spans="1:5" x14ac:dyDescent="0.25">
      <c r="A1556" t="s">
        <v>39</v>
      </c>
      <c r="B1556" t="s">
        <v>394</v>
      </c>
      <c r="C1556">
        <v>71.599999999999994</v>
      </c>
      <c r="D1556">
        <f t="shared" si="48"/>
        <v>15</v>
      </c>
      <c r="E1556" t="str">
        <f t="shared" si="49"/>
        <v>15. Bhutan</v>
      </c>
    </row>
    <row r="1557" spans="1:5" x14ac:dyDescent="0.25">
      <c r="A1557" t="s">
        <v>115</v>
      </c>
      <c r="B1557" t="s">
        <v>394</v>
      </c>
      <c r="C1557">
        <v>71.5</v>
      </c>
      <c r="D1557">
        <f t="shared" si="48"/>
        <v>16</v>
      </c>
      <c r="E1557" t="str">
        <f t="shared" si="49"/>
        <v>16. Lao PDR</v>
      </c>
    </row>
    <row r="1558" spans="1:5" x14ac:dyDescent="0.25">
      <c r="A1558" t="s">
        <v>82</v>
      </c>
      <c r="B1558" t="s">
        <v>394</v>
      </c>
      <c r="C1558">
        <v>69.5</v>
      </c>
      <c r="D1558">
        <f t="shared" si="48"/>
        <v>17</v>
      </c>
      <c r="E1558" t="str">
        <f t="shared" si="49"/>
        <v>17. Guinea-Bissau</v>
      </c>
    </row>
    <row r="1559" spans="1:5" x14ac:dyDescent="0.25">
      <c r="A1559" t="s">
        <v>188</v>
      </c>
      <c r="B1559" t="s">
        <v>394</v>
      </c>
      <c r="C1559">
        <v>68.7</v>
      </c>
      <c r="D1559">
        <f t="shared" si="48"/>
        <v>18</v>
      </c>
      <c r="E1559" t="str">
        <f t="shared" si="49"/>
        <v>18. Sweden</v>
      </c>
    </row>
    <row r="1560" spans="1:5" x14ac:dyDescent="0.25">
      <c r="A1560" t="s">
        <v>106</v>
      </c>
      <c r="B1560" t="s">
        <v>394</v>
      </c>
      <c r="C1560">
        <v>68.400000000000006</v>
      </c>
      <c r="D1560">
        <f t="shared" si="48"/>
        <v>19</v>
      </c>
      <c r="E1560" t="str">
        <f t="shared" si="49"/>
        <v>19. Japan</v>
      </c>
    </row>
    <row r="1561" spans="1:5" x14ac:dyDescent="0.25">
      <c r="A1561" t="s">
        <v>50</v>
      </c>
      <c r="B1561" t="s">
        <v>394</v>
      </c>
      <c r="C1561">
        <v>64.099999999999994</v>
      </c>
      <c r="D1561">
        <f t="shared" si="48"/>
        <v>20</v>
      </c>
      <c r="E1561" t="str">
        <f t="shared" si="49"/>
        <v>20. Congo, Rep.</v>
      </c>
    </row>
    <row r="1562" spans="1:5" x14ac:dyDescent="0.25">
      <c r="A1562" t="s">
        <v>113</v>
      </c>
      <c r="B1562" t="s">
        <v>394</v>
      </c>
      <c r="C1562">
        <v>64.099999999999994</v>
      </c>
      <c r="D1562">
        <f t="shared" si="48"/>
        <v>21</v>
      </c>
      <c r="E1562" t="str">
        <f t="shared" si="49"/>
        <v>21. Korea, Rep.</v>
      </c>
    </row>
    <row r="1563" spans="1:5" x14ac:dyDescent="0.25">
      <c r="A1563" t="s">
        <v>62</v>
      </c>
      <c r="B1563" t="s">
        <v>394</v>
      </c>
      <c r="C1563">
        <v>63.8</v>
      </c>
      <c r="D1563">
        <f t="shared" si="48"/>
        <v>22</v>
      </c>
      <c r="E1563" t="str">
        <f t="shared" si="49"/>
        <v>22. Dominica</v>
      </c>
    </row>
    <row r="1564" spans="1:5" x14ac:dyDescent="0.25">
      <c r="A1564" t="s">
        <v>72</v>
      </c>
      <c r="B1564" t="s">
        <v>394</v>
      </c>
      <c r="C1564">
        <v>63.5</v>
      </c>
      <c r="D1564">
        <f t="shared" si="48"/>
        <v>23</v>
      </c>
      <c r="E1564" t="str">
        <f t="shared" si="49"/>
        <v>23. Fiji</v>
      </c>
    </row>
    <row r="1565" spans="1:5" x14ac:dyDescent="0.25">
      <c r="A1565" t="s">
        <v>199</v>
      </c>
      <c r="B1565" t="s">
        <v>394</v>
      </c>
      <c r="C1565">
        <v>61.7</v>
      </c>
      <c r="D1565">
        <f t="shared" si="48"/>
        <v>24</v>
      </c>
      <c r="E1565" t="str">
        <f t="shared" si="49"/>
        <v>24. Timor-Leste</v>
      </c>
    </row>
    <row r="1566" spans="1:5" x14ac:dyDescent="0.25">
      <c r="A1566" t="s">
        <v>138</v>
      </c>
      <c r="B1566" t="s">
        <v>394</v>
      </c>
      <c r="C1566">
        <v>61.5</v>
      </c>
      <c r="D1566">
        <f t="shared" si="48"/>
        <v>25</v>
      </c>
      <c r="E1566" t="str">
        <f t="shared" si="49"/>
        <v>25. Montenegro</v>
      </c>
    </row>
    <row r="1567" spans="1:5" x14ac:dyDescent="0.25">
      <c r="A1567" t="s">
        <v>187</v>
      </c>
      <c r="B1567" t="s">
        <v>394</v>
      </c>
      <c r="C1567">
        <v>61.2</v>
      </c>
      <c r="D1567">
        <f t="shared" si="48"/>
        <v>26</v>
      </c>
      <c r="E1567" t="str">
        <f t="shared" si="49"/>
        <v>26. Slovenia</v>
      </c>
    </row>
    <row r="1568" spans="1:5" x14ac:dyDescent="0.25">
      <c r="A1568" t="s">
        <v>54</v>
      </c>
      <c r="B1568" t="s">
        <v>394</v>
      </c>
      <c r="C1568">
        <v>60.4</v>
      </c>
      <c r="D1568">
        <f t="shared" si="48"/>
        <v>27</v>
      </c>
      <c r="E1568" t="str">
        <f t="shared" si="49"/>
        <v>27. Costa Rica</v>
      </c>
    </row>
    <row r="1569" spans="1:5" x14ac:dyDescent="0.25">
      <c r="A1569" t="s">
        <v>219</v>
      </c>
      <c r="B1569" t="s">
        <v>394</v>
      </c>
      <c r="C1569">
        <v>59.5</v>
      </c>
      <c r="D1569">
        <f t="shared" si="48"/>
        <v>28</v>
      </c>
      <c r="E1569" t="str">
        <f t="shared" si="49"/>
        <v>28. Zambia</v>
      </c>
    </row>
    <row r="1570" spans="1:5" x14ac:dyDescent="0.25">
      <c r="A1570" t="s">
        <v>36</v>
      </c>
      <c r="B1570" t="s">
        <v>394</v>
      </c>
      <c r="C1570">
        <v>59</v>
      </c>
      <c r="D1570">
        <f t="shared" si="48"/>
        <v>29</v>
      </c>
      <c r="E1570" t="str">
        <f t="shared" si="49"/>
        <v>29. Brazil</v>
      </c>
    </row>
    <row r="1571" spans="1:5" x14ac:dyDescent="0.25">
      <c r="A1571" t="s">
        <v>212</v>
      </c>
      <c r="B1571" t="s">
        <v>394</v>
      </c>
      <c r="C1571">
        <v>58.2</v>
      </c>
      <c r="D1571">
        <f t="shared" si="48"/>
        <v>30</v>
      </c>
      <c r="E1571" t="str">
        <f t="shared" si="49"/>
        <v>30. Virgin Islands (U.S.)</v>
      </c>
    </row>
    <row r="1572" spans="1:5" x14ac:dyDescent="0.25">
      <c r="A1572" t="s">
        <v>145</v>
      </c>
      <c r="B1572" t="s">
        <v>394</v>
      </c>
      <c r="C1572">
        <v>57.7</v>
      </c>
      <c r="D1572">
        <f t="shared" si="48"/>
        <v>31</v>
      </c>
      <c r="E1572" t="str">
        <f t="shared" si="49"/>
        <v>31. Malaysia</v>
      </c>
    </row>
    <row r="1573" spans="1:5" x14ac:dyDescent="0.25">
      <c r="A1573" t="s">
        <v>215</v>
      </c>
      <c r="B1573" t="s">
        <v>394</v>
      </c>
      <c r="C1573">
        <v>57.6</v>
      </c>
      <c r="D1573">
        <f t="shared" si="48"/>
        <v>32</v>
      </c>
      <c r="E1573" t="str">
        <f t="shared" si="49"/>
        <v>32. Samoa</v>
      </c>
    </row>
    <row r="1574" spans="1:5" x14ac:dyDescent="0.25">
      <c r="A1574" t="s">
        <v>69</v>
      </c>
      <c r="B1574" t="s">
        <v>394</v>
      </c>
      <c r="C1574">
        <v>57.1</v>
      </c>
      <c r="D1574">
        <f t="shared" si="48"/>
        <v>33</v>
      </c>
      <c r="E1574" t="str">
        <f t="shared" si="49"/>
        <v>33. Estonia</v>
      </c>
    </row>
    <row r="1575" spans="1:5" x14ac:dyDescent="0.25">
      <c r="A1575" t="s">
        <v>91</v>
      </c>
      <c r="B1575" t="s">
        <v>394</v>
      </c>
      <c r="C1575">
        <v>56.3</v>
      </c>
      <c r="D1575">
        <f t="shared" si="48"/>
        <v>34</v>
      </c>
      <c r="E1575" t="str">
        <f t="shared" si="49"/>
        <v>34. Honduras</v>
      </c>
    </row>
    <row r="1576" spans="1:5" x14ac:dyDescent="0.25">
      <c r="A1576" t="s">
        <v>158</v>
      </c>
      <c r="B1576" t="s">
        <v>394</v>
      </c>
      <c r="C1576">
        <v>56.3</v>
      </c>
      <c r="D1576">
        <f t="shared" si="48"/>
        <v>35</v>
      </c>
      <c r="E1576" t="str">
        <f t="shared" si="49"/>
        <v>35. Panama</v>
      </c>
    </row>
    <row r="1577" spans="1:5" x14ac:dyDescent="0.25">
      <c r="A1577" t="s">
        <v>104</v>
      </c>
      <c r="B1577" t="s">
        <v>394</v>
      </c>
      <c r="C1577">
        <v>56.2</v>
      </c>
      <c r="D1577">
        <f t="shared" si="48"/>
        <v>36</v>
      </c>
      <c r="E1577" t="str">
        <f t="shared" si="49"/>
        <v>36. Jamaica</v>
      </c>
    </row>
    <row r="1578" spans="1:5" x14ac:dyDescent="0.25">
      <c r="A1578" t="s">
        <v>159</v>
      </c>
      <c r="B1578" t="s">
        <v>394</v>
      </c>
      <c r="C1578">
        <v>56.1</v>
      </c>
      <c r="D1578">
        <f t="shared" si="48"/>
        <v>37</v>
      </c>
      <c r="E1578" t="str">
        <f t="shared" si="49"/>
        <v>37. Peru</v>
      </c>
    </row>
    <row r="1579" spans="1:5" x14ac:dyDescent="0.25">
      <c r="A1579" t="s">
        <v>164</v>
      </c>
      <c r="B1579" t="s">
        <v>394</v>
      </c>
      <c r="C1579">
        <v>56.1</v>
      </c>
      <c r="D1579">
        <f t="shared" si="48"/>
        <v>38</v>
      </c>
      <c r="E1579" t="str">
        <f t="shared" si="49"/>
        <v>38. Puerto Rico (US)</v>
      </c>
    </row>
    <row r="1580" spans="1:5" x14ac:dyDescent="0.25">
      <c r="A1580" t="s">
        <v>125</v>
      </c>
      <c r="B1580" t="s">
        <v>394</v>
      </c>
      <c r="C1580">
        <v>55</v>
      </c>
      <c r="D1580">
        <f t="shared" si="48"/>
        <v>39</v>
      </c>
      <c r="E1580" t="str">
        <f t="shared" si="49"/>
        <v>39. Latvia</v>
      </c>
    </row>
    <row r="1581" spans="1:5" x14ac:dyDescent="0.25">
      <c r="A1581" t="s">
        <v>33</v>
      </c>
      <c r="B1581" t="s">
        <v>394</v>
      </c>
      <c r="C1581">
        <v>54.5</v>
      </c>
      <c r="D1581">
        <f t="shared" si="48"/>
        <v>40</v>
      </c>
      <c r="E1581" t="str">
        <f t="shared" si="49"/>
        <v>40. Belize</v>
      </c>
    </row>
    <row r="1582" spans="1:5" x14ac:dyDescent="0.25">
      <c r="A1582" t="s">
        <v>49</v>
      </c>
      <c r="B1582" t="s">
        <v>394</v>
      </c>
      <c r="C1582">
        <v>54.2</v>
      </c>
      <c r="D1582">
        <f t="shared" si="48"/>
        <v>41</v>
      </c>
      <c r="E1582" t="str">
        <f t="shared" si="49"/>
        <v>41. Congo, Dem. Rep.</v>
      </c>
    </row>
    <row r="1583" spans="1:5" x14ac:dyDescent="0.25">
      <c r="A1583" t="s">
        <v>140</v>
      </c>
      <c r="B1583" t="s">
        <v>394</v>
      </c>
      <c r="C1583">
        <v>53</v>
      </c>
      <c r="D1583">
        <f t="shared" si="48"/>
        <v>42</v>
      </c>
      <c r="E1583" t="str">
        <f t="shared" si="49"/>
        <v>42. Northern Mariana Islands</v>
      </c>
    </row>
    <row r="1584" spans="1:5" x14ac:dyDescent="0.25">
      <c r="A1584" t="s">
        <v>51</v>
      </c>
      <c r="B1584" t="s">
        <v>394</v>
      </c>
      <c r="C1584">
        <v>52.8</v>
      </c>
      <c r="D1584">
        <f t="shared" si="48"/>
        <v>43</v>
      </c>
      <c r="E1584" t="str">
        <f t="shared" si="49"/>
        <v>43. Colombia</v>
      </c>
    </row>
    <row r="1585" spans="1:5" x14ac:dyDescent="0.25">
      <c r="A1585" t="s">
        <v>57</v>
      </c>
      <c r="B1585" t="s">
        <v>394</v>
      </c>
      <c r="C1585">
        <v>52.5</v>
      </c>
      <c r="D1585">
        <f t="shared" si="48"/>
        <v>44</v>
      </c>
      <c r="E1585" t="str">
        <f t="shared" si="49"/>
        <v>44. Cayman Islands</v>
      </c>
    </row>
    <row r="1586" spans="1:5" x14ac:dyDescent="0.25">
      <c r="A1586" t="s">
        <v>133</v>
      </c>
      <c r="B1586" t="s">
        <v>394</v>
      </c>
      <c r="C1586">
        <v>52.2</v>
      </c>
      <c r="D1586">
        <f t="shared" si="48"/>
        <v>45</v>
      </c>
      <c r="E1586" t="str">
        <f t="shared" si="49"/>
        <v>45. Marshall Islands</v>
      </c>
    </row>
    <row r="1587" spans="1:5" x14ac:dyDescent="0.25">
      <c r="A1587" t="s">
        <v>223</v>
      </c>
      <c r="B1587" t="s">
        <v>394</v>
      </c>
      <c r="C1587">
        <v>52.2</v>
      </c>
      <c r="D1587">
        <f t="shared" si="48"/>
        <v>46</v>
      </c>
      <c r="E1587" t="str">
        <f t="shared" si="49"/>
        <v>46. Venezuela, RB</v>
      </c>
    </row>
    <row r="1588" spans="1:5" x14ac:dyDescent="0.25">
      <c r="A1588" t="s">
        <v>12</v>
      </c>
      <c r="B1588" t="s">
        <v>394</v>
      </c>
      <c r="C1588">
        <v>52.1</v>
      </c>
      <c r="D1588">
        <f t="shared" si="48"/>
        <v>47</v>
      </c>
      <c r="E1588" t="str">
        <f t="shared" si="49"/>
        <v>47. Angola</v>
      </c>
    </row>
    <row r="1589" spans="1:5" x14ac:dyDescent="0.25">
      <c r="A1589" t="s">
        <v>85</v>
      </c>
      <c r="B1589" t="s">
        <v>394</v>
      </c>
      <c r="C1589">
        <v>52.1</v>
      </c>
      <c r="D1589">
        <f t="shared" si="48"/>
        <v>48</v>
      </c>
      <c r="E1589" t="str">
        <f t="shared" si="49"/>
        <v>48. Grenada</v>
      </c>
    </row>
    <row r="1590" spans="1:5" x14ac:dyDescent="0.25">
      <c r="A1590" t="s">
        <v>184</v>
      </c>
      <c r="B1590" t="s">
        <v>394</v>
      </c>
      <c r="C1590">
        <v>52.1</v>
      </c>
      <c r="D1590">
        <f t="shared" si="48"/>
        <v>49</v>
      </c>
      <c r="E1590" t="str">
        <f t="shared" si="49"/>
        <v>49. Sao Tome and Principe</v>
      </c>
    </row>
    <row r="1591" spans="1:5" x14ac:dyDescent="0.25">
      <c r="A1591" t="s">
        <v>88</v>
      </c>
      <c r="B1591" t="s">
        <v>394</v>
      </c>
      <c r="C1591">
        <v>51.9</v>
      </c>
      <c r="D1591">
        <f t="shared" si="48"/>
        <v>50</v>
      </c>
      <c r="E1591" t="str">
        <f t="shared" si="49"/>
        <v>50. Guam</v>
      </c>
    </row>
    <row r="1592" spans="1:5" x14ac:dyDescent="0.25">
      <c r="A1592" t="s">
        <v>30</v>
      </c>
      <c r="B1592" t="s">
        <v>394</v>
      </c>
      <c r="C1592">
        <v>50.9</v>
      </c>
      <c r="D1592">
        <f t="shared" si="48"/>
        <v>51</v>
      </c>
      <c r="E1592" t="str">
        <f t="shared" si="49"/>
        <v>51. Bahamas, The</v>
      </c>
    </row>
    <row r="1593" spans="1:5" x14ac:dyDescent="0.25">
      <c r="A1593" t="s">
        <v>205</v>
      </c>
      <c r="B1593" t="s">
        <v>394</v>
      </c>
      <c r="C1593">
        <v>50.1</v>
      </c>
      <c r="D1593">
        <f t="shared" si="48"/>
        <v>52</v>
      </c>
      <c r="E1593" t="str">
        <f t="shared" si="49"/>
        <v>52. Tanzania</v>
      </c>
    </row>
    <row r="1594" spans="1:5" x14ac:dyDescent="0.25">
      <c r="A1594" t="s">
        <v>171</v>
      </c>
      <c r="B1594" t="s">
        <v>394</v>
      </c>
      <c r="C1594">
        <v>49.8</v>
      </c>
      <c r="D1594">
        <f t="shared" si="48"/>
        <v>53</v>
      </c>
      <c r="E1594" t="str">
        <f t="shared" si="49"/>
        <v>53. Russian Federation</v>
      </c>
    </row>
    <row r="1595" spans="1:5" x14ac:dyDescent="0.25">
      <c r="A1595" t="s">
        <v>385</v>
      </c>
      <c r="B1595" t="s">
        <v>394</v>
      </c>
      <c r="C1595">
        <v>49.6</v>
      </c>
      <c r="D1595">
        <f t="shared" si="48"/>
        <v>54</v>
      </c>
      <c r="E1595" t="str">
        <f t="shared" si="49"/>
        <v>54. Korea, Dem. People's Rep.</v>
      </c>
    </row>
    <row r="1596" spans="1:5" x14ac:dyDescent="0.25">
      <c r="A1596" t="s">
        <v>66</v>
      </c>
      <c r="B1596" t="s">
        <v>394</v>
      </c>
      <c r="C1596">
        <v>49.5</v>
      </c>
      <c r="D1596">
        <f t="shared" si="48"/>
        <v>55</v>
      </c>
      <c r="E1596" t="str">
        <f t="shared" si="49"/>
        <v>55. Ecuador</v>
      </c>
    </row>
    <row r="1597" spans="1:5" x14ac:dyDescent="0.25">
      <c r="A1597" t="s">
        <v>95</v>
      </c>
      <c r="B1597" t="s">
        <v>394</v>
      </c>
      <c r="C1597">
        <v>47.7</v>
      </c>
      <c r="D1597">
        <f t="shared" si="48"/>
        <v>56</v>
      </c>
      <c r="E1597" t="str">
        <f t="shared" si="49"/>
        <v>56. Indonesia</v>
      </c>
    </row>
    <row r="1598" spans="1:5" x14ac:dyDescent="0.25">
      <c r="A1598" t="s">
        <v>213</v>
      </c>
      <c r="B1598" t="s">
        <v>394</v>
      </c>
      <c r="C1598">
        <v>47.4</v>
      </c>
      <c r="D1598">
        <f t="shared" si="48"/>
        <v>57</v>
      </c>
      <c r="E1598" t="str">
        <f t="shared" si="49"/>
        <v>57. Viet Nam</v>
      </c>
    </row>
    <row r="1599" spans="1:5" x14ac:dyDescent="0.25">
      <c r="A1599" t="s">
        <v>21</v>
      </c>
      <c r="B1599" t="s">
        <v>394</v>
      </c>
      <c r="C1599">
        <v>47.2</v>
      </c>
      <c r="D1599">
        <f t="shared" si="48"/>
        <v>58</v>
      </c>
      <c r="E1599" t="str">
        <f t="shared" si="49"/>
        <v>58. Austria</v>
      </c>
    </row>
    <row r="1600" spans="1:5" x14ac:dyDescent="0.25">
      <c r="A1600" t="s">
        <v>35</v>
      </c>
      <c r="B1600" t="s">
        <v>394</v>
      </c>
      <c r="C1600">
        <v>46.3</v>
      </c>
      <c r="D1600">
        <f t="shared" si="48"/>
        <v>59</v>
      </c>
      <c r="E1600" t="str">
        <f t="shared" si="49"/>
        <v>59. Bolivia</v>
      </c>
    </row>
    <row r="1601" spans="1:5" x14ac:dyDescent="0.25">
      <c r="A1601" t="s">
        <v>141</v>
      </c>
      <c r="B1601" t="s">
        <v>394</v>
      </c>
      <c r="C1601">
        <v>45.8</v>
      </c>
      <c r="D1601">
        <f t="shared" si="48"/>
        <v>60</v>
      </c>
      <c r="E1601" t="str">
        <f t="shared" si="49"/>
        <v>60. Mozambique</v>
      </c>
    </row>
    <row r="1602" spans="1:5" x14ac:dyDescent="0.25">
      <c r="A1602" t="s">
        <v>147</v>
      </c>
      <c r="B1602" t="s">
        <v>394</v>
      </c>
      <c r="C1602">
        <v>45.8</v>
      </c>
      <c r="D1602">
        <f t="shared" si="48"/>
        <v>61</v>
      </c>
      <c r="E1602" t="str">
        <f t="shared" si="49"/>
        <v>61. New Caledonia</v>
      </c>
    </row>
    <row r="1603" spans="1:5" x14ac:dyDescent="0.25">
      <c r="A1603" t="s">
        <v>64</v>
      </c>
      <c r="B1603" t="s">
        <v>394</v>
      </c>
      <c r="C1603">
        <v>45</v>
      </c>
      <c r="D1603">
        <f t="shared" ref="D1603:D1666" si="50">IF(ROW() = 2, 1, IF(B1603 = B1602, D1602 + 1, 1))</f>
        <v>62</v>
      </c>
      <c r="E1603" t="str">
        <f t="shared" ref="E1603:E1666" si="51">_xlfn.CONCAT(D1603, ". ", A1603)</f>
        <v>62. Dominican Republic</v>
      </c>
    </row>
    <row r="1604" spans="1:5" x14ac:dyDescent="0.25">
      <c r="A1604" t="s">
        <v>220</v>
      </c>
      <c r="B1604" t="s">
        <v>394</v>
      </c>
      <c r="C1604">
        <v>44.7</v>
      </c>
      <c r="D1604">
        <f t="shared" si="50"/>
        <v>63</v>
      </c>
      <c r="E1604" t="str">
        <f t="shared" si="51"/>
        <v>63. Zimbabwe</v>
      </c>
    </row>
    <row r="1605" spans="1:5" x14ac:dyDescent="0.25">
      <c r="A1605" t="s">
        <v>201</v>
      </c>
      <c r="B1605" t="s">
        <v>394</v>
      </c>
      <c r="C1605">
        <v>44.2</v>
      </c>
      <c r="D1605">
        <f t="shared" si="50"/>
        <v>64</v>
      </c>
      <c r="E1605" t="str">
        <f t="shared" si="51"/>
        <v>64. Trinidad and Tobago</v>
      </c>
    </row>
    <row r="1606" spans="1:5" x14ac:dyDescent="0.25">
      <c r="A1606" t="s">
        <v>32</v>
      </c>
      <c r="B1606" t="s">
        <v>394</v>
      </c>
      <c r="C1606">
        <v>43.4</v>
      </c>
      <c r="D1606">
        <f t="shared" si="50"/>
        <v>65</v>
      </c>
      <c r="E1606" t="str">
        <f t="shared" si="51"/>
        <v>65. Belarus</v>
      </c>
    </row>
    <row r="1607" spans="1:5" x14ac:dyDescent="0.25">
      <c r="A1607" t="s">
        <v>110</v>
      </c>
      <c r="B1607" t="s">
        <v>394</v>
      </c>
      <c r="C1607">
        <v>43.1</v>
      </c>
      <c r="D1607">
        <f t="shared" si="50"/>
        <v>66</v>
      </c>
      <c r="E1607" t="str">
        <f t="shared" si="51"/>
        <v>66. Cambodia</v>
      </c>
    </row>
    <row r="1608" spans="1:5" x14ac:dyDescent="0.25">
      <c r="A1608" t="s">
        <v>168</v>
      </c>
      <c r="B1608" t="s">
        <v>394</v>
      </c>
      <c r="C1608">
        <v>43.1</v>
      </c>
      <c r="D1608">
        <f t="shared" si="50"/>
        <v>67</v>
      </c>
      <c r="E1608" t="str">
        <f t="shared" si="51"/>
        <v>67. French Polynesia</v>
      </c>
    </row>
    <row r="1609" spans="1:5" x14ac:dyDescent="0.25">
      <c r="A1609" t="s">
        <v>31</v>
      </c>
      <c r="B1609" t="s">
        <v>394</v>
      </c>
      <c r="C1609">
        <v>42.7</v>
      </c>
      <c r="D1609">
        <f t="shared" si="50"/>
        <v>68</v>
      </c>
      <c r="E1609" t="str">
        <f t="shared" si="51"/>
        <v>68. Bosnia and Herzegovina</v>
      </c>
    </row>
    <row r="1610" spans="1:5" x14ac:dyDescent="0.25">
      <c r="A1610" t="s">
        <v>48</v>
      </c>
      <c r="B1610" t="s">
        <v>394</v>
      </c>
      <c r="C1610">
        <v>42.7</v>
      </c>
      <c r="D1610">
        <f t="shared" si="50"/>
        <v>69</v>
      </c>
      <c r="E1610" t="str">
        <f t="shared" si="51"/>
        <v>69. Cameroon</v>
      </c>
    </row>
    <row r="1611" spans="1:5" x14ac:dyDescent="0.25">
      <c r="A1611" t="s">
        <v>137</v>
      </c>
      <c r="B1611" t="s">
        <v>394</v>
      </c>
      <c r="C1611">
        <v>42.4</v>
      </c>
      <c r="D1611">
        <f t="shared" si="50"/>
        <v>70</v>
      </c>
      <c r="E1611" t="str">
        <f t="shared" si="51"/>
        <v>70. Myanmar</v>
      </c>
    </row>
    <row r="1612" spans="1:5" x14ac:dyDescent="0.25">
      <c r="A1612" t="s">
        <v>112</v>
      </c>
      <c r="B1612" t="s">
        <v>394</v>
      </c>
      <c r="C1612">
        <v>42.3</v>
      </c>
      <c r="D1612">
        <f t="shared" si="50"/>
        <v>71</v>
      </c>
      <c r="E1612" t="str">
        <f t="shared" si="51"/>
        <v>71. St. Kitts and Nevis</v>
      </c>
    </row>
    <row r="1613" spans="1:5" x14ac:dyDescent="0.25">
      <c r="A1613" t="s">
        <v>120</v>
      </c>
      <c r="B1613" t="s">
        <v>394</v>
      </c>
      <c r="C1613">
        <v>41.9</v>
      </c>
      <c r="D1613">
        <f t="shared" si="50"/>
        <v>72</v>
      </c>
      <c r="E1613" t="str">
        <f t="shared" si="51"/>
        <v>72. Liechtenstein</v>
      </c>
    </row>
    <row r="1614" spans="1:5" x14ac:dyDescent="0.25">
      <c r="A1614" t="s">
        <v>153</v>
      </c>
      <c r="B1614" t="s">
        <v>394</v>
      </c>
      <c r="C1614">
        <v>41.6</v>
      </c>
      <c r="D1614">
        <f t="shared" si="50"/>
        <v>73</v>
      </c>
      <c r="E1614" t="str">
        <f t="shared" si="51"/>
        <v>73. Nepal</v>
      </c>
    </row>
    <row r="1615" spans="1:5" x14ac:dyDescent="0.25">
      <c r="A1615" t="s">
        <v>175</v>
      </c>
      <c r="B1615" t="s">
        <v>394</v>
      </c>
      <c r="C1615">
        <v>41.3</v>
      </c>
      <c r="D1615">
        <f t="shared" si="50"/>
        <v>74</v>
      </c>
      <c r="E1615" t="str">
        <f t="shared" si="51"/>
        <v>74. Senegal</v>
      </c>
    </row>
    <row r="1616" spans="1:5" x14ac:dyDescent="0.25">
      <c r="A1616" t="s">
        <v>78</v>
      </c>
      <c r="B1616" t="s">
        <v>394</v>
      </c>
      <c r="C1616">
        <v>40.6</v>
      </c>
      <c r="D1616">
        <f t="shared" si="50"/>
        <v>75</v>
      </c>
      <c r="E1616" t="str">
        <f t="shared" si="51"/>
        <v>75. Georgia</v>
      </c>
    </row>
    <row r="1617" spans="1:5" x14ac:dyDescent="0.25">
      <c r="A1617" t="s">
        <v>186</v>
      </c>
      <c r="B1617" t="s">
        <v>394</v>
      </c>
      <c r="C1617">
        <v>40.1</v>
      </c>
      <c r="D1617">
        <f t="shared" si="50"/>
        <v>76</v>
      </c>
      <c r="E1617" t="str">
        <f t="shared" si="51"/>
        <v>76. Slovak Republic</v>
      </c>
    </row>
    <row r="1618" spans="1:5" x14ac:dyDescent="0.25">
      <c r="A1618" t="s">
        <v>134</v>
      </c>
      <c r="B1618" t="s">
        <v>394</v>
      </c>
      <c r="C1618">
        <v>39.700000000000003</v>
      </c>
      <c r="D1618">
        <f t="shared" si="50"/>
        <v>77</v>
      </c>
      <c r="E1618" t="str">
        <f t="shared" si="51"/>
        <v>77. North Macedonia</v>
      </c>
    </row>
    <row r="1619" spans="1:5" x14ac:dyDescent="0.25">
      <c r="A1619" t="s">
        <v>42</v>
      </c>
      <c r="B1619" t="s">
        <v>394</v>
      </c>
      <c r="C1619">
        <v>39.5</v>
      </c>
      <c r="D1619">
        <f t="shared" si="50"/>
        <v>78</v>
      </c>
      <c r="E1619" t="str">
        <f t="shared" si="51"/>
        <v>78. Canada</v>
      </c>
    </row>
    <row r="1620" spans="1:5" x14ac:dyDescent="0.25">
      <c r="A1620" t="s">
        <v>196</v>
      </c>
      <c r="B1620" t="s">
        <v>394</v>
      </c>
      <c r="C1620">
        <v>38.700000000000003</v>
      </c>
      <c r="D1620">
        <f t="shared" si="50"/>
        <v>79</v>
      </c>
      <c r="E1620" t="str">
        <f t="shared" si="51"/>
        <v>79. Thailand</v>
      </c>
    </row>
    <row r="1621" spans="1:5" x14ac:dyDescent="0.25">
      <c r="A1621" t="s">
        <v>166</v>
      </c>
      <c r="B1621" t="s">
        <v>394</v>
      </c>
      <c r="C1621">
        <v>38.5</v>
      </c>
      <c r="D1621">
        <f t="shared" si="50"/>
        <v>80</v>
      </c>
      <c r="E1621" t="str">
        <f t="shared" si="51"/>
        <v>80. Paraguay</v>
      </c>
    </row>
    <row r="1622" spans="1:5" x14ac:dyDescent="0.25">
      <c r="A1622" t="s">
        <v>155</v>
      </c>
      <c r="B1622" t="s">
        <v>394</v>
      </c>
      <c r="C1622">
        <v>37.799999999999997</v>
      </c>
      <c r="D1622">
        <f t="shared" si="50"/>
        <v>81</v>
      </c>
      <c r="E1622" t="str">
        <f t="shared" si="51"/>
        <v>81. New Zealand</v>
      </c>
    </row>
    <row r="1623" spans="1:5" x14ac:dyDescent="0.25">
      <c r="A1623" t="s">
        <v>68</v>
      </c>
      <c r="B1623" t="s">
        <v>394</v>
      </c>
      <c r="C1623">
        <v>37.200000000000003</v>
      </c>
      <c r="D1623">
        <f t="shared" si="50"/>
        <v>82</v>
      </c>
      <c r="E1623" t="str">
        <f t="shared" si="51"/>
        <v>82. Spain</v>
      </c>
    </row>
    <row r="1624" spans="1:5" x14ac:dyDescent="0.25">
      <c r="A1624" t="s">
        <v>214</v>
      </c>
      <c r="B1624" t="s">
        <v>394</v>
      </c>
      <c r="C1624">
        <v>36.299999999999997</v>
      </c>
      <c r="D1624">
        <f t="shared" si="50"/>
        <v>83</v>
      </c>
      <c r="E1624" t="str">
        <f t="shared" si="51"/>
        <v>83. Vanuatu</v>
      </c>
    </row>
    <row r="1625" spans="1:5" x14ac:dyDescent="0.25">
      <c r="A1625" t="s">
        <v>28</v>
      </c>
      <c r="B1625" t="s">
        <v>394</v>
      </c>
      <c r="C1625">
        <v>36.200000000000003</v>
      </c>
      <c r="D1625">
        <f t="shared" si="50"/>
        <v>84</v>
      </c>
      <c r="E1625" t="str">
        <f t="shared" si="51"/>
        <v>84. Bulgaria</v>
      </c>
    </row>
    <row r="1626" spans="1:5" x14ac:dyDescent="0.25">
      <c r="A1626" t="s">
        <v>165</v>
      </c>
      <c r="B1626" t="s">
        <v>394</v>
      </c>
      <c r="C1626">
        <v>36.200000000000003</v>
      </c>
      <c r="D1626">
        <f t="shared" si="50"/>
        <v>85</v>
      </c>
      <c r="E1626" t="str">
        <f t="shared" si="51"/>
        <v>85. Portugal</v>
      </c>
    </row>
    <row r="1627" spans="1:5" x14ac:dyDescent="0.25">
      <c r="A1627" t="s">
        <v>41</v>
      </c>
      <c r="B1627" t="s">
        <v>394</v>
      </c>
      <c r="C1627">
        <v>35.700000000000003</v>
      </c>
      <c r="D1627">
        <f t="shared" si="50"/>
        <v>86</v>
      </c>
      <c r="E1627" t="str">
        <f t="shared" si="51"/>
        <v>86. Central African Republic</v>
      </c>
    </row>
    <row r="1628" spans="1:5" x14ac:dyDescent="0.25">
      <c r="A1628" t="s">
        <v>79</v>
      </c>
      <c r="B1628" t="s">
        <v>394</v>
      </c>
      <c r="C1628">
        <v>35.200000000000003</v>
      </c>
      <c r="D1628">
        <f t="shared" si="50"/>
        <v>87</v>
      </c>
      <c r="E1628" t="str">
        <f t="shared" si="51"/>
        <v>87. Ghana</v>
      </c>
    </row>
    <row r="1629" spans="1:5" x14ac:dyDescent="0.25">
      <c r="A1629" t="s">
        <v>123</v>
      </c>
      <c r="B1629" t="s">
        <v>394</v>
      </c>
      <c r="C1629">
        <v>35.200000000000003</v>
      </c>
      <c r="D1629">
        <f t="shared" si="50"/>
        <v>88</v>
      </c>
      <c r="E1629" t="str">
        <f t="shared" si="51"/>
        <v>88. Lithuania</v>
      </c>
    </row>
    <row r="1630" spans="1:5" x14ac:dyDescent="0.25">
      <c r="A1630" t="s">
        <v>92</v>
      </c>
      <c r="B1630" t="s">
        <v>394</v>
      </c>
      <c r="C1630">
        <v>34.799999999999997</v>
      </c>
      <c r="D1630">
        <f t="shared" si="50"/>
        <v>89</v>
      </c>
      <c r="E1630" t="str">
        <f t="shared" si="51"/>
        <v>89. Croatia</v>
      </c>
    </row>
    <row r="1631" spans="1:5" x14ac:dyDescent="0.25">
      <c r="A1631" t="s">
        <v>59</v>
      </c>
      <c r="B1631" t="s">
        <v>394</v>
      </c>
      <c r="C1631">
        <v>34.799999999999997</v>
      </c>
      <c r="D1631">
        <f t="shared" si="50"/>
        <v>90</v>
      </c>
      <c r="E1631" t="str">
        <f t="shared" si="51"/>
        <v>90. Czechia</v>
      </c>
    </row>
    <row r="1632" spans="1:5" x14ac:dyDescent="0.25">
      <c r="A1632" t="s">
        <v>124</v>
      </c>
      <c r="B1632" t="s">
        <v>394</v>
      </c>
      <c r="C1632">
        <v>34.5</v>
      </c>
      <c r="D1632">
        <f t="shared" si="50"/>
        <v>91</v>
      </c>
      <c r="E1632" t="str">
        <f t="shared" si="51"/>
        <v>91. Luxembourg</v>
      </c>
    </row>
    <row r="1633" spans="1:5" x14ac:dyDescent="0.25">
      <c r="A1633" t="s">
        <v>178</v>
      </c>
      <c r="B1633" t="s">
        <v>394</v>
      </c>
      <c r="C1633">
        <v>34.299999999999997</v>
      </c>
      <c r="D1633">
        <f t="shared" si="50"/>
        <v>92</v>
      </c>
      <c r="E1633" t="str">
        <f t="shared" si="51"/>
        <v>92. Sierra Leone</v>
      </c>
    </row>
    <row r="1634" spans="1:5" x14ac:dyDescent="0.25">
      <c r="A1634" t="s">
        <v>14</v>
      </c>
      <c r="B1634" t="s">
        <v>394</v>
      </c>
      <c r="C1634">
        <v>34</v>
      </c>
      <c r="D1634">
        <f t="shared" si="50"/>
        <v>93</v>
      </c>
      <c r="E1634" t="str">
        <f t="shared" si="51"/>
        <v>93. Andorra</v>
      </c>
    </row>
    <row r="1635" spans="1:5" x14ac:dyDescent="0.25">
      <c r="A1635" t="s">
        <v>121</v>
      </c>
      <c r="B1635" t="s">
        <v>394</v>
      </c>
      <c r="C1635">
        <v>34</v>
      </c>
      <c r="D1635">
        <f t="shared" si="50"/>
        <v>94</v>
      </c>
      <c r="E1635" t="str">
        <f t="shared" si="51"/>
        <v>94. Sri Lanka</v>
      </c>
    </row>
    <row r="1636" spans="1:5" x14ac:dyDescent="0.25">
      <c r="A1636" t="s">
        <v>119</v>
      </c>
      <c r="B1636" t="s">
        <v>394</v>
      </c>
      <c r="C1636">
        <v>34</v>
      </c>
      <c r="D1636">
        <f t="shared" si="50"/>
        <v>95</v>
      </c>
      <c r="E1636" t="str">
        <f t="shared" si="51"/>
        <v>95. St. Lucia</v>
      </c>
    </row>
    <row r="1637" spans="1:5" x14ac:dyDescent="0.25">
      <c r="A1637" t="s">
        <v>209</v>
      </c>
      <c r="B1637" t="s">
        <v>394</v>
      </c>
      <c r="C1637">
        <v>33.9</v>
      </c>
      <c r="D1637">
        <f t="shared" si="50"/>
        <v>96</v>
      </c>
      <c r="E1637" t="str">
        <f t="shared" si="51"/>
        <v>96. United States</v>
      </c>
    </row>
    <row r="1638" spans="1:5" x14ac:dyDescent="0.25">
      <c r="A1638" t="s">
        <v>132</v>
      </c>
      <c r="B1638" t="s">
        <v>394</v>
      </c>
      <c r="C1638">
        <v>33.6</v>
      </c>
      <c r="D1638">
        <f t="shared" si="50"/>
        <v>97</v>
      </c>
      <c r="E1638" t="str">
        <f t="shared" si="51"/>
        <v>97. Mexico</v>
      </c>
    </row>
    <row r="1639" spans="1:5" x14ac:dyDescent="0.25">
      <c r="A1639" t="s">
        <v>152</v>
      </c>
      <c r="B1639" t="s">
        <v>394</v>
      </c>
      <c r="C1639">
        <v>33.5</v>
      </c>
      <c r="D1639">
        <f t="shared" si="50"/>
        <v>98</v>
      </c>
      <c r="E1639" t="str">
        <f t="shared" si="51"/>
        <v>98. Norway</v>
      </c>
    </row>
    <row r="1640" spans="1:5" x14ac:dyDescent="0.25">
      <c r="A1640" t="s">
        <v>204</v>
      </c>
      <c r="B1640" t="s">
        <v>394</v>
      </c>
      <c r="C1640">
        <v>33.299999999999997</v>
      </c>
      <c r="D1640">
        <f t="shared" si="50"/>
        <v>99</v>
      </c>
      <c r="E1640" t="str">
        <f t="shared" si="51"/>
        <v>99. Tuvalu</v>
      </c>
    </row>
    <row r="1641" spans="1:5" x14ac:dyDescent="0.25">
      <c r="A1641" t="s">
        <v>103</v>
      </c>
      <c r="B1641" t="s">
        <v>394</v>
      </c>
      <c r="C1641">
        <v>32.9</v>
      </c>
      <c r="D1641">
        <f t="shared" si="50"/>
        <v>100</v>
      </c>
      <c r="E1641" t="str">
        <f t="shared" si="51"/>
        <v>100. Italy</v>
      </c>
    </row>
    <row r="1642" spans="1:5" x14ac:dyDescent="0.25">
      <c r="A1642" t="s">
        <v>60</v>
      </c>
      <c r="B1642" t="s">
        <v>394</v>
      </c>
      <c r="C1642">
        <v>32.700000000000003</v>
      </c>
      <c r="D1642">
        <f t="shared" si="50"/>
        <v>101</v>
      </c>
      <c r="E1642" t="str">
        <f t="shared" si="51"/>
        <v>101. Germany</v>
      </c>
    </row>
    <row r="1643" spans="1:5" x14ac:dyDescent="0.25">
      <c r="A1643" t="s">
        <v>87</v>
      </c>
      <c r="B1643" t="s">
        <v>394</v>
      </c>
      <c r="C1643">
        <v>32.6</v>
      </c>
      <c r="D1643">
        <f t="shared" si="50"/>
        <v>102</v>
      </c>
      <c r="E1643" t="str">
        <f t="shared" si="51"/>
        <v>102. Guatemala</v>
      </c>
    </row>
    <row r="1644" spans="1:5" x14ac:dyDescent="0.25">
      <c r="A1644" t="s">
        <v>73</v>
      </c>
      <c r="B1644" t="s">
        <v>394</v>
      </c>
      <c r="C1644">
        <v>32.5</v>
      </c>
      <c r="D1644">
        <f t="shared" si="50"/>
        <v>103</v>
      </c>
      <c r="E1644" t="str">
        <f t="shared" si="51"/>
        <v>103. France</v>
      </c>
    </row>
    <row r="1645" spans="1:5" x14ac:dyDescent="0.25">
      <c r="A1645" t="s">
        <v>182</v>
      </c>
      <c r="B1645" t="s">
        <v>394</v>
      </c>
      <c r="C1645">
        <v>32.4</v>
      </c>
      <c r="D1645">
        <f t="shared" si="50"/>
        <v>104</v>
      </c>
      <c r="E1645" t="str">
        <f t="shared" si="51"/>
        <v>104. Serbia</v>
      </c>
    </row>
    <row r="1646" spans="1:5" x14ac:dyDescent="0.25">
      <c r="A1646" t="s">
        <v>43</v>
      </c>
      <c r="B1646" t="s">
        <v>394</v>
      </c>
      <c r="C1646">
        <v>32.4</v>
      </c>
      <c r="D1646">
        <f t="shared" si="50"/>
        <v>105</v>
      </c>
      <c r="E1646" t="str">
        <f t="shared" si="51"/>
        <v>105. Switzerland</v>
      </c>
    </row>
    <row r="1647" spans="1:5" x14ac:dyDescent="0.25">
      <c r="A1647" t="s">
        <v>55</v>
      </c>
      <c r="B1647" t="s">
        <v>394</v>
      </c>
      <c r="C1647">
        <v>31.2</v>
      </c>
      <c r="D1647">
        <f t="shared" si="50"/>
        <v>106</v>
      </c>
      <c r="E1647" t="str">
        <f t="shared" si="51"/>
        <v>106. Cuba</v>
      </c>
    </row>
    <row r="1648" spans="1:5" x14ac:dyDescent="0.25">
      <c r="A1648" t="s">
        <v>163</v>
      </c>
      <c r="B1648" t="s">
        <v>394</v>
      </c>
      <c r="C1648">
        <v>31.1</v>
      </c>
      <c r="D1648">
        <f t="shared" si="50"/>
        <v>107</v>
      </c>
      <c r="E1648" t="str">
        <f t="shared" si="51"/>
        <v>107. Poland</v>
      </c>
    </row>
    <row r="1649" spans="1:5" x14ac:dyDescent="0.25">
      <c r="A1649" t="s">
        <v>84</v>
      </c>
      <c r="B1649" t="s">
        <v>394</v>
      </c>
      <c r="C1649">
        <v>30.3</v>
      </c>
      <c r="D1649">
        <f t="shared" si="50"/>
        <v>108</v>
      </c>
      <c r="E1649" t="str">
        <f t="shared" si="51"/>
        <v>108. Greece</v>
      </c>
    </row>
    <row r="1650" spans="1:5" x14ac:dyDescent="0.25">
      <c r="A1650" t="s">
        <v>170</v>
      </c>
      <c r="B1650" t="s">
        <v>394</v>
      </c>
      <c r="C1650">
        <v>30.1</v>
      </c>
      <c r="D1650">
        <f t="shared" si="50"/>
        <v>109</v>
      </c>
      <c r="E1650" t="str">
        <f t="shared" si="51"/>
        <v>109. Romania</v>
      </c>
    </row>
    <row r="1651" spans="1:5" x14ac:dyDescent="0.25">
      <c r="A1651" t="s">
        <v>203</v>
      </c>
      <c r="B1651" t="s">
        <v>394</v>
      </c>
      <c r="C1651">
        <v>29.5</v>
      </c>
      <c r="D1651">
        <f t="shared" si="50"/>
        <v>110</v>
      </c>
      <c r="E1651" t="str">
        <f t="shared" si="51"/>
        <v>110. Turkiye</v>
      </c>
    </row>
    <row r="1652" spans="1:5" x14ac:dyDescent="0.25">
      <c r="A1652" t="s">
        <v>189</v>
      </c>
      <c r="B1652" t="s">
        <v>394</v>
      </c>
      <c r="C1652">
        <v>29.1</v>
      </c>
      <c r="D1652">
        <f t="shared" si="50"/>
        <v>111</v>
      </c>
      <c r="E1652" t="str">
        <f t="shared" si="51"/>
        <v>111. Eswatini</v>
      </c>
    </row>
    <row r="1653" spans="1:5" x14ac:dyDescent="0.25">
      <c r="A1653" t="s">
        <v>13</v>
      </c>
      <c r="B1653" t="s">
        <v>394</v>
      </c>
      <c r="C1653">
        <v>28.8</v>
      </c>
      <c r="D1653">
        <f t="shared" si="50"/>
        <v>112</v>
      </c>
      <c r="E1653" t="str">
        <f t="shared" si="51"/>
        <v>112. Albania</v>
      </c>
    </row>
    <row r="1654" spans="1:5" x14ac:dyDescent="0.25">
      <c r="A1654" t="s">
        <v>179</v>
      </c>
      <c r="B1654" t="s">
        <v>394</v>
      </c>
      <c r="C1654">
        <v>27.5</v>
      </c>
      <c r="D1654">
        <f t="shared" si="50"/>
        <v>113</v>
      </c>
      <c r="E1654" t="str">
        <f t="shared" si="51"/>
        <v>113. El Salvador</v>
      </c>
    </row>
    <row r="1655" spans="1:5" x14ac:dyDescent="0.25">
      <c r="A1655" t="s">
        <v>25</v>
      </c>
      <c r="B1655" t="s">
        <v>394</v>
      </c>
      <c r="C1655">
        <v>26.5</v>
      </c>
      <c r="D1655">
        <f t="shared" si="50"/>
        <v>114</v>
      </c>
      <c r="E1655" t="str">
        <f t="shared" si="51"/>
        <v>114. Benin</v>
      </c>
    </row>
    <row r="1656" spans="1:5" x14ac:dyDescent="0.25">
      <c r="A1656" t="s">
        <v>40</v>
      </c>
      <c r="B1656" t="s">
        <v>394</v>
      </c>
      <c r="C1656">
        <v>26.3</v>
      </c>
      <c r="D1656">
        <f t="shared" si="50"/>
        <v>115</v>
      </c>
      <c r="E1656" t="str">
        <f t="shared" si="51"/>
        <v>115. Botswana</v>
      </c>
    </row>
    <row r="1657" spans="1:5" x14ac:dyDescent="0.25">
      <c r="A1657" t="s">
        <v>150</v>
      </c>
      <c r="B1657" t="s">
        <v>394</v>
      </c>
      <c r="C1657">
        <v>25.8</v>
      </c>
      <c r="D1657">
        <f t="shared" si="50"/>
        <v>116</v>
      </c>
      <c r="E1657" t="str">
        <f t="shared" si="51"/>
        <v>116. Nicaragua</v>
      </c>
    </row>
    <row r="1658" spans="1:5" x14ac:dyDescent="0.25">
      <c r="A1658" t="s">
        <v>45</v>
      </c>
      <c r="B1658" t="s">
        <v>394</v>
      </c>
      <c r="C1658">
        <v>25</v>
      </c>
      <c r="D1658">
        <f t="shared" si="50"/>
        <v>117</v>
      </c>
      <c r="E1658" t="str">
        <f t="shared" si="51"/>
        <v>117. Chile</v>
      </c>
    </row>
    <row r="1659" spans="1:5" x14ac:dyDescent="0.25">
      <c r="A1659" t="s">
        <v>221</v>
      </c>
      <c r="B1659" t="s">
        <v>394</v>
      </c>
      <c r="C1659">
        <v>24.8</v>
      </c>
      <c r="D1659">
        <f t="shared" si="50"/>
        <v>118</v>
      </c>
      <c r="E1659" t="str">
        <f t="shared" si="51"/>
        <v>118. St. Martin (French part)</v>
      </c>
    </row>
    <row r="1660" spans="1:5" x14ac:dyDescent="0.25">
      <c r="A1660" t="s">
        <v>80</v>
      </c>
      <c r="B1660" t="s">
        <v>394</v>
      </c>
      <c r="C1660">
        <v>24.7</v>
      </c>
      <c r="D1660">
        <f t="shared" si="50"/>
        <v>119</v>
      </c>
      <c r="E1660" t="str">
        <f t="shared" si="51"/>
        <v>119. Guinea</v>
      </c>
    </row>
    <row r="1661" spans="1:5" x14ac:dyDescent="0.25">
      <c r="A1661" t="s">
        <v>97</v>
      </c>
      <c r="B1661" t="s">
        <v>394</v>
      </c>
      <c r="C1661">
        <v>24.5</v>
      </c>
      <c r="D1661">
        <f t="shared" si="50"/>
        <v>120</v>
      </c>
      <c r="E1661" t="str">
        <f t="shared" si="51"/>
        <v>120. India</v>
      </c>
    </row>
    <row r="1662" spans="1:5" x14ac:dyDescent="0.25">
      <c r="A1662" t="s">
        <v>160</v>
      </c>
      <c r="B1662" t="s">
        <v>394</v>
      </c>
      <c r="C1662">
        <v>24.5</v>
      </c>
      <c r="D1662">
        <f t="shared" si="50"/>
        <v>121</v>
      </c>
      <c r="E1662" t="str">
        <f t="shared" si="51"/>
        <v>121. Philippines</v>
      </c>
    </row>
    <row r="1663" spans="1:5" x14ac:dyDescent="0.25">
      <c r="A1663" t="s">
        <v>46</v>
      </c>
      <c r="B1663" t="s">
        <v>394</v>
      </c>
      <c r="C1663">
        <v>24</v>
      </c>
      <c r="D1663">
        <f t="shared" si="50"/>
        <v>122</v>
      </c>
      <c r="E1663" t="str">
        <f t="shared" si="51"/>
        <v>122. China</v>
      </c>
    </row>
    <row r="1664" spans="1:5" x14ac:dyDescent="0.25">
      <c r="A1664" t="s">
        <v>149</v>
      </c>
      <c r="B1664" t="s">
        <v>394</v>
      </c>
      <c r="C1664">
        <v>23.2</v>
      </c>
      <c r="D1664">
        <f t="shared" si="50"/>
        <v>123</v>
      </c>
      <c r="E1664" t="str">
        <f t="shared" si="51"/>
        <v>123. Nigeria</v>
      </c>
    </row>
    <row r="1665" spans="1:5" x14ac:dyDescent="0.25">
      <c r="A1665" t="s">
        <v>24</v>
      </c>
      <c r="B1665" t="s">
        <v>394</v>
      </c>
      <c r="C1665">
        <v>22.6</v>
      </c>
      <c r="D1665">
        <f t="shared" si="50"/>
        <v>124</v>
      </c>
      <c r="E1665" t="str">
        <f t="shared" si="51"/>
        <v>124. Belgium</v>
      </c>
    </row>
    <row r="1666" spans="1:5" x14ac:dyDescent="0.25">
      <c r="A1666" t="s">
        <v>94</v>
      </c>
      <c r="B1666" t="s">
        <v>394</v>
      </c>
      <c r="C1666">
        <v>22.4</v>
      </c>
      <c r="D1666">
        <f t="shared" si="50"/>
        <v>125</v>
      </c>
      <c r="E1666" t="str">
        <f t="shared" si="51"/>
        <v>125. Hungary</v>
      </c>
    </row>
    <row r="1667" spans="1:5" x14ac:dyDescent="0.25">
      <c r="A1667" t="s">
        <v>144</v>
      </c>
      <c r="B1667" t="s">
        <v>394</v>
      </c>
      <c r="C1667">
        <v>22.4</v>
      </c>
      <c r="D1667">
        <f t="shared" ref="D1667:D1730" si="52">IF(ROW() = 2, 1, IF(B1667 = B1666, D1666 + 1, 1))</f>
        <v>126</v>
      </c>
      <c r="E1667" t="str">
        <f t="shared" ref="E1667:E1730" si="53">_xlfn.CONCAT(D1667, ". ", A1667)</f>
        <v>126. Malawi</v>
      </c>
    </row>
    <row r="1668" spans="1:5" x14ac:dyDescent="0.25">
      <c r="A1668" t="s">
        <v>81</v>
      </c>
      <c r="B1668" t="s">
        <v>394</v>
      </c>
      <c r="C1668">
        <v>22.3</v>
      </c>
      <c r="D1668">
        <f t="shared" si="52"/>
        <v>127</v>
      </c>
      <c r="E1668" t="str">
        <f t="shared" si="53"/>
        <v>127. Gambia, The</v>
      </c>
    </row>
    <row r="1669" spans="1:5" x14ac:dyDescent="0.25">
      <c r="A1669" t="s">
        <v>26</v>
      </c>
      <c r="B1669" t="s">
        <v>394</v>
      </c>
      <c r="C1669">
        <v>22.2</v>
      </c>
      <c r="D1669">
        <f t="shared" si="52"/>
        <v>128</v>
      </c>
      <c r="E1669" t="str">
        <f t="shared" si="53"/>
        <v>128. Burkina Faso</v>
      </c>
    </row>
    <row r="1670" spans="1:5" x14ac:dyDescent="0.25">
      <c r="A1670" t="s">
        <v>195</v>
      </c>
      <c r="B1670" t="s">
        <v>394</v>
      </c>
      <c r="C1670">
        <v>22.1</v>
      </c>
      <c r="D1670">
        <f t="shared" si="52"/>
        <v>129</v>
      </c>
      <c r="E1670" t="str">
        <f t="shared" si="53"/>
        <v>129. Togo</v>
      </c>
    </row>
    <row r="1671" spans="1:5" x14ac:dyDescent="0.25">
      <c r="A1671" t="s">
        <v>130</v>
      </c>
      <c r="B1671" t="s">
        <v>394</v>
      </c>
      <c r="C1671">
        <v>21.3</v>
      </c>
      <c r="D1671">
        <f t="shared" si="52"/>
        <v>130</v>
      </c>
      <c r="E1671" t="str">
        <f t="shared" si="53"/>
        <v>130. Madagascar</v>
      </c>
    </row>
    <row r="1672" spans="1:5" x14ac:dyDescent="0.25">
      <c r="A1672" t="s">
        <v>176</v>
      </c>
      <c r="B1672" t="s">
        <v>394</v>
      </c>
      <c r="C1672">
        <v>20.9</v>
      </c>
      <c r="D1672">
        <f t="shared" si="52"/>
        <v>131</v>
      </c>
      <c r="E1672" t="str">
        <f t="shared" si="53"/>
        <v>131. Singapore</v>
      </c>
    </row>
    <row r="1673" spans="1:5" x14ac:dyDescent="0.25">
      <c r="A1673" t="s">
        <v>143</v>
      </c>
      <c r="B1673" t="s">
        <v>394</v>
      </c>
      <c r="C1673">
        <v>19.5</v>
      </c>
      <c r="D1673">
        <f t="shared" si="52"/>
        <v>132</v>
      </c>
      <c r="E1673" t="str">
        <f t="shared" si="53"/>
        <v>132. Mauritius</v>
      </c>
    </row>
    <row r="1674" spans="1:5" x14ac:dyDescent="0.25">
      <c r="A1674" t="s">
        <v>58</v>
      </c>
      <c r="B1674" t="s">
        <v>394</v>
      </c>
      <c r="C1674">
        <v>18.7</v>
      </c>
      <c r="D1674">
        <f t="shared" si="52"/>
        <v>133</v>
      </c>
      <c r="E1674" t="str">
        <f t="shared" si="53"/>
        <v>133. Cyprus</v>
      </c>
    </row>
    <row r="1675" spans="1:5" x14ac:dyDescent="0.25">
      <c r="A1675" t="s">
        <v>34</v>
      </c>
      <c r="B1675" t="s">
        <v>394</v>
      </c>
      <c r="C1675">
        <v>18.5</v>
      </c>
      <c r="D1675">
        <f t="shared" si="52"/>
        <v>134</v>
      </c>
      <c r="E1675" t="str">
        <f t="shared" si="53"/>
        <v>134. Bermuda</v>
      </c>
    </row>
    <row r="1676" spans="1:5" x14ac:dyDescent="0.25">
      <c r="A1676" t="s">
        <v>19</v>
      </c>
      <c r="B1676" t="s">
        <v>394</v>
      </c>
      <c r="C1676">
        <v>18</v>
      </c>
      <c r="D1676">
        <f t="shared" si="52"/>
        <v>135</v>
      </c>
      <c r="E1676" t="str">
        <f t="shared" si="53"/>
        <v>135. Antigua and Barbuda</v>
      </c>
    </row>
    <row r="1677" spans="1:5" x14ac:dyDescent="0.25">
      <c r="A1677" t="s">
        <v>20</v>
      </c>
      <c r="B1677" t="s">
        <v>394</v>
      </c>
      <c r="C1677">
        <v>17.399999999999999</v>
      </c>
      <c r="D1677">
        <f t="shared" si="52"/>
        <v>136</v>
      </c>
      <c r="E1677" t="str">
        <f t="shared" si="53"/>
        <v>136. Australia</v>
      </c>
    </row>
    <row r="1678" spans="1:5" x14ac:dyDescent="0.25">
      <c r="A1678" t="s">
        <v>52</v>
      </c>
      <c r="B1678" t="s">
        <v>394</v>
      </c>
      <c r="C1678">
        <v>17</v>
      </c>
      <c r="D1678">
        <f t="shared" si="52"/>
        <v>137</v>
      </c>
      <c r="E1678" t="str">
        <f t="shared" si="53"/>
        <v>137. Comoros</v>
      </c>
    </row>
    <row r="1679" spans="1:5" x14ac:dyDescent="0.25">
      <c r="A1679" t="s">
        <v>207</v>
      </c>
      <c r="B1679" t="s">
        <v>394</v>
      </c>
      <c r="C1679">
        <v>16.8</v>
      </c>
      <c r="D1679">
        <f t="shared" si="52"/>
        <v>138</v>
      </c>
      <c r="E1679" t="str">
        <f t="shared" si="53"/>
        <v>138. Ukraine</v>
      </c>
    </row>
    <row r="1680" spans="1:5" x14ac:dyDescent="0.25">
      <c r="A1680" t="s">
        <v>180</v>
      </c>
      <c r="B1680" t="s">
        <v>394</v>
      </c>
      <c r="C1680">
        <v>16.7</v>
      </c>
      <c r="D1680">
        <f t="shared" si="52"/>
        <v>139</v>
      </c>
      <c r="E1680" t="str">
        <f t="shared" si="53"/>
        <v>139. San Marino</v>
      </c>
    </row>
    <row r="1681" spans="1:5" x14ac:dyDescent="0.25">
      <c r="A1681" t="s">
        <v>63</v>
      </c>
      <c r="B1681" t="s">
        <v>394</v>
      </c>
      <c r="C1681">
        <v>15.8</v>
      </c>
      <c r="D1681">
        <f t="shared" si="52"/>
        <v>140</v>
      </c>
      <c r="E1681" t="str">
        <f t="shared" si="53"/>
        <v>140. Denmark</v>
      </c>
    </row>
    <row r="1682" spans="1:5" x14ac:dyDescent="0.25">
      <c r="A1682" t="s">
        <v>70</v>
      </c>
      <c r="B1682" t="s">
        <v>394</v>
      </c>
      <c r="C1682">
        <v>14.9</v>
      </c>
      <c r="D1682">
        <f t="shared" si="52"/>
        <v>141</v>
      </c>
      <c r="E1682" t="str">
        <f t="shared" si="53"/>
        <v>141. Ethiopia</v>
      </c>
    </row>
    <row r="1683" spans="1:5" x14ac:dyDescent="0.25">
      <c r="A1683" t="s">
        <v>37</v>
      </c>
      <c r="B1683" t="s">
        <v>394</v>
      </c>
      <c r="C1683">
        <v>14.7</v>
      </c>
      <c r="D1683">
        <f t="shared" si="52"/>
        <v>142</v>
      </c>
      <c r="E1683" t="str">
        <f t="shared" si="53"/>
        <v>142. Barbados</v>
      </c>
    </row>
    <row r="1684" spans="1:5" x14ac:dyDescent="0.25">
      <c r="A1684" t="s">
        <v>27</v>
      </c>
      <c r="B1684" t="s">
        <v>394</v>
      </c>
      <c r="C1684">
        <v>14.5</v>
      </c>
      <c r="D1684">
        <f t="shared" si="52"/>
        <v>143</v>
      </c>
      <c r="E1684" t="str">
        <f t="shared" si="53"/>
        <v>143. Bangladesh</v>
      </c>
    </row>
    <row r="1685" spans="1:5" x14ac:dyDescent="0.25">
      <c r="A1685" t="s">
        <v>116</v>
      </c>
      <c r="B1685" t="s">
        <v>394</v>
      </c>
      <c r="C1685">
        <v>14.2</v>
      </c>
      <c r="D1685">
        <f t="shared" si="52"/>
        <v>144</v>
      </c>
      <c r="E1685" t="str">
        <f t="shared" si="53"/>
        <v>144. Lebanon</v>
      </c>
    </row>
    <row r="1686" spans="1:5" x14ac:dyDescent="0.25">
      <c r="A1686" t="s">
        <v>22</v>
      </c>
      <c r="B1686" t="s">
        <v>394</v>
      </c>
      <c r="C1686">
        <v>14.1</v>
      </c>
      <c r="D1686">
        <f t="shared" si="52"/>
        <v>145</v>
      </c>
      <c r="E1686" t="str">
        <f t="shared" si="53"/>
        <v>145. Azerbaijan</v>
      </c>
    </row>
    <row r="1687" spans="1:5" x14ac:dyDescent="0.25">
      <c r="A1687" t="s">
        <v>218</v>
      </c>
      <c r="B1687" t="s">
        <v>394</v>
      </c>
      <c r="C1687">
        <v>14</v>
      </c>
      <c r="D1687">
        <f t="shared" si="52"/>
        <v>146</v>
      </c>
      <c r="E1687" t="str">
        <f t="shared" si="53"/>
        <v>146. South Africa</v>
      </c>
    </row>
    <row r="1688" spans="1:5" x14ac:dyDescent="0.25">
      <c r="A1688" t="s">
        <v>77</v>
      </c>
      <c r="B1688" t="s">
        <v>394</v>
      </c>
      <c r="C1688">
        <v>13.3</v>
      </c>
      <c r="D1688">
        <f t="shared" si="52"/>
        <v>147</v>
      </c>
      <c r="E1688" t="str">
        <f t="shared" si="53"/>
        <v>147. United Kingdom</v>
      </c>
    </row>
    <row r="1689" spans="1:5" x14ac:dyDescent="0.25">
      <c r="A1689" t="s">
        <v>127</v>
      </c>
      <c r="B1689" t="s">
        <v>394</v>
      </c>
      <c r="C1689">
        <v>12.9</v>
      </c>
      <c r="D1689">
        <f t="shared" si="52"/>
        <v>148</v>
      </c>
      <c r="E1689" t="str">
        <f t="shared" si="53"/>
        <v>148. Morocco</v>
      </c>
    </row>
    <row r="1690" spans="1:5" x14ac:dyDescent="0.25">
      <c r="A1690" t="s">
        <v>200</v>
      </c>
      <c r="B1690" t="s">
        <v>394</v>
      </c>
      <c r="C1690">
        <v>12.4</v>
      </c>
      <c r="D1690">
        <f t="shared" si="52"/>
        <v>149</v>
      </c>
      <c r="E1690" t="str">
        <f t="shared" si="53"/>
        <v>149. Tonga</v>
      </c>
    </row>
    <row r="1691" spans="1:5" x14ac:dyDescent="0.25">
      <c r="A1691" t="s">
        <v>93</v>
      </c>
      <c r="B1691" t="s">
        <v>394</v>
      </c>
      <c r="C1691">
        <v>12.3</v>
      </c>
      <c r="D1691">
        <f t="shared" si="52"/>
        <v>150</v>
      </c>
      <c r="E1691" t="str">
        <f t="shared" si="53"/>
        <v>150. Haiti</v>
      </c>
    </row>
    <row r="1692" spans="1:5" x14ac:dyDescent="0.25">
      <c r="A1692" t="s">
        <v>208</v>
      </c>
      <c r="B1692" t="s">
        <v>394</v>
      </c>
      <c r="C1692">
        <v>12</v>
      </c>
      <c r="D1692">
        <f t="shared" si="52"/>
        <v>151</v>
      </c>
      <c r="E1692" t="str">
        <f t="shared" si="53"/>
        <v>151. Uruguay</v>
      </c>
    </row>
    <row r="1693" spans="1:5" x14ac:dyDescent="0.25">
      <c r="A1693" t="s">
        <v>129</v>
      </c>
      <c r="B1693" t="s">
        <v>394</v>
      </c>
      <c r="C1693">
        <v>11.7</v>
      </c>
      <c r="D1693">
        <f t="shared" si="52"/>
        <v>152</v>
      </c>
      <c r="E1693" t="str">
        <f t="shared" si="53"/>
        <v>152. Moldova</v>
      </c>
    </row>
    <row r="1694" spans="1:5" x14ac:dyDescent="0.25">
      <c r="A1694" t="s">
        <v>17</v>
      </c>
      <c r="B1694" t="s">
        <v>394</v>
      </c>
      <c r="C1694">
        <v>11.6</v>
      </c>
      <c r="D1694">
        <f t="shared" si="52"/>
        <v>153</v>
      </c>
      <c r="E1694" t="str">
        <f t="shared" si="53"/>
        <v>153. Armenia</v>
      </c>
    </row>
    <row r="1695" spans="1:5" x14ac:dyDescent="0.25">
      <c r="A1695" t="s">
        <v>53</v>
      </c>
      <c r="B1695" t="s">
        <v>394</v>
      </c>
      <c r="C1695">
        <v>11.6</v>
      </c>
      <c r="D1695">
        <f t="shared" si="52"/>
        <v>154</v>
      </c>
      <c r="E1695" t="str">
        <f t="shared" si="53"/>
        <v>154. Cabo Verde</v>
      </c>
    </row>
    <row r="1696" spans="1:5" x14ac:dyDescent="0.25">
      <c r="A1696" t="s">
        <v>98</v>
      </c>
      <c r="B1696" t="s">
        <v>394</v>
      </c>
      <c r="C1696">
        <v>11.5</v>
      </c>
      <c r="D1696">
        <f t="shared" si="52"/>
        <v>155</v>
      </c>
      <c r="E1696" t="str">
        <f t="shared" si="53"/>
        <v>155. Ireland</v>
      </c>
    </row>
    <row r="1697" spans="1:5" x14ac:dyDescent="0.25">
      <c r="A1697" t="s">
        <v>172</v>
      </c>
      <c r="B1697" t="s">
        <v>394</v>
      </c>
      <c r="C1697">
        <v>11.3</v>
      </c>
      <c r="D1697">
        <f t="shared" si="52"/>
        <v>156</v>
      </c>
      <c r="E1697" t="str">
        <f t="shared" si="53"/>
        <v>156. Rwanda</v>
      </c>
    </row>
    <row r="1698" spans="1:5" x14ac:dyDescent="0.25">
      <c r="A1698" t="s">
        <v>183</v>
      </c>
      <c r="B1698" t="s">
        <v>394</v>
      </c>
      <c r="C1698">
        <v>11.3</v>
      </c>
      <c r="D1698">
        <f t="shared" si="52"/>
        <v>157</v>
      </c>
      <c r="E1698" t="str">
        <f t="shared" si="53"/>
        <v>157. South Sudan</v>
      </c>
    </row>
    <row r="1699" spans="1:5" x14ac:dyDescent="0.25">
      <c r="A1699" t="s">
        <v>151</v>
      </c>
      <c r="B1699" t="s">
        <v>394</v>
      </c>
      <c r="C1699">
        <v>11.1</v>
      </c>
      <c r="D1699">
        <f t="shared" si="52"/>
        <v>158</v>
      </c>
      <c r="E1699" t="str">
        <f t="shared" si="53"/>
        <v>158. Netherlands</v>
      </c>
    </row>
    <row r="1700" spans="1:5" x14ac:dyDescent="0.25">
      <c r="A1700" t="s">
        <v>193</v>
      </c>
      <c r="B1700" t="s">
        <v>394</v>
      </c>
      <c r="C1700">
        <v>11.1</v>
      </c>
      <c r="D1700">
        <f t="shared" si="52"/>
        <v>159</v>
      </c>
      <c r="E1700" t="str">
        <f t="shared" si="53"/>
        <v>159. Turks and Caicos Islands</v>
      </c>
    </row>
    <row r="1701" spans="1:5" x14ac:dyDescent="0.25">
      <c r="A1701" t="s">
        <v>206</v>
      </c>
      <c r="B1701" t="s">
        <v>394</v>
      </c>
      <c r="C1701">
        <v>11</v>
      </c>
      <c r="D1701">
        <f t="shared" si="52"/>
        <v>160</v>
      </c>
      <c r="E1701" t="str">
        <f t="shared" si="53"/>
        <v>160. Uganda</v>
      </c>
    </row>
    <row r="1702" spans="1:5" x14ac:dyDescent="0.25">
      <c r="A1702" t="s">
        <v>23</v>
      </c>
      <c r="B1702" t="s">
        <v>394</v>
      </c>
      <c r="C1702">
        <v>10.9</v>
      </c>
      <c r="D1702">
        <f t="shared" si="52"/>
        <v>161</v>
      </c>
      <c r="E1702" t="str">
        <f t="shared" si="53"/>
        <v>161. Burundi</v>
      </c>
    </row>
    <row r="1703" spans="1:5" x14ac:dyDescent="0.25">
      <c r="A1703" t="s">
        <v>135</v>
      </c>
      <c r="B1703" t="s">
        <v>394</v>
      </c>
      <c r="C1703">
        <v>10.9</v>
      </c>
      <c r="D1703">
        <f t="shared" si="52"/>
        <v>162</v>
      </c>
      <c r="E1703" t="str">
        <f t="shared" si="53"/>
        <v>162. Mali</v>
      </c>
    </row>
    <row r="1704" spans="1:5" x14ac:dyDescent="0.25">
      <c r="A1704" t="s">
        <v>190</v>
      </c>
      <c r="B1704" t="s">
        <v>394</v>
      </c>
      <c r="C1704">
        <v>10.9</v>
      </c>
      <c r="D1704">
        <f t="shared" si="52"/>
        <v>163</v>
      </c>
      <c r="E1704" t="str">
        <f t="shared" si="53"/>
        <v>163. Sint Maarten (Dutch part)</v>
      </c>
    </row>
    <row r="1705" spans="1:5" x14ac:dyDescent="0.25">
      <c r="A1705" t="s">
        <v>16</v>
      </c>
      <c r="B1705" t="s">
        <v>394</v>
      </c>
      <c r="C1705">
        <v>10.3</v>
      </c>
      <c r="D1705">
        <f t="shared" si="52"/>
        <v>164</v>
      </c>
      <c r="E1705" t="str">
        <f t="shared" si="53"/>
        <v>164. Argentina</v>
      </c>
    </row>
    <row r="1706" spans="1:5" x14ac:dyDescent="0.25">
      <c r="A1706" t="s">
        <v>174</v>
      </c>
      <c r="B1706" t="s">
        <v>394</v>
      </c>
      <c r="C1706">
        <v>9.6</v>
      </c>
      <c r="D1706">
        <f t="shared" si="52"/>
        <v>165</v>
      </c>
      <c r="E1706" t="str">
        <f t="shared" si="53"/>
        <v>165. Sudan</v>
      </c>
    </row>
    <row r="1707" spans="1:5" x14ac:dyDescent="0.25">
      <c r="A1707" t="s">
        <v>222</v>
      </c>
      <c r="B1707" t="s">
        <v>394</v>
      </c>
      <c r="C1707">
        <v>9.1999999999999993</v>
      </c>
      <c r="D1707">
        <f t="shared" si="52"/>
        <v>166</v>
      </c>
      <c r="E1707" t="str">
        <f t="shared" si="53"/>
        <v>166. Somalia, Fed. Rep.</v>
      </c>
    </row>
    <row r="1708" spans="1:5" x14ac:dyDescent="0.25">
      <c r="A1708" t="s">
        <v>139</v>
      </c>
      <c r="B1708" t="s">
        <v>394</v>
      </c>
      <c r="C1708">
        <v>9.1</v>
      </c>
      <c r="D1708">
        <f t="shared" si="52"/>
        <v>167</v>
      </c>
      <c r="E1708" t="str">
        <f t="shared" si="53"/>
        <v>167. Mongolia</v>
      </c>
    </row>
    <row r="1709" spans="1:5" x14ac:dyDescent="0.25">
      <c r="A1709" t="s">
        <v>198</v>
      </c>
      <c r="B1709" t="s">
        <v>394</v>
      </c>
      <c r="C1709">
        <v>8.8000000000000007</v>
      </c>
      <c r="D1709">
        <f t="shared" si="52"/>
        <v>168</v>
      </c>
      <c r="E1709" t="str">
        <f t="shared" si="53"/>
        <v>168. Turkmenistan</v>
      </c>
    </row>
    <row r="1710" spans="1:5" x14ac:dyDescent="0.25">
      <c r="A1710" t="s">
        <v>224</v>
      </c>
      <c r="B1710" t="s">
        <v>394</v>
      </c>
      <c r="C1710">
        <v>8.6</v>
      </c>
      <c r="D1710">
        <f t="shared" si="52"/>
        <v>169</v>
      </c>
      <c r="E1710" t="str">
        <f t="shared" si="53"/>
        <v>169. Eritrea</v>
      </c>
    </row>
    <row r="1711" spans="1:5" x14ac:dyDescent="0.25">
      <c r="A1711" t="s">
        <v>210</v>
      </c>
      <c r="B1711" t="s">
        <v>394</v>
      </c>
      <c r="C1711">
        <v>8.5</v>
      </c>
      <c r="D1711">
        <f t="shared" si="52"/>
        <v>170</v>
      </c>
      <c r="E1711" t="str">
        <f t="shared" si="53"/>
        <v>170. Uzbekistan</v>
      </c>
    </row>
    <row r="1712" spans="1:5" x14ac:dyDescent="0.25">
      <c r="A1712" t="s">
        <v>47</v>
      </c>
      <c r="B1712" t="s">
        <v>394</v>
      </c>
      <c r="C1712">
        <v>7.9</v>
      </c>
      <c r="D1712">
        <f t="shared" si="52"/>
        <v>171</v>
      </c>
      <c r="E1712" t="str">
        <f t="shared" si="53"/>
        <v>171. Cote d'Ivoire</v>
      </c>
    </row>
    <row r="1713" spans="1:5" x14ac:dyDescent="0.25">
      <c r="A1713" t="s">
        <v>146</v>
      </c>
      <c r="B1713" t="s">
        <v>394</v>
      </c>
      <c r="C1713">
        <v>7.8</v>
      </c>
      <c r="D1713">
        <f t="shared" si="52"/>
        <v>172</v>
      </c>
      <c r="E1713" t="str">
        <f t="shared" si="53"/>
        <v>172. Namibia</v>
      </c>
    </row>
    <row r="1714" spans="1:5" x14ac:dyDescent="0.25">
      <c r="A1714" t="s">
        <v>109</v>
      </c>
      <c r="B1714" t="s">
        <v>394</v>
      </c>
      <c r="C1714">
        <v>7.1</v>
      </c>
      <c r="D1714">
        <f t="shared" si="52"/>
        <v>173</v>
      </c>
      <c r="E1714" t="str">
        <f t="shared" si="53"/>
        <v>173. Kyrgyz Republic</v>
      </c>
    </row>
    <row r="1715" spans="1:5" x14ac:dyDescent="0.25">
      <c r="A1715" t="s">
        <v>99</v>
      </c>
      <c r="B1715" t="s">
        <v>394</v>
      </c>
      <c r="C1715">
        <v>6.6</v>
      </c>
      <c r="D1715">
        <f t="shared" si="52"/>
        <v>174</v>
      </c>
      <c r="E1715" t="str">
        <f t="shared" si="53"/>
        <v>174. Iran, Islamic Rep.</v>
      </c>
    </row>
    <row r="1716" spans="1:5" x14ac:dyDescent="0.25">
      <c r="A1716" t="s">
        <v>102</v>
      </c>
      <c r="B1716" t="s">
        <v>394</v>
      </c>
      <c r="C1716">
        <v>6.5</v>
      </c>
      <c r="D1716">
        <f t="shared" si="52"/>
        <v>175</v>
      </c>
      <c r="E1716" t="str">
        <f t="shared" si="53"/>
        <v>175. Israel</v>
      </c>
    </row>
    <row r="1717" spans="1:5" x14ac:dyDescent="0.25">
      <c r="A1717" t="s">
        <v>108</v>
      </c>
      <c r="B1717" t="s">
        <v>394</v>
      </c>
      <c r="C1717">
        <v>6.2</v>
      </c>
      <c r="D1717">
        <f t="shared" si="52"/>
        <v>176</v>
      </c>
      <c r="E1717" t="str">
        <f t="shared" si="53"/>
        <v>176. Kenya</v>
      </c>
    </row>
    <row r="1718" spans="1:5" x14ac:dyDescent="0.25">
      <c r="A1718" t="s">
        <v>96</v>
      </c>
      <c r="B1718" t="s">
        <v>394</v>
      </c>
      <c r="C1718">
        <v>6.1</v>
      </c>
      <c r="D1718">
        <f t="shared" si="52"/>
        <v>177</v>
      </c>
      <c r="E1718" t="str">
        <f t="shared" si="53"/>
        <v>177. Isle of Man</v>
      </c>
    </row>
    <row r="1719" spans="1:5" x14ac:dyDescent="0.25">
      <c r="A1719" t="s">
        <v>157</v>
      </c>
      <c r="B1719" t="s">
        <v>394</v>
      </c>
      <c r="C1719">
        <v>4.7</v>
      </c>
      <c r="D1719">
        <f t="shared" si="52"/>
        <v>178</v>
      </c>
      <c r="E1719" t="str">
        <f t="shared" si="53"/>
        <v>178. Pakistan</v>
      </c>
    </row>
    <row r="1720" spans="1:5" x14ac:dyDescent="0.25">
      <c r="A1720" t="s">
        <v>202</v>
      </c>
      <c r="B1720" t="s">
        <v>394</v>
      </c>
      <c r="C1720">
        <v>4.5999999999999996</v>
      </c>
      <c r="D1720">
        <f t="shared" si="52"/>
        <v>179</v>
      </c>
      <c r="E1720" t="str">
        <f t="shared" si="53"/>
        <v>179. Tunisia</v>
      </c>
    </row>
    <row r="1721" spans="1:5" x14ac:dyDescent="0.25">
      <c r="A1721" t="s">
        <v>15</v>
      </c>
      <c r="B1721" t="s">
        <v>394</v>
      </c>
      <c r="C1721">
        <v>4.5</v>
      </c>
      <c r="D1721">
        <f t="shared" si="52"/>
        <v>180</v>
      </c>
      <c r="E1721" t="str">
        <f t="shared" si="53"/>
        <v>180. United Arab Emirates</v>
      </c>
    </row>
    <row r="1722" spans="1:5" x14ac:dyDescent="0.25">
      <c r="A1722" t="s">
        <v>194</v>
      </c>
      <c r="B1722" t="s">
        <v>394</v>
      </c>
      <c r="C1722">
        <v>3.2</v>
      </c>
      <c r="D1722">
        <f t="shared" si="52"/>
        <v>181</v>
      </c>
      <c r="E1722" t="str">
        <f t="shared" si="53"/>
        <v>181. Chad</v>
      </c>
    </row>
    <row r="1723" spans="1:5" x14ac:dyDescent="0.25">
      <c r="A1723" t="s">
        <v>197</v>
      </c>
      <c r="B1723" t="s">
        <v>394</v>
      </c>
      <c r="C1723">
        <v>3.1</v>
      </c>
      <c r="D1723">
        <f t="shared" si="52"/>
        <v>182</v>
      </c>
      <c r="E1723" t="str">
        <f t="shared" si="53"/>
        <v>182. Tajikistan</v>
      </c>
    </row>
    <row r="1724" spans="1:5" x14ac:dyDescent="0.25">
      <c r="A1724" t="s">
        <v>131</v>
      </c>
      <c r="B1724" t="s">
        <v>394</v>
      </c>
      <c r="C1724">
        <v>2.8</v>
      </c>
      <c r="D1724">
        <f t="shared" si="52"/>
        <v>183</v>
      </c>
      <c r="E1724" t="str">
        <f t="shared" si="53"/>
        <v>183. Maldives</v>
      </c>
    </row>
    <row r="1725" spans="1:5" x14ac:dyDescent="0.25">
      <c r="A1725" t="s">
        <v>192</v>
      </c>
      <c r="B1725" t="s">
        <v>394</v>
      </c>
      <c r="C1725">
        <v>2.8</v>
      </c>
      <c r="D1725">
        <f t="shared" si="52"/>
        <v>184</v>
      </c>
      <c r="E1725" t="str">
        <f t="shared" si="53"/>
        <v>184. Syrian Arab Republic</v>
      </c>
    </row>
    <row r="1726" spans="1:5" x14ac:dyDescent="0.25">
      <c r="A1726" t="s">
        <v>10</v>
      </c>
      <c r="B1726" t="s">
        <v>394</v>
      </c>
      <c r="C1726">
        <v>2.2999999999999998</v>
      </c>
      <c r="D1726">
        <f t="shared" si="52"/>
        <v>185</v>
      </c>
      <c r="E1726" t="str">
        <f t="shared" si="53"/>
        <v>185. Aruba</v>
      </c>
    </row>
    <row r="1727" spans="1:5" x14ac:dyDescent="0.25">
      <c r="A1727" t="s">
        <v>11</v>
      </c>
      <c r="B1727" t="s">
        <v>394</v>
      </c>
      <c r="C1727">
        <v>1.9</v>
      </c>
      <c r="D1727">
        <f t="shared" si="52"/>
        <v>186</v>
      </c>
      <c r="E1727" t="str">
        <f t="shared" si="53"/>
        <v>186. Afghanistan</v>
      </c>
    </row>
    <row r="1728" spans="1:5" x14ac:dyDescent="0.25">
      <c r="A1728" t="s">
        <v>100</v>
      </c>
      <c r="B1728" t="s">
        <v>394</v>
      </c>
      <c r="C1728">
        <v>1.9</v>
      </c>
      <c r="D1728">
        <f t="shared" si="52"/>
        <v>187</v>
      </c>
      <c r="E1728" t="str">
        <f t="shared" si="53"/>
        <v>187. Iraq</v>
      </c>
    </row>
    <row r="1729" spans="1:5" x14ac:dyDescent="0.25">
      <c r="A1729" t="s">
        <v>167</v>
      </c>
      <c r="B1729" t="s">
        <v>394</v>
      </c>
      <c r="C1729">
        <v>1.7</v>
      </c>
      <c r="D1729">
        <f t="shared" si="52"/>
        <v>188</v>
      </c>
      <c r="E1729" t="str">
        <f t="shared" si="53"/>
        <v>188. West Bank and Gaza</v>
      </c>
    </row>
    <row r="1730" spans="1:5" x14ac:dyDescent="0.25">
      <c r="A1730" t="s">
        <v>111</v>
      </c>
      <c r="B1730" t="s">
        <v>394</v>
      </c>
      <c r="C1730">
        <v>1.5</v>
      </c>
      <c r="D1730">
        <f t="shared" si="52"/>
        <v>189</v>
      </c>
      <c r="E1730" t="str">
        <f t="shared" si="53"/>
        <v>189. Kiribati</v>
      </c>
    </row>
    <row r="1731" spans="1:5" x14ac:dyDescent="0.25">
      <c r="A1731" t="s">
        <v>136</v>
      </c>
      <c r="B1731" t="s">
        <v>394</v>
      </c>
      <c r="C1731">
        <v>1.4</v>
      </c>
      <c r="D1731">
        <f t="shared" ref="D1731:D1794" si="54">IF(ROW() = 2, 1, IF(B1731 = B1730, D1730 + 1, 1))</f>
        <v>190</v>
      </c>
      <c r="E1731" t="str">
        <f t="shared" ref="E1731:E1794" si="55">_xlfn.CONCAT(D1731, ". ", A1731)</f>
        <v>190. Malta</v>
      </c>
    </row>
    <row r="1732" spans="1:5" x14ac:dyDescent="0.25">
      <c r="A1732" t="s">
        <v>107</v>
      </c>
      <c r="B1732" t="s">
        <v>394</v>
      </c>
      <c r="C1732">
        <v>1.3</v>
      </c>
      <c r="D1732">
        <f t="shared" si="54"/>
        <v>191</v>
      </c>
      <c r="E1732" t="str">
        <f t="shared" si="55"/>
        <v>191. Kazakhstan</v>
      </c>
    </row>
    <row r="1733" spans="1:5" x14ac:dyDescent="0.25">
      <c r="A1733" t="s">
        <v>105</v>
      </c>
      <c r="B1733" t="s">
        <v>394</v>
      </c>
      <c r="C1733">
        <v>1.1000000000000001</v>
      </c>
      <c r="D1733">
        <f t="shared" si="54"/>
        <v>192</v>
      </c>
      <c r="E1733" t="str">
        <f t="shared" si="55"/>
        <v>192. Jordan</v>
      </c>
    </row>
    <row r="1734" spans="1:5" x14ac:dyDescent="0.25">
      <c r="A1734" t="s">
        <v>122</v>
      </c>
      <c r="B1734" t="s">
        <v>394</v>
      </c>
      <c r="C1734">
        <v>1.1000000000000001</v>
      </c>
      <c r="D1734">
        <f t="shared" si="54"/>
        <v>193</v>
      </c>
      <c r="E1734" t="str">
        <f t="shared" si="55"/>
        <v>193. Lesotho</v>
      </c>
    </row>
    <row r="1735" spans="1:5" x14ac:dyDescent="0.25">
      <c r="A1735" t="s">
        <v>29</v>
      </c>
      <c r="B1735" t="s">
        <v>394</v>
      </c>
      <c r="C1735">
        <v>1</v>
      </c>
      <c r="D1735">
        <f t="shared" si="54"/>
        <v>194</v>
      </c>
      <c r="E1735" t="str">
        <f t="shared" si="55"/>
        <v>194. Bahrain</v>
      </c>
    </row>
    <row r="1736" spans="1:5" x14ac:dyDescent="0.25">
      <c r="A1736" t="s">
        <v>217</v>
      </c>
      <c r="B1736" t="s">
        <v>394</v>
      </c>
      <c r="C1736">
        <v>1</v>
      </c>
      <c r="D1736">
        <f t="shared" si="54"/>
        <v>195</v>
      </c>
      <c r="E1736" t="str">
        <f t="shared" si="55"/>
        <v>195. Yemen, Rep.</v>
      </c>
    </row>
    <row r="1737" spans="1:5" x14ac:dyDescent="0.25">
      <c r="A1737" t="s">
        <v>65</v>
      </c>
      <c r="B1737" t="s">
        <v>394</v>
      </c>
      <c r="C1737">
        <v>0.8</v>
      </c>
      <c r="D1737">
        <f t="shared" si="54"/>
        <v>196</v>
      </c>
      <c r="E1737" t="str">
        <f t="shared" si="55"/>
        <v>196. Algeria</v>
      </c>
    </row>
    <row r="1738" spans="1:5" x14ac:dyDescent="0.25">
      <c r="A1738" t="s">
        <v>148</v>
      </c>
      <c r="B1738" t="s">
        <v>394</v>
      </c>
      <c r="C1738">
        <v>0.8</v>
      </c>
      <c r="D1738">
        <f t="shared" si="54"/>
        <v>197</v>
      </c>
      <c r="E1738" t="str">
        <f t="shared" si="55"/>
        <v>197. Niger</v>
      </c>
    </row>
    <row r="1739" spans="1:5" x14ac:dyDescent="0.25">
      <c r="A1739" t="s">
        <v>101</v>
      </c>
      <c r="B1739" t="s">
        <v>394</v>
      </c>
      <c r="C1739">
        <v>0.5</v>
      </c>
      <c r="D1739">
        <f t="shared" si="54"/>
        <v>198</v>
      </c>
      <c r="E1739" t="str">
        <f t="shared" si="55"/>
        <v>198. Iceland</v>
      </c>
    </row>
    <row r="1740" spans="1:5" x14ac:dyDescent="0.25">
      <c r="A1740" t="s">
        <v>173</v>
      </c>
      <c r="B1740" t="s">
        <v>394</v>
      </c>
      <c r="C1740">
        <v>0.5</v>
      </c>
      <c r="D1740">
        <f t="shared" si="54"/>
        <v>199</v>
      </c>
      <c r="E1740" t="str">
        <f t="shared" si="55"/>
        <v>199. Saudi Arabia</v>
      </c>
    </row>
    <row r="1741" spans="1:5" x14ac:dyDescent="0.25">
      <c r="A1741" t="s">
        <v>114</v>
      </c>
      <c r="B1741" t="s">
        <v>394</v>
      </c>
      <c r="C1741">
        <v>0.4</v>
      </c>
      <c r="D1741">
        <f t="shared" si="54"/>
        <v>200</v>
      </c>
      <c r="E1741" t="str">
        <f t="shared" si="55"/>
        <v>200. Kuwait</v>
      </c>
    </row>
    <row r="1742" spans="1:5" x14ac:dyDescent="0.25">
      <c r="A1742" t="s">
        <v>61</v>
      </c>
      <c r="B1742" t="s">
        <v>394</v>
      </c>
      <c r="C1742">
        <v>0.3</v>
      </c>
      <c r="D1742">
        <f t="shared" si="54"/>
        <v>201</v>
      </c>
      <c r="E1742" t="str">
        <f t="shared" si="55"/>
        <v>201. Djibouti</v>
      </c>
    </row>
    <row r="1743" spans="1:5" x14ac:dyDescent="0.25">
      <c r="A1743" t="s">
        <v>142</v>
      </c>
      <c r="B1743" t="s">
        <v>394</v>
      </c>
      <c r="C1743">
        <v>0.3</v>
      </c>
      <c r="D1743">
        <f t="shared" si="54"/>
        <v>202</v>
      </c>
      <c r="E1743" t="str">
        <f t="shared" si="55"/>
        <v>202. Mauritania</v>
      </c>
    </row>
    <row r="1744" spans="1:5" x14ac:dyDescent="0.25">
      <c r="A1744" t="s">
        <v>56</v>
      </c>
      <c r="B1744" t="s">
        <v>394</v>
      </c>
      <c r="C1744">
        <v>0.2</v>
      </c>
      <c r="D1744">
        <f t="shared" si="54"/>
        <v>203</v>
      </c>
      <c r="E1744" t="str">
        <f t="shared" si="55"/>
        <v>203. Curacao</v>
      </c>
    </row>
    <row r="1745" spans="1:5" x14ac:dyDescent="0.25">
      <c r="A1745" t="s">
        <v>74</v>
      </c>
      <c r="B1745" t="s">
        <v>394</v>
      </c>
      <c r="C1745">
        <v>0.1</v>
      </c>
      <c r="D1745">
        <f t="shared" si="54"/>
        <v>204</v>
      </c>
      <c r="E1745" t="str">
        <f t="shared" si="55"/>
        <v>204. Faroe Islands</v>
      </c>
    </row>
    <row r="1746" spans="1:5" x14ac:dyDescent="0.25">
      <c r="A1746" t="s">
        <v>118</v>
      </c>
      <c r="B1746" t="s">
        <v>394</v>
      </c>
      <c r="C1746">
        <v>0.1</v>
      </c>
      <c r="D1746">
        <f t="shared" si="54"/>
        <v>205</v>
      </c>
      <c r="E1746" t="str">
        <f t="shared" si="55"/>
        <v>205. Libya</v>
      </c>
    </row>
    <row r="1747" spans="1:5" x14ac:dyDescent="0.25">
      <c r="A1747" t="s">
        <v>67</v>
      </c>
      <c r="B1747" t="s">
        <v>394</v>
      </c>
      <c r="C1747">
        <v>0</v>
      </c>
      <c r="D1747">
        <f t="shared" si="54"/>
        <v>206</v>
      </c>
      <c r="E1747" t="str">
        <f t="shared" si="55"/>
        <v>206. Egypt, Arab Rep.</v>
      </c>
    </row>
    <row r="1748" spans="1:5" x14ac:dyDescent="0.25">
      <c r="A1748" t="s">
        <v>86</v>
      </c>
      <c r="B1748" t="s">
        <v>394</v>
      </c>
      <c r="C1748">
        <v>0</v>
      </c>
      <c r="D1748">
        <f t="shared" si="54"/>
        <v>207</v>
      </c>
      <c r="E1748" t="str">
        <f t="shared" si="55"/>
        <v>207. Greenland</v>
      </c>
    </row>
    <row r="1749" spans="1:5" x14ac:dyDescent="0.25">
      <c r="A1749" t="s">
        <v>128</v>
      </c>
      <c r="B1749" t="s">
        <v>394</v>
      </c>
      <c r="C1749">
        <v>0</v>
      </c>
      <c r="D1749">
        <f t="shared" si="54"/>
        <v>208</v>
      </c>
      <c r="E1749" t="str">
        <f t="shared" si="55"/>
        <v>208. Monaco</v>
      </c>
    </row>
    <row r="1750" spans="1:5" x14ac:dyDescent="0.25">
      <c r="A1750" t="s">
        <v>154</v>
      </c>
      <c r="B1750" t="s">
        <v>394</v>
      </c>
      <c r="C1750">
        <v>0</v>
      </c>
      <c r="D1750">
        <f t="shared" si="54"/>
        <v>209</v>
      </c>
      <c r="E1750" t="str">
        <f t="shared" si="55"/>
        <v>209. Nauru</v>
      </c>
    </row>
    <row r="1751" spans="1:5" x14ac:dyDescent="0.25">
      <c r="A1751" t="s">
        <v>156</v>
      </c>
      <c r="B1751" t="s">
        <v>394</v>
      </c>
      <c r="C1751">
        <v>0</v>
      </c>
      <c r="D1751">
        <f t="shared" si="54"/>
        <v>210</v>
      </c>
      <c r="E1751" t="str">
        <f t="shared" si="55"/>
        <v>210. Oman</v>
      </c>
    </row>
    <row r="1752" spans="1:5" x14ac:dyDescent="0.25">
      <c r="A1752" t="s">
        <v>169</v>
      </c>
      <c r="B1752" t="s">
        <v>394</v>
      </c>
      <c r="C1752">
        <v>0</v>
      </c>
      <c r="D1752">
        <f t="shared" si="54"/>
        <v>211</v>
      </c>
      <c r="E1752" t="str">
        <f t="shared" si="55"/>
        <v>211. Qatar</v>
      </c>
    </row>
    <row r="1753" spans="1:5" x14ac:dyDescent="0.25">
      <c r="A1753" t="s">
        <v>209</v>
      </c>
      <c r="B1753" t="s">
        <v>324</v>
      </c>
      <c r="C1753">
        <v>29184.9</v>
      </c>
      <c r="D1753">
        <f t="shared" si="54"/>
        <v>1</v>
      </c>
      <c r="E1753" t="str">
        <f t="shared" si="55"/>
        <v>1. United States</v>
      </c>
    </row>
    <row r="1754" spans="1:5" x14ac:dyDescent="0.25">
      <c r="A1754" t="s">
        <v>46</v>
      </c>
      <c r="B1754" t="s">
        <v>324</v>
      </c>
      <c r="C1754">
        <v>18743.8</v>
      </c>
      <c r="D1754">
        <f t="shared" si="54"/>
        <v>2</v>
      </c>
      <c r="E1754" t="str">
        <f t="shared" si="55"/>
        <v>2. China</v>
      </c>
    </row>
    <row r="1755" spans="1:5" x14ac:dyDescent="0.25">
      <c r="A1755" t="s">
        <v>60</v>
      </c>
      <c r="B1755" t="s">
        <v>324</v>
      </c>
      <c r="C1755">
        <v>4659.8999999999996</v>
      </c>
      <c r="D1755">
        <f t="shared" si="54"/>
        <v>3</v>
      </c>
      <c r="E1755" t="str">
        <f t="shared" si="55"/>
        <v>3. Germany</v>
      </c>
    </row>
    <row r="1756" spans="1:5" x14ac:dyDescent="0.25">
      <c r="A1756" t="s">
        <v>106</v>
      </c>
      <c r="B1756" t="s">
        <v>324</v>
      </c>
      <c r="C1756">
        <v>4026.2</v>
      </c>
      <c r="D1756">
        <f t="shared" si="54"/>
        <v>4</v>
      </c>
      <c r="E1756" t="str">
        <f t="shared" si="55"/>
        <v>4. Japan</v>
      </c>
    </row>
    <row r="1757" spans="1:5" x14ac:dyDescent="0.25">
      <c r="A1757" t="s">
        <v>97</v>
      </c>
      <c r="B1757" t="s">
        <v>324</v>
      </c>
      <c r="C1757">
        <v>3912.7</v>
      </c>
      <c r="D1757">
        <f t="shared" si="54"/>
        <v>5</v>
      </c>
      <c r="E1757" t="str">
        <f t="shared" si="55"/>
        <v>5. India</v>
      </c>
    </row>
    <row r="1758" spans="1:5" x14ac:dyDescent="0.25">
      <c r="A1758" t="s">
        <v>77</v>
      </c>
      <c r="B1758" t="s">
        <v>324</v>
      </c>
      <c r="C1758">
        <v>3643.8</v>
      </c>
      <c r="D1758">
        <f t="shared" si="54"/>
        <v>6</v>
      </c>
      <c r="E1758" t="str">
        <f t="shared" si="55"/>
        <v>6. United Kingdom</v>
      </c>
    </row>
    <row r="1759" spans="1:5" x14ac:dyDescent="0.25">
      <c r="A1759" t="s">
        <v>73</v>
      </c>
      <c r="B1759" t="s">
        <v>324</v>
      </c>
      <c r="C1759">
        <v>3162.1</v>
      </c>
      <c r="D1759">
        <f t="shared" si="54"/>
        <v>7</v>
      </c>
      <c r="E1759" t="str">
        <f t="shared" si="55"/>
        <v>7. France</v>
      </c>
    </row>
    <row r="1760" spans="1:5" x14ac:dyDescent="0.25">
      <c r="A1760" t="s">
        <v>103</v>
      </c>
      <c r="B1760" t="s">
        <v>324</v>
      </c>
      <c r="C1760">
        <v>2372.8000000000002</v>
      </c>
      <c r="D1760">
        <f t="shared" si="54"/>
        <v>8</v>
      </c>
      <c r="E1760" t="str">
        <f t="shared" si="55"/>
        <v>8. Italy</v>
      </c>
    </row>
    <row r="1761" spans="1:5" x14ac:dyDescent="0.25">
      <c r="A1761" t="s">
        <v>42</v>
      </c>
      <c r="B1761" t="s">
        <v>324</v>
      </c>
      <c r="C1761">
        <v>2241.3000000000002</v>
      </c>
      <c r="D1761">
        <f t="shared" si="54"/>
        <v>9</v>
      </c>
      <c r="E1761" t="str">
        <f t="shared" si="55"/>
        <v>9. Canada</v>
      </c>
    </row>
    <row r="1762" spans="1:5" x14ac:dyDescent="0.25">
      <c r="A1762" t="s">
        <v>36</v>
      </c>
      <c r="B1762" t="s">
        <v>324</v>
      </c>
      <c r="C1762">
        <v>2179.4</v>
      </c>
      <c r="D1762">
        <f t="shared" si="54"/>
        <v>10</v>
      </c>
      <c r="E1762" t="str">
        <f t="shared" si="55"/>
        <v>10. Brazil</v>
      </c>
    </row>
    <row r="1763" spans="1:5" x14ac:dyDescent="0.25">
      <c r="A1763" t="s">
        <v>171</v>
      </c>
      <c r="B1763" t="s">
        <v>324</v>
      </c>
      <c r="C1763">
        <v>2173.8000000000002</v>
      </c>
      <c r="D1763">
        <f t="shared" si="54"/>
        <v>11</v>
      </c>
      <c r="E1763" t="str">
        <f t="shared" si="55"/>
        <v>11. Russian Federation</v>
      </c>
    </row>
    <row r="1764" spans="1:5" x14ac:dyDescent="0.25">
      <c r="A1764" t="s">
        <v>132</v>
      </c>
      <c r="B1764" t="s">
        <v>324</v>
      </c>
      <c r="C1764">
        <v>1852.7</v>
      </c>
      <c r="D1764">
        <f t="shared" si="54"/>
        <v>12</v>
      </c>
      <c r="E1764" t="str">
        <f t="shared" si="55"/>
        <v>12. Mexico</v>
      </c>
    </row>
    <row r="1765" spans="1:5" x14ac:dyDescent="0.25">
      <c r="A1765" t="s">
        <v>20</v>
      </c>
      <c r="B1765" t="s">
        <v>324</v>
      </c>
      <c r="C1765">
        <v>1752.2</v>
      </c>
      <c r="D1765">
        <f t="shared" si="54"/>
        <v>13</v>
      </c>
      <c r="E1765" t="str">
        <f t="shared" si="55"/>
        <v>13. Australia</v>
      </c>
    </row>
    <row r="1766" spans="1:5" x14ac:dyDescent="0.25">
      <c r="A1766" t="s">
        <v>68</v>
      </c>
      <c r="B1766" t="s">
        <v>324</v>
      </c>
      <c r="C1766">
        <v>1722.7</v>
      </c>
      <c r="D1766">
        <f t="shared" si="54"/>
        <v>14</v>
      </c>
      <c r="E1766" t="str">
        <f t="shared" si="55"/>
        <v>14. Spain</v>
      </c>
    </row>
    <row r="1767" spans="1:5" x14ac:dyDescent="0.25">
      <c r="A1767" t="s">
        <v>95</v>
      </c>
      <c r="B1767" t="s">
        <v>324</v>
      </c>
      <c r="C1767">
        <v>1396.3</v>
      </c>
      <c r="D1767">
        <f t="shared" si="54"/>
        <v>15</v>
      </c>
      <c r="E1767" t="str">
        <f t="shared" si="55"/>
        <v>15. Indonesia</v>
      </c>
    </row>
    <row r="1768" spans="1:5" x14ac:dyDescent="0.25">
      <c r="A1768" t="s">
        <v>203</v>
      </c>
      <c r="B1768" t="s">
        <v>324</v>
      </c>
      <c r="C1768">
        <v>1323.3</v>
      </c>
      <c r="D1768">
        <f t="shared" si="54"/>
        <v>16</v>
      </c>
      <c r="E1768" t="str">
        <f t="shared" si="55"/>
        <v>16. Turkiye</v>
      </c>
    </row>
    <row r="1769" spans="1:5" x14ac:dyDescent="0.25">
      <c r="A1769" t="s">
        <v>173</v>
      </c>
      <c r="B1769" t="s">
        <v>324</v>
      </c>
      <c r="C1769">
        <v>1237.5</v>
      </c>
      <c r="D1769">
        <f t="shared" si="54"/>
        <v>17</v>
      </c>
      <c r="E1769" t="str">
        <f t="shared" si="55"/>
        <v>17. Saudi Arabia</v>
      </c>
    </row>
    <row r="1770" spans="1:5" x14ac:dyDescent="0.25">
      <c r="A1770" t="s">
        <v>151</v>
      </c>
      <c r="B1770" t="s">
        <v>324</v>
      </c>
      <c r="C1770">
        <v>1227.5</v>
      </c>
      <c r="D1770">
        <f t="shared" si="54"/>
        <v>18</v>
      </c>
      <c r="E1770" t="str">
        <f t="shared" si="55"/>
        <v>18. Netherlands</v>
      </c>
    </row>
    <row r="1771" spans="1:5" x14ac:dyDescent="0.25">
      <c r="A1771" t="s">
        <v>43</v>
      </c>
      <c r="B1771" t="s">
        <v>324</v>
      </c>
      <c r="C1771">
        <v>936.6</v>
      </c>
      <c r="D1771">
        <f t="shared" si="54"/>
        <v>19</v>
      </c>
      <c r="E1771" t="str">
        <f t="shared" si="55"/>
        <v>19. Switzerland</v>
      </c>
    </row>
    <row r="1772" spans="1:5" x14ac:dyDescent="0.25">
      <c r="A1772" t="s">
        <v>163</v>
      </c>
      <c r="B1772" t="s">
        <v>324</v>
      </c>
      <c r="C1772">
        <v>914.7</v>
      </c>
      <c r="D1772">
        <f t="shared" si="54"/>
        <v>20</v>
      </c>
      <c r="E1772" t="str">
        <f t="shared" si="55"/>
        <v>20. Poland</v>
      </c>
    </row>
    <row r="1773" spans="1:5" x14ac:dyDescent="0.25">
      <c r="A1773" t="s">
        <v>24</v>
      </c>
      <c r="B1773" t="s">
        <v>324</v>
      </c>
      <c r="C1773">
        <v>664.6</v>
      </c>
      <c r="D1773">
        <f t="shared" si="54"/>
        <v>21</v>
      </c>
      <c r="E1773" t="str">
        <f t="shared" si="55"/>
        <v>21. Belgium</v>
      </c>
    </row>
    <row r="1774" spans="1:5" x14ac:dyDescent="0.25">
      <c r="A1774" t="s">
        <v>16</v>
      </c>
      <c r="B1774" t="s">
        <v>324</v>
      </c>
      <c r="C1774">
        <v>633.29999999999995</v>
      </c>
      <c r="D1774">
        <f t="shared" si="54"/>
        <v>22</v>
      </c>
      <c r="E1774" t="str">
        <f t="shared" si="55"/>
        <v>22. Argentina</v>
      </c>
    </row>
    <row r="1775" spans="1:5" x14ac:dyDescent="0.25">
      <c r="A1775" t="s">
        <v>188</v>
      </c>
      <c r="B1775" t="s">
        <v>324</v>
      </c>
      <c r="C1775">
        <v>610.1</v>
      </c>
      <c r="D1775">
        <f t="shared" si="54"/>
        <v>23</v>
      </c>
      <c r="E1775" t="str">
        <f t="shared" si="55"/>
        <v>23. Sweden</v>
      </c>
    </row>
    <row r="1776" spans="1:5" x14ac:dyDescent="0.25">
      <c r="A1776" t="s">
        <v>98</v>
      </c>
      <c r="B1776" t="s">
        <v>324</v>
      </c>
      <c r="C1776">
        <v>577.4</v>
      </c>
      <c r="D1776">
        <f t="shared" si="54"/>
        <v>24</v>
      </c>
      <c r="E1776" t="str">
        <f t="shared" si="55"/>
        <v>24. Ireland</v>
      </c>
    </row>
    <row r="1777" spans="1:5" x14ac:dyDescent="0.25">
      <c r="A1777" t="s">
        <v>176</v>
      </c>
      <c r="B1777" t="s">
        <v>324</v>
      </c>
      <c r="C1777">
        <v>547.4</v>
      </c>
      <c r="D1777">
        <f t="shared" si="54"/>
        <v>25</v>
      </c>
      <c r="E1777" t="str">
        <f t="shared" si="55"/>
        <v>25. Singapore</v>
      </c>
    </row>
    <row r="1778" spans="1:5" x14ac:dyDescent="0.25">
      <c r="A1778" t="s">
        <v>102</v>
      </c>
      <c r="B1778" t="s">
        <v>324</v>
      </c>
      <c r="C1778">
        <v>540.4</v>
      </c>
      <c r="D1778">
        <f t="shared" si="54"/>
        <v>26</v>
      </c>
      <c r="E1778" t="str">
        <f t="shared" si="55"/>
        <v>26. Israel</v>
      </c>
    </row>
    <row r="1779" spans="1:5" x14ac:dyDescent="0.25">
      <c r="A1779" t="s">
        <v>15</v>
      </c>
      <c r="B1779" t="s">
        <v>324</v>
      </c>
      <c r="C1779">
        <v>537.1</v>
      </c>
      <c r="D1779">
        <f t="shared" si="54"/>
        <v>27</v>
      </c>
      <c r="E1779" t="str">
        <f t="shared" si="55"/>
        <v>27. United Arab Emirates</v>
      </c>
    </row>
    <row r="1780" spans="1:5" x14ac:dyDescent="0.25">
      <c r="A1780" t="s">
        <v>196</v>
      </c>
      <c r="B1780" t="s">
        <v>324</v>
      </c>
      <c r="C1780">
        <v>526.4</v>
      </c>
      <c r="D1780">
        <f t="shared" si="54"/>
        <v>28</v>
      </c>
      <c r="E1780" t="str">
        <f t="shared" si="55"/>
        <v>28. Thailand</v>
      </c>
    </row>
    <row r="1781" spans="1:5" x14ac:dyDescent="0.25">
      <c r="A1781" t="s">
        <v>21</v>
      </c>
      <c r="B1781" t="s">
        <v>324</v>
      </c>
      <c r="C1781">
        <v>521.6</v>
      </c>
      <c r="D1781">
        <f t="shared" si="54"/>
        <v>29</v>
      </c>
      <c r="E1781" t="str">
        <f t="shared" si="55"/>
        <v>29. Austria</v>
      </c>
    </row>
    <row r="1782" spans="1:5" x14ac:dyDescent="0.25">
      <c r="A1782" t="s">
        <v>152</v>
      </c>
      <c r="B1782" t="s">
        <v>324</v>
      </c>
      <c r="C1782">
        <v>483.7</v>
      </c>
      <c r="D1782">
        <f t="shared" si="54"/>
        <v>30</v>
      </c>
      <c r="E1782" t="str">
        <f t="shared" si="55"/>
        <v>30. Norway</v>
      </c>
    </row>
    <row r="1783" spans="1:5" x14ac:dyDescent="0.25">
      <c r="A1783" t="s">
        <v>213</v>
      </c>
      <c r="B1783" t="s">
        <v>324</v>
      </c>
      <c r="C1783">
        <v>476.4</v>
      </c>
      <c r="D1783">
        <f t="shared" si="54"/>
        <v>31</v>
      </c>
      <c r="E1783" t="str">
        <f t="shared" si="55"/>
        <v>31. Viet Nam</v>
      </c>
    </row>
    <row r="1784" spans="1:5" x14ac:dyDescent="0.25">
      <c r="A1784" t="s">
        <v>160</v>
      </c>
      <c r="B1784" t="s">
        <v>324</v>
      </c>
      <c r="C1784">
        <v>461.6</v>
      </c>
      <c r="D1784">
        <f t="shared" si="54"/>
        <v>32</v>
      </c>
      <c r="E1784" t="str">
        <f t="shared" si="55"/>
        <v>32. Philippines</v>
      </c>
    </row>
    <row r="1785" spans="1:5" x14ac:dyDescent="0.25">
      <c r="A1785" t="s">
        <v>27</v>
      </c>
      <c r="B1785" t="s">
        <v>324</v>
      </c>
      <c r="C1785">
        <v>450.1</v>
      </c>
      <c r="D1785">
        <f t="shared" si="54"/>
        <v>33</v>
      </c>
      <c r="E1785" t="str">
        <f t="shared" si="55"/>
        <v>33. Bangladesh</v>
      </c>
    </row>
    <row r="1786" spans="1:5" x14ac:dyDescent="0.25">
      <c r="A1786" t="s">
        <v>99</v>
      </c>
      <c r="B1786" t="s">
        <v>324</v>
      </c>
      <c r="C1786">
        <v>436.9</v>
      </c>
      <c r="D1786">
        <f t="shared" si="54"/>
        <v>34</v>
      </c>
      <c r="E1786" t="str">
        <f t="shared" si="55"/>
        <v>34. Iran, Islamic Rep.</v>
      </c>
    </row>
    <row r="1787" spans="1:5" x14ac:dyDescent="0.25">
      <c r="A1787" t="s">
        <v>63</v>
      </c>
      <c r="B1787" t="s">
        <v>324</v>
      </c>
      <c r="C1787">
        <v>429.5</v>
      </c>
      <c r="D1787">
        <f t="shared" si="54"/>
        <v>35</v>
      </c>
      <c r="E1787" t="str">
        <f t="shared" si="55"/>
        <v>35. Denmark</v>
      </c>
    </row>
    <row r="1788" spans="1:5" x14ac:dyDescent="0.25">
      <c r="A1788" t="s">
        <v>145</v>
      </c>
      <c r="B1788" t="s">
        <v>324</v>
      </c>
      <c r="C1788">
        <v>422</v>
      </c>
      <c r="D1788">
        <f t="shared" si="54"/>
        <v>36</v>
      </c>
      <c r="E1788" t="str">
        <f t="shared" si="55"/>
        <v>36. Malaysia</v>
      </c>
    </row>
    <row r="1789" spans="1:5" x14ac:dyDescent="0.25">
      <c r="A1789" t="s">
        <v>51</v>
      </c>
      <c r="B1789" t="s">
        <v>324</v>
      </c>
      <c r="C1789">
        <v>418.5</v>
      </c>
      <c r="D1789">
        <f t="shared" si="54"/>
        <v>37</v>
      </c>
      <c r="E1789" t="str">
        <f t="shared" si="55"/>
        <v>37. Colombia</v>
      </c>
    </row>
    <row r="1790" spans="1:5" x14ac:dyDescent="0.25">
      <c r="A1790" t="s">
        <v>90</v>
      </c>
      <c r="B1790" t="s">
        <v>324</v>
      </c>
      <c r="C1790">
        <v>407.1</v>
      </c>
      <c r="D1790">
        <f t="shared" si="54"/>
        <v>38</v>
      </c>
      <c r="E1790" t="str">
        <f t="shared" si="55"/>
        <v>38. Hong Kong SAR, China</v>
      </c>
    </row>
    <row r="1791" spans="1:5" x14ac:dyDescent="0.25">
      <c r="A1791" t="s">
        <v>218</v>
      </c>
      <c r="B1791" t="s">
        <v>324</v>
      </c>
      <c r="C1791">
        <v>400.3</v>
      </c>
      <c r="D1791">
        <f t="shared" si="54"/>
        <v>39</v>
      </c>
      <c r="E1791" t="str">
        <f t="shared" si="55"/>
        <v>39. South Africa</v>
      </c>
    </row>
    <row r="1792" spans="1:5" x14ac:dyDescent="0.25">
      <c r="A1792" t="s">
        <v>67</v>
      </c>
      <c r="B1792" t="s">
        <v>324</v>
      </c>
      <c r="C1792">
        <v>389.1</v>
      </c>
      <c r="D1792">
        <f t="shared" si="54"/>
        <v>40</v>
      </c>
      <c r="E1792" t="str">
        <f t="shared" si="55"/>
        <v>40. Egypt, Arab Rep.</v>
      </c>
    </row>
    <row r="1793" spans="1:5" x14ac:dyDescent="0.25">
      <c r="A1793" t="s">
        <v>170</v>
      </c>
      <c r="B1793" t="s">
        <v>324</v>
      </c>
      <c r="C1793">
        <v>382.8</v>
      </c>
      <c r="D1793">
        <f t="shared" si="54"/>
        <v>41</v>
      </c>
      <c r="E1793" t="str">
        <f t="shared" si="55"/>
        <v>41. Romania</v>
      </c>
    </row>
    <row r="1794" spans="1:5" x14ac:dyDescent="0.25">
      <c r="A1794" t="s">
        <v>157</v>
      </c>
      <c r="B1794" t="s">
        <v>324</v>
      </c>
      <c r="C1794">
        <v>373.1</v>
      </c>
      <c r="D1794">
        <f t="shared" si="54"/>
        <v>42</v>
      </c>
      <c r="E1794" t="str">
        <f t="shared" si="55"/>
        <v>42. Pakistan</v>
      </c>
    </row>
    <row r="1795" spans="1:5" x14ac:dyDescent="0.25">
      <c r="A1795" t="s">
        <v>59</v>
      </c>
      <c r="B1795" t="s">
        <v>324</v>
      </c>
      <c r="C1795">
        <v>345</v>
      </c>
      <c r="D1795">
        <f t="shared" ref="D1795:D1858" si="56">IF(ROW() = 2, 1, IF(B1795 = B1794, D1794 + 1, 1))</f>
        <v>43</v>
      </c>
      <c r="E1795" t="str">
        <f t="shared" ref="E1795:E1858" si="57">_xlfn.CONCAT(D1795, ". ", A1795)</f>
        <v>43. Czechia</v>
      </c>
    </row>
    <row r="1796" spans="1:5" x14ac:dyDescent="0.25">
      <c r="A1796" t="s">
        <v>45</v>
      </c>
      <c r="B1796" t="s">
        <v>324</v>
      </c>
      <c r="C1796">
        <v>330.3</v>
      </c>
      <c r="D1796">
        <f t="shared" si="56"/>
        <v>44</v>
      </c>
      <c r="E1796" t="str">
        <f t="shared" si="57"/>
        <v>44. Chile</v>
      </c>
    </row>
    <row r="1797" spans="1:5" x14ac:dyDescent="0.25">
      <c r="A1797" t="s">
        <v>165</v>
      </c>
      <c r="B1797" t="s">
        <v>324</v>
      </c>
      <c r="C1797">
        <v>308.7</v>
      </c>
      <c r="D1797">
        <f t="shared" si="56"/>
        <v>45</v>
      </c>
      <c r="E1797" t="str">
        <f t="shared" si="57"/>
        <v>45. Portugal</v>
      </c>
    </row>
    <row r="1798" spans="1:5" x14ac:dyDescent="0.25">
      <c r="A1798" t="s">
        <v>71</v>
      </c>
      <c r="B1798" t="s">
        <v>324</v>
      </c>
      <c r="C1798">
        <v>299.8</v>
      </c>
      <c r="D1798">
        <f t="shared" si="56"/>
        <v>46</v>
      </c>
      <c r="E1798" t="str">
        <f t="shared" si="57"/>
        <v>46. Finland</v>
      </c>
    </row>
    <row r="1799" spans="1:5" x14ac:dyDescent="0.25">
      <c r="A1799" t="s">
        <v>159</v>
      </c>
      <c r="B1799" t="s">
        <v>324</v>
      </c>
      <c r="C1799">
        <v>289.2</v>
      </c>
      <c r="D1799">
        <f t="shared" si="56"/>
        <v>47</v>
      </c>
      <c r="E1799" t="str">
        <f t="shared" si="57"/>
        <v>47. Peru</v>
      </c>
    </row>
    <row r="1800" spans="1:5" x14ac:dyDescent="0.25">
      <c r="A1800" t="s">
        <v>107</v>
      </c>
      <c r="B1800" t="s">
        <v>324</v>
      </c>
      <c r="C1800">
        <v>288.39999999999998</v>
      </c>
      <c r="D1800">
        <f t="shared" si="56"/>
        <v>48</v>
      </c>
      <c r="E1800" t="str">
        <f t="shared" si="57"/>
        <v>48. Kazakhstan</v>
      </c>
    </row>
    <row r="1801" spans="1:5" x14ac:dyDescent="0.25">
      <c r="A1801" t="s">
        <v>100</v>
      </c>
      <c r="B1801" t="s">
        <v>324</v>
      </c>
      <c r="C1801">
        <v>279.60000000000002</v>
      </c>
      <c r="D1801">
        <f t="shared" si="56"/>
        <v>49</v>
      </c>
      <c r="E1801" t="str">
        <f t="shared" si="57"/>
        <v>49. Iraq</v>
      </c>
    </row>
    <row r="1802" spans="1:5" x14ac:dyDescent="0.25">
      <c r="A1802" t="s">
        <v>65</v>
      </c>
      <c r="B1802" t="s">
        <v>324</v>
      </c>
      <c r="C1802">
        <v>263.60000000000002</v>
      </c>
      <c r="D1802">
        <f t="shared" si="56"/>
        <v>50</v>
      </c>
      <c r="E1802" t="str">
        <f t="shared" si="57"/>
        <v>50. Algeria</v>
      </c>
    </row>
    <row r="1803" spans="1:5" x14ac:dyDescent="0.25">
      <c r="A1803" t="s">
        <v>155</v>
      </c>
      <c r="B1803" t="s">
        <v>324</v>
      </c>
      <c r="C1803">
        <v>260.2</v>
      </c>
      <c r="D1803">
        <f t="shared" si="56"/>
        <v>51</v>
      </c>
      <c r="E1803" t="str">
        <f t="shared" si="57"/>
        <v>51. New Zealand</v>
      </c>
    </row>
    <row r="1804" spans="1:5" x14ac:dyDescent="0.25">
      <c r="A1804" t="s">
        <v>84</v>
      </c>
      <c r="B1804" t="s">
        <v>324</v>
      </c>
      <c r="C1804">
        <v>257.10000000000002</v>
      </c>
      <c r="D1804">
        <f t="shared" si="56"/>
        <v>52</v>
      </c>
      <c r="E1804" t="str">
        <f t="shared" si="57"/>
        <v>52. Greece</v>
      </c>
    </row>
    <row r="1805" spans="1:5" x14ac:dyDescent="0.25">
      <c r="A1805" t="s">
        <v>94</v>
      </c>
      <c r="B1805" t="s">
        <v>324</v>
      </c>
      <c r="C1805">
        <v>222.9</v>
      </c>
      <c r="D1805">
        <f t="shared" si="56"/>
        <v>53</v>
      </c>
      <c r="E1805" t="str">
        <f t="shared" si="57"/>
        <v>53. Hungary</v>
      </c>
    </row>
    <row r="1806" spans="1:5" x14ac:dyDescent="0.25">
      <c r="A1806" t="s">
        <v>169</v>
      </c>
      <c r="B1806" t="s">
        <v>324</v>
      </c>
      <c r="C1806">
        <v>218</v>
      </c>
      <c r="D1806">
        <f t="shared" si="56"/>
        <v>54</v>
      </c>
      <c r="E1806" t="str">
        <f t="shared" si="57"/>
        <v>54. Qatar</v>
      </c>
    </row>
    <row r="1807" spans="1:5" x14ac:dyDescent="0.25">
      <c r="A1807" t="s">
        <v>207</v>
      </c>
      <c r="B1807" t="s">
        <v>324</v>
      </c>
      <c r="C1807">
        <v>190.7</v>
      </c>
      <c r="D1807">
        <f t="shared" si="56"/>
        <v>55</v>
      </c>
      <c r="E1807" t="str">
        <f t="shared" si="57"/>
        <v>55. Ukraine</v>
      </c>
    </row>
    <row r="1808" spans="1:5" x14ac:dyDescent="0.25">
      <c r="A1808" t="s">
        <v>149</v>
      </c>
      <c r="B1808" t="s">
        <v>324</v>
      </c>
      <c r="C1808">
        <v>187.8</v>
      </c>
      <c r="D1808">
        <f t="shared" si="56"/>
        <v>56</v>
      </c>
      <c r="E1808" t="str">
        <f t="shared" si="57"/>
        <v>56. Nigeria</v>
      </c>
    </row>
    <row r="1809" spans="1:5" x14ac:dyDescent="0.25">
      <c r="A1809" t="s">
        <v>114</v>
      </c>
      <c r="B1809" t="s">
        <v>324</v>
      </c>
      <c r="C1809">
        <v>160.19999999999999</v>
      </c>
      <c r="D1809">
        <f t="shared" si="56"/>
        <v>57</v>
      </c>
      <c r="E1809" t="str">
        <f t="shared" si="57"/>
        <v>57. Kuwait</v>
      </c>
    </row>
    <row r="1810" spans="1:5" x14ac:dyDescent="0.25">
      <c r="A1810" t="s">
        <v>127</v>
      </c>
      <c r="B1810" t="s">
        <v>324</v>
      </c>
      <c r="C1810">
        <v>154.4</v>
      </c>
      <c r="D1810">
        <f t="shared" si="56"/>
        <v>58</v>
      </c>
      <c r="E1810" t="str">
        <f t="shared" si="57"/>
        <v>58. Morocco</v>
      </c>
    </row>
    <row r="1811" spans="1:5" x14ac:dyDescent="0.25">
      <c r="A1811" t="s">
        <v>186</v>
      </c>
      <c r="B1811" t="s">
        <v>324</v>
      </c>
      <c r="C1811">
        <v>141.80000000000001</v>
      </c>
      <c r="D1811">
        <f t="shared" si="56"/>
        <v>59</v>
      </c>
      <c r="E1811" t="str">
        <f t="shared" si="57"/>
        <v>59. Slovak Republic</v>
      </c>
    </row>
    <row r="1812" spans="1:5" x14ac:dyDescent="0.25">
      <c r="A1812" t="s">
        <v>164</v>
      </c>
      <c r="B1812" t="s">
        <v>324</v>
      </c>
      <c r="C1812">
        <v>125.8</v>
      </c>
      <c r="D1812">
        <f t="shared" si="56"/>
        <v>60</v>
      </c>
      <c r="E1812" t="str">
        <f t="shared" si="57"/>
        <v>60. Puerto Rico (US)</v>
      </c>
    </row>
    <row r="1813" spans="1:5" x14ac:dyDescent="0.25">
      <c r="A1813" t="s">
        <v>66</v>
      </c>
      <c r="B1813" t="s">
        <v>324</v>
      </c>
      <c r="C1813">
        <v>124.7</v>
      </c>
      <c r="D1813">
        <f t="shared" si="56"/>
        <v>61</v>
      </c>
      <c r="E1813" t="str">
        <f t="shared" si="57"/>
        <v>61. Ecuador</v>
      </c>
    </row>
    <row r="1814" spans="1:5" x14ac:dyDescent="0.25">
      <c r="A1814" t="s">
        <v>108</v>
      </c>
      <c r="B1814" t="s">
        <v>324</v>
      </c>
      <c r="C1814">
        <v>124.5</v>
      </c>
      <c r="D1814">
        <f t="shared" si="56"/>
        <v>62</v>
      </c>
      <c r="E1814" t="str">
        <f t="shared" si="57"/>
        <v>62. Kenya</v>
      </c>
    </row>
    <row r="1815" spans="1:5" x14ac:dyDescent="0.25">
      <c r="A1815" t="s">
        <v>64</v>
      </c>
      <c r="B1815" t="s">
        <v>324</v>
      </c>
      <c r="C1815">
        <v>124.3</v>
      </c>
      <c r="D1815">
        <f t="shared" si="56"/>
        <v>63</v>
      </c>
      <c r="E1815" t="str">
        <f t="shared" si="57"/>
        <v>63. Dominican Republic</v>
      </c>
    </row>
    <row r="1816" spans="1:5" x14ac:dyDescent="0.25">
      <c r="A1816" t="s">
        <v>210</v>
      </c>
      <c r="B1816" t="s">
        <v>324</v>
      </c>
      <c r="C1816">
        <v>115</v>
      </c>
      <c r="D1816">
        <f t="shared" si="56"/>
        <v>64</v>
      </c>
      <c r="E1816" t="str">
        <f t="shared" si="57"/>
        <v>64. Uzbekistan</v>
      </c>
    </row>
    <row r="1817" spans="1:5" x14ac:dyDescent="0.25">
      <c r="A1817" t="s">
        <v>87</v>
      </c>
      <c r="B1817" t="s">
        <v>324</v>
      </c>
      <c r="C1817">
        <v>113.2</v>
      </c>
      <c r="D1817">
        <f t="shared" si="56"/>
        <v>65</v>
      </c>
      <c r="E1817" t="str">
        <f t="shared" si="57"/>
        <v>65. Guatemala</v>
      </c>
    </row>
    <row r="1818" spans="1:5" x14ac:dyDescent="0.25">
      <c r="A1818" t="s">
        <v>28</v>
      </c>
      <c r="B1818" t="s">
        <v>324</v>
      </c>
      <c r="C1818">
        <v>112.2</v>
      </c>
      <c r="D1818">
        <f t="shared" si="56"/>
        <v>66</v>
      </c>
      <c r="E1818" t="str">
        <f t="shared" si="57"/>
        <v>66. Bulgaria</v>
      </c>
    </row>
    <row r="1819" spans="1:5" x14ac:dyDescent="0.25">
      <c r="A1819" t="s">
        <v>156</v>
      </c>
      <c r="B1819" t="s">
        <v>324</v>
      </c>
      <c r="C1819">
        <v>106.9</v>
      </c>
      <c r="D1819">
        <f t="shared" si="56"/>
        <v>67</v>
      </c>
      <c r="E1819" t="str">
        <f t="shared" si="57"/>
        <v>67. Oman</v>
      </c>
    </row>
    <row r="1820" spans="1:5" x14ac:dyDescent="0.25">
      <c r="A1820" t="s">
        <v>121</v>
      </c>
      <c r="B1820" t="s">
        <v>324</v>
      </c>
      <c r="C1820">
        <v>99</v>
      </c>
      <c r="D1820">
        <f t="shared" si="56"/>
        <v>68</v>
      </c>
      <c r="E1820" t="str">
        <f t="shared" si="57"/>
        <v>68. Sri Lanka</v>
      </c>
    </row>
    <row r="1821" spans="1:5" x14ac:dyDescent="0.25">
      <c r="A1821" t="s">
        <v>54</v>
      </c>
      <c r="B1821" t="s">
        <v>324</v>
      </c>
      <c r="C1821">
        <v>95.4</v>
      </c>
      <c r="D1821">
        <f t="shared" si="56"/>
        <v>69</v>
      </c>
      <c r="E1821" t="str">
        <f t="shared" si="57"/>
        <v>69. Costa Rica</v>
      </c>
    </row>
    <row r="1822" spans="1:5" x14ac:dyDescent="0.25">
      <c r="A1822" t="s">
        <v>124</v>
      </c>
      <c r="B1822" t="s">
        <v>324</v>
      </c>
      <c r="C1822">
        <v>93.2</v>
      </c>
      <c r="D1822">
        <f t="shared" si="56"/>
        <v>70</v>
      </c>
      <c r="E1822" t="str">
        <f t="shared" si="57"/>
        <v>70. Luxembourg</v>
      </c>
    </row>
    <row r="1823" spans="1:5" x14ac:dyDescent="0.25">
      <c r="A1823" t="s">
        <v>92</v>
      </c>
      <c r="B1823" t="s">
        <v>324</v>
      </c>
      <c r="C1823">
        <v>92.5</v>
      </c>
      <c r="D1823">
        <f t="shared" si="56"/>
        <v>71</v>
      </c>
      <c r="E1823" t="str">
        <f t="shared" si="57"/>
        <v>71. Croatia</v>
      </c>
    </row>
    <row r="1824" spans="1:5" x14ac:dyDescent="0.25">
      <c r="A1824" t="s">
        <v>182</v>
      </c>
      <c r="B1824" t="s">
        <v>324</v>
      </c>
      <c r="C1824">
        <v>89.1</v>
      </c>
      <c r="D1824">
        <f t="shared" si="56"/>
        <v>72</v>
      </c>
      <c r="E1824" t="str">
        <f t="shared" si="57"/>
        <v>72. Serbia</v>
      </c>
    </row>
    <row r="1825" spans="1:5" x14ac:dyDescent="0.25">
      <c r="A1825" t="s">
        <v>47</v>
      </c>
      <c r="B1825" t="s">
        <v>324</v>
      </c>
      <c r="C1825">
        <v>86.5</v>
      </c>
      <c r="D1825">
        <f t="shared" si="56"/>
        <v>73</v>
      </c>
      <c r="E1825" t="str">
        <f t="shared" si="57"/>
        <v>73. Cote d'Ivoire</v>
      </c>
    </row>
    <row r="1826" spans="1:5" x14ac:dyDescent="0.25">
      <c r="A1826" t="s">
        <v>158</v>
      </c>
      <c r="B1826" t="s">
        <v>324</v>
      </c>
      <c r="C1826">
        <v>86.3</v>
      </c>
      <c r="D1826">
        <f t="shared" si="56"/>
        <v>74</v>
      </c>
      <c r="E1826" t="str">
        <f t="shared" si="57"/>
        <v>74. Panama</v>
      </c>
    </row>
    <row r="1827" spans="1:5" x14ac:dyDescent="0.25">
      <c r="A1827" t="s">
        <v>123</v>
      </c>
      <c r="B1827" t="s">
        <v>324</v>
      </c>
      <c r="C1827">
        <v>84.9</v>
      </c>
      <c r="D1827">
        <f t="shared" si="56"/>
        <v>75</v>
      </c>
      <c r="E1827" t="str">
        <f t="shared" si="57"/>
        <v>75. Lithuania</v>
      </c>
    </row>
    <row r="1828" spans="1:5" x14ac:dyDescent="0.25">
      <c r="A1828" t="s">
        <v>79</v>
      </c>
      <c r="B1828" t="s">
        <v>324</v>
      </c>
      <c r="C1828">
        <v>82.8</v>
      </c>
      <c r="D1828">
        <f t="shared" si="56"/>
        <v>76</v>
      </c>
      <c r="E1828" t="str">
        <f t="shared" si="57"/>
        <v>76. Ghana</v>
      </c>
    </row>
    <row r="1829" spans="1:5" x14ac:dyDescent="0.25">
      <c r="A1829" t="s">
        <v>208</v>
      </c>
      <c r="B1829" t="s">
        <v>324</v>
      </c>
      <c r="C1829">
        <v>81</v>
      </c>
      <c r="D1829">
        <f t="shared" si="56"/>
        <v>77</v>
      </c>
      <c r="E1829" t="str">
        <f t="shared" si="57"/>
        <v>77. Uruguay</v>
      </c>
    </row>
    <row r="1830" spans="1:5" x14ac:dyDescent="0.25">
      <c r="A1830" t="s">
        <v>12</v>
      </c>
      <c r="B1830" t="s">
        <v>324</v>
      </c>
      <c r="C1830">
        <v>80.400000000000006</v>
      </c>
      <c r="D1830">
        <f t="shared" si="56"/>
        <v>78</v>
      </c>
      <c r="E1830" t="str">
        <f t="shared" si="57"/>
        <v>78. Angola</v>
      </c>
    </row>
    <row r="1831" spans="1:5" x14ac:dyDescent="0.25">
      <c r="A1831" t="s">
        <v>205</v>
      </c>
      <c r="B1831" t="s">
        <v>324</v>
      </c>
      <c r="C1831">
        <v>78.8</v>
      </c>
      <c r="D1831">
        <f t="shared" si="56"/>
        <v>79</v>
      </c>
      <c r="E1831" t="str">
        <f t="shared" si="57"/>
        <v>79. Tanzania</v>
      </c>
    </row>
    <row r="1832" spans="1:5" x14ac:dyDescent="0.25">
      <c r="A1832" t="s">
        <v>32</v>
      </c>
      <c r="B1832" t="s">
        <v>324</v>
      </c>
      <c r="C1832">
        <v>76</v>
      </c>
      <c r="D1832">
        <f t="shared" si="56"/>
        <v>80</v>
      </c>
      <c r="E1832" t="str">
        <f t="shared" si="57"/>
        <v>80. Belarus</v>
      </c>
    </row>
    <row r="1833" spans="1:5" x14ac:dyDescent="0.25">
      <c r="A1833" t="s">
        <v>22</v>
      </c>
      <c r="B1833" t="s">
        <v>324</v>
      </c>
      <c r="C1833">
        <v>74.3</v>
      </c>
      <c r="D1833">
        <f t="shared" si="56"/>
        <v>81</v>
      </c>
      <c r="E1833" t="str">
        <f t="shared" si="57"/>
        <v>81. Azerbaijan</v>
      </c>
    </row>
    <row r="1834" spans="1:5" x14ac:dyDescent="0.25">
      <c r="A1834" t="s">
        <v>137</v>
      </c>
      <c r="B1834" t="s">
        <v>324</v>
      </c>
      <c r="C1834">
        <v>74.099999999999994</v>
      </c>
      <c r="D1834">
        <f t="shared" si="56"/>
        <v>82</v>
      </c>
      <c r="E1834" t="str">
        <f t="shared" si="57"/>
        <v>82. Myanmar</v>
      </c>
    </row>
    <row r="1835" spans="1:5" x14ac:dyDescent="0.25">
      <c r="A1835" t="s">
        <v>187</v>
      </c>
      <c r="B1835" t="s">
        <v>324</v>
      </c>
      <c r="C1835">
        <v>72.5</v>
      </c>
      <c r="D1835">
        <f t="shared" si="56"/>
        <v>83</v>
      </c>
      <c r="E1835" t="str">
        <f t="shared" si="57"/>
        <v>83. Slovenia</v>
      </c>
    </row>
    <row r="1836" spans="1:5" x14ac:dyDescent="0.25">
      <c r="A1836" t="s">
        <v>49</v>
      </c>
      <c r="B1836" t="s">
        <v>324</v>
      </c>
      <c r="C1836">
        <v>70.7</v>
      </c>
      <c r="D1836">
        <f t="shared" si="56"/>
        <v>84</v>
      </c>
      <c r="E1836" t="str">
        <f t="shared" si="57"/>
        <v>84. Congo, Dem. Rep.</v>
      </c>
    </row>
    <row r="1837" spans="1:5" x14ac:dyDescent="0.25">
      <c r="A1837" t="s">
        <v>198</v>
      </c>
      <c r="B1837" t="s">
        <v>324</v>
      </c>
      <c r="C1837">
        <v>64.2</v>
      </c>
      <c r="D1837">
        <f t="shared" si="56"/>
        <v>85</v>
      </c>
      <c r="E1837" t="str">
        <f t="shared" si="57"/>
        <v>85. Turkmenistan</v>
      </c>
    </row>
    <row r="1838" spans="1:5" x14ac:dyDescent="0.25">
      <c r="A1838" t="s">
        <v>206</v>
      </c>
      <c r="B1838" t="s">
        <v>324</v>
      </c>
      <c r="C1838">
        <v>53.7</v>
      </c>
      <c r="D1838">
        <f t="shared" si="56"/>
        <v>86</v>
      </c>
      <c r="E1838" t="str">
        <f t="shared" si="57"/>
        <v>86. Uganda</v>
      </c>
    </row>
    <row r="1839" spans="1:5" x14ac:dyDescent="0.25">
      <c r="A1839" t="s">
        <v>105</v>
      </c>
      <c r="B1839" t="s">
        <v>324</v>
      </c>
      <c r="C1839">
        <v>53.4</v>
      </c>
      <c r="D1839">
        <f t="shared" si="56"/>
        <v>87</v>
      </c>
      <c r="E1839" t="str">
        <f t="shared" si="57"/>
        <v>87. Jordan</v>
      </c>
    </row>
    <row r="1840" spans="1:5" x14ac:dyDescent="0.25">
      <c r="A1840" t="s">
        <v>202</v>
      </c>
      <c r="B1840" t="s">
        <v>324</v>
      </c>
      <c r="C1840">
        <v>53.4</v>
      </c>
      <c r="D1840">
        <f t="shared" si="56"/>
        <v>88</v>
      </c>
      <c r="E1840" t="str">
        <f t="shared" si="57"/>
        <v>88. Tunisia</v>
      </c>
    </row>
    <row r="1841" spans="1:5" x14ac:dyDescent="0.25">
      <c r="A1841" t="s">
        <v>48</v>
      </c>
      <c r="B1841" t="s">
        <v>324</v>
      </c>
      <c r="C1841">
        <v>51.3</v>
      </c>
      <c r="D1841">
        <f t="shared" si="56"/>
        <v>89</v>
      </c>
      <c r="E1841" t="str">
        <f t="shared" si="57"/>
        <v>89. Cameroon</v>
      </c>
    </row>
    <row r="1842" spans="1:5" x14ac:dyDescent="0.25">
      <c r="A1842" t="s">
        <v>126</v>
      </c>
      <c r="B1842" t="s">
        <v>324</v>
      </c>
      <c r="C1842">
        <v>50.2</v>
      </c>
      <c r="D1842">
        <f t="shared" si="56"/>
        <v>90</v>
      </c>
      <c r="E1842" t="str">
        <f t="shared" si="57"/>
        <v>90. Macao SAR, China</v>
      </c>
    </row>
    <row r="1843" spans="1:5" x14ac:dyDescent="0.25">
      <c r="A1843" t="s">
        <v>174</v>
      </c>
      <c r="B1843" t="s">
        <v>324</v>
      </c>
      <c r="C1843">
        <v>49.9</v>
      </c>
      <c r="D1843">
        <f t="shared" si="56"/>
        <v>91</v>
      </c>
      <c r="E1843" t="str">
        <f t="shared" si="57"/>
        <v>91. Sudan</v>
      </c>
    </row>
    <row r="1844" spans="1:5" x14ac:dyDescent="0.25">
      <c r="A1844" t="s">
        <v>35</v>
      </c>
      <c r="B1844" t="s">
        <v>324</v>
      </c>
      <c r="C1844">
        <v>49.7</v>
      </c>
      <c r="D1844">
        <f t="shared" si="56"/>
        <v>92</v>
      </c>
      <c r="E1844" t="str">
        <f t="shared" si="57"/>
        <v>92. Bolivia</v>
      </c>
    </row>
    <row r="1845" spans="1:5" x14ac:dyDescent="0.25">
      <c r="A1845" t="s">
        <v>29</v>
      </c>
      <c r="B1845" t="s">
        <v>324</v>
      </c>
      <c r="C1845">
        <v>47.7</v>
      </c>
      <c r="D1845">
        <f t="shared" si="56"/>
        <v>93</v>
      </c>
      <c r="E1845" t="str">
        <f t="shared" si="57"/>
        <v>93. Bahrain</v>
      </c>
    </row>
    <row r="1846" spans="1:5" x14ac:dyDescent="0.25">
      <c r="A1846" t="s">
        <v>118</v>
      </c>
      <c r="B1846" t="s">
        <v>324</v>
      </c>
      <c r="C1846">
        <v>46.6</v>
      </c>
      <c r="D1846">
        <f t="shared" si="56"/>
        <v>94</v>
      </c>
      <c r="E1846" t="str">
        <f t="shared" si="57"/>
        <v>94. Libya</v>
      </c>
    </row>
    <row r="1847" spans="1:5" x14ac:dyDescent="0.25">
      <c r="A1847" t="s">
        <v>110</v>
      </c>
      <c r="B1847" t="s">
        <v>324</v>
      </c>
      <c r="C1847">
        <v>46.4</v>
      </c>
      <c r="D1847">
        <f t="shared" si="56"/>
        <v>95</v>
      </c>
      <c r="E1847" t="str">
        <f t="shared" si="57"/>
        <v>95. Cambodia</v>
      </c>
    </row>
    <row r="1848" spans="1:5" x14ac:dyDescent="0.25">
      <c r="A1848" t="s">
        <v>166</v>
      </c>
      <c r="B1848" t="s">
        <v>324</v>
      </c>
      <c r="C1848">
        <v>44.5</v>
      </c>
      <c r="D1848">
        <f t="shared" si="56"/>
        <v>96</v>
      </c>
      <c r="E1848" t="str">
        <f t="shared" si="57"/>
        <v>96. Paraguay</v>
      </c>
    </row>
    <row r="1849" spans="1:5" x14ac:dyDescent="0.25">
      <c r="A1849" t="s">
        <v>220</v>
      </c>
      <c r="B1849" t="s">
        <v>324</v>
      </c>
      <c r="C1849">
        <v>44.2</v>
      </c>
      <c r="D1849">
        <f t="shared" si="56"/>
        <v>97</v>
      </c>
      <c r="E1849" t="str">
        <f t="shared" si="57"/>
        <v>97. Zimbabwe</v>
      </c>
    </row>
    <row r="1850" spans="1:5" x14ac:dyDescent="0.25">
      <c r="A1850" t="s">
        <v>125</v>
      </c>
      <c r="B1850" t="s">
        <v>324</v>
      </c>
      <c r="C1850">
        <v>43.5</v>
      </c>
      <c r="D1850">
        <f t="shared" si="56"/>
        <v>98</v>
      </c>
      <c r="E1850" t="str">
        <f t="shared" si="57"/>
        <v>98. Latvia</v>
      </c>
    </row>
    <row r="1851" spans="1:5" x14ac:dyDescent="0.25">
      <c r="A1851" t="s">
        <v>153</v>
      </c>
      <c r="B1851" t="s">
        <v>324</v>
      </c>
      <c r="C1851">
        <v>42.9</v>
      </c>
      <c r="D1851">
        <f t="shared" si="56"/>
        <v>99</v>
      </c>
      <c r="E1851" t="str">
        <f t="shared" si="57"/>
        <v>99. Nepal</v>
      </c>
    </row>
    <row r="1852" spans="1:5" x14ac:dyDescent="0.25">
      <c r="A1852" t="s">
        <v>69</v>
      </c>
      <c r="B1852" t="s">
        <v>324</v>
      </c>
      <c r="C1852">
        <v>42.8</v>
      </c>
      <c r="D1852">
        <f t="shared" si="56"/>
        <v>100</v>
      </c>
      <c r="E1852" t="str">
        <f t="shared" si="57"/>
        <v>100. Estonia</v>
      </c>
    </row>
    <row r="1853" spans="1:5" x14ac:dyDescent="0.25">
      <c r="A1853" t="s">
        <v>91</v>
      </c>
      <c r="B1853" t="s">
        <v>324</v>
      </c>
      <c r="C1853">
        <v>37.1</v>
      </c>
      <c r="D1853">
        <f t="shared" si="56"/>
        <v>101</v>
      </c>
      <c r="E1853" t="str">
        <f t="shared" si="57"/>
        <v>101. Honduras</v>
      </c>
    </row>
    <row r="1854" spans="1:5" x14ac:dyDescent="0.25">
      <c r="A1854" t="s">
        <v>58</v>
      </c>
      <c r="B1854" t="s">
        <v>324</v>
      </c>
      <c r="C1854">
        <v>36.299999999999997</v>
      </c>
      <c r="D1854">
        <f t="shared" si="56"/>
        <v>102</v>
      </c>
      <c r="E1854" t="str">
        <f t="shared" si="57"/>
        <v>102. Cyprus</v>
      </c>
    </row>
    <row r="1855" spans="1:5" x14ac:dyDescent="0.25">
      <c r="A1855" t="s">
        <v>179</v>
      </c>
      <c r="B1855" t="s">
        <v>324</v>
      </c>
      <c r="C1855">
        <v>35.4</v>
      </c>
      <c r="D1855">
        <f t="shared" si="56"/>
        <v>103</v>
      </c>
      <c r="E1855" t="str">
        <f t="shared" si="57"/>
        <v>103. El Salvador</v>
      </c>
    </row>
    <row r="1856" spans="1:5" x14ac:dyDescent="0.25">
      <c r="A1856" t="s">
        <v>78</v>
      </c>
      <c r="B1856" t="s">
        <v>324</v>
      </c>
      <c r="C1856">
        <v>33.799999999999997</v>
      </c>
      <c r="D1856">
        <f t="shared" si="56"/>
        <v>104</v>
      </c>
      <c r="E1856" t="str">
        <f t="shared" si="57"/>
        <v>104. Georgia</v>
      </c>
    </row>
    <row r="1857" spans="1:5" x14ac:dyDescent="0.25">
      <c r="A1857" t="s">
        <v>101</v>
      </c>
      <c r="B1857" t="s">
        <v>324</v>
      </c>
      <c r="C1857">
        <v>33.5</v>
      </c>
      <c r="D1857">
        <f t="shared" si="56"/>
        <v>105</v>
      </c>
      <c r="E1857" t="str">
        <f t="shared" si="57"/>
        <v>105. Iceland</v>
      </c>
    </row>
    <row r="1858" spans="1:5" x14ac:dyDescent="0.25">
      <c r="A1858" t="s">
        <v>162</v>
      </c>
      <c r="B1858" t="s">
        <v>324</v>
      </c>
      <c r="C1858">
        <v>32.5</v>
      </c>
      <c r="D1858">
        <f t="shared" si="56"/>
        <v>106</v>
      </c>
      <c r="E1858" t="str">
        <f t="shared" si="57"/>
        <v>106. Papua New Guinea</v>
      </c>
    </row>
    <row r="1859" spans="1:5" x14ac:dyDescent="0.25">
      <c r="A1859" t="s">
        <v>175</v>
      </c>
      <c r="B1859" t="s">
        <v>324</v>
      </c>
      <c r="C1859">
        <v>32.299999999999997</v>
      </c>
      <c r="D1859">
        <f t="shared" ref="D1859:D1922" si="58">IF(ROW() = 2, 1, IF(B1859 = B1858, D1858 + 1, 1))</f>
        <v>107</v>
      </c>
      <c r="E1859" t="str">
        <f t="shared" ref="E1859:E1922" si="59">_xlfn.CONCAT(D1859, ". ", A1859)</f>
        <v>107. Senegal</v>
      </c>
    </row>
    <row r="1860" spans="1:5" x14ac:dyDescent="0.25">
      <c r="A1860" t="s">
        <v>31</v>
      </c>
      <c r="B1860" t="s">
        <v>324</v>
      </c>
      <c r="C1860">
        <v>28.3</v>
      </c>
      <c r="D1860">
        <f t="shared" si="58"/>
        <v>108</v>
      </c>
      <c r="E1860" t="str">
        <f t="shared" si="59"/>
        <v>108. Bosnia and Herzegovina</v>
      </c>
    </row>
    <row r="1861" spans="1:5" x14ac:dyDescent="0.25">
      <c r="A1861" t="s">
        <v>13</v>
      </c>
      <c r="B1861" t="s">
        <v>324</v>
      </c>
      <c r="C1861">
        <v>27.2</v>
      </c>
      <c r="D1861">
        <f t="shared" si="58"/>
        <v>109</v>
      </c>
      <c r="E1861" t="str">
        <f t="shared" si="59"/>
        <v>109. Albania</v>
      </c>
    </row>
    <row r="1862" spans="1:5" x14ac:dyDescent="0.25">
      <c r="A1862" t="s">
        <v>135</v>
      </c>
      <c r="B1862" t="s">
        <v>324</v>
      </c>
      <c r="C1862">
        <v>26.6</v>
      </c>
      <c r="D1862">
        <f t="shared" si="58"/>
        <v>110</v>
      </c>
      <c r="E1862" t="str">
        <f t="shared" si="59"/>
        <v>110. Mali</v>
      </c>
    </row>
    <row r="1863" spans="1:5" x14ac:dyDescent="0.25">
      <c r="A1863" t="s">
        <v>201</v>
      </c>
      <c r="B1863" t="s">
        <v>324</v>
      </c>
      <c r="C1863">
        <v>26.4</v>
      </c>
      <c r="D1863">
        <f t="shared" si="58"/>
        <v>111</v>
      </c>
      <c r="E1863" t="str">
        <f t="shared" si="59"/>
        <v>111. Trinidad and Tobago</v>
      </c>
    </row>
    <row r="1864" spans="1:5" x14ac:dyDescent="0.25">
      <c r="A1864" t="s">
        <v>219</v>
      </c>
      <c r="B1864" t="s">
        <v>324</v>
      </c>
      <c r="C1864">
        <v>26.3</v>
      </c>
      <c r="D1864">
        <f t="shared" si="58"/>
        <v>112</v>
      </c>
      <c r="E1864" t="str">
        <f t="shared" si="59"/>
        <v>112. Zambia</v>
      </c>
    </row>
    <row r="1865" spans="1:5" x14ac:dyDescent="0.25">
      <c r="A1865" t="s">
        <v>17</v>
      </c>
      <c r="B1865" t="s">
        <v>324</v>
      </c>
      <c r="C1865">
        <v>25.8</v>
      </c>
      <c r="D1865">
        <f t="shared" si="58"/>
        <v>113</v>
      </c>
      <c r="E1865" t="str">
        <f t="shared" si="59"/>
        <v>113. Armenia</v>
      </c>
    </row>
    <row r="1866" spans="1:5" x14ac:dyDescent="0.25">
      <c r="A1866" t="s">
        <v>80</v>
      </c>
      <c r="B1866" t="s">
        <v>324</v>
      </c>
      <c r="C1866">
        <v>25.3</v>
      </c>
      <c r="D1866">
        <f t="shared" si="58"/>
        <v>114</v>
      </c>
      <c r="E1866" t="str">
        <f t="shared" si="59"/>
        <v>114. Guinea</v>
      </c>
    </row>
    <row r="1867" spans="1:5" x14ac:dyDescent="0.25">
      <c r="A1867" t="s">
        <v>93</v>
      </c>
      <c r="B1867" t="s">
        <v>324</v>
      </c>
      <c r="C1867">
        <v>25.2</v>
      </c>
      <c r="D1867">
        <f t="shared" si="58"/>
        <v>115</v>
      </c>
      <c r="E1867" t="str">
        <f t="shared" si="59"/>
        <v>115. Haiti</v>
      </c>
    </row>
    <row r="1868" spans="1:5" x14ac:dyDescent="0.25">
      <c r="A1868" t="s">
        <v>89</v>
      </c>
      <c r="B1868" t="s">
        <v>324</v>
      </c>
      <c r="C1868">
        <v>24.8</v>
      </c>
      <c r="D1868">
        <f t="shared" si="58"/>
        <v>116</v>
      </c>
      <c r="E1868" t="str">
        <f t="shared" si="59"/>
        <v>116. Guyana</v>
      </c>
    </row>
    <row r="1869" spans="1:5" x14ac:dyDescent="0.25">
      <c r="A1869" t="s">
        <v>136</v>
      </c>
      <c r="B1869" t="s">
        <v>324</v>
      </c>
      <c r="C1869">
        <v>24.3</v>
      </c>
      <c r="D1869">
        <f t="shared" si="58"/>
        <v>117</v>
      </c>
      <c r="E1869" t="str">
        <f t="shared" si="59"/>
        <v>117. Malta</v>
      </c>
    </row>
    <row r="1870" spans="1:5" x14ac:dyDescent="0.25">
      <c r="A1870" t="s">
        <v>139</v>
      </c>
      <c r="B1870" t="s">
        <v>324</v>
      </c>
      <c r="C1870">
        <v>23.6</v>
      </c>
      <c r="D1870">
        <f t="shared" si="58"/>
        <v>118</v>
      </c>
      <c r="E1870" t="str">
        <f t="shared" si="59"/>
        <v>118. Mongolia</v>
      </c>
    </row>
    <row r="1871" spans="1:5" x14ac:dyDescent="0.25">
      <c r="A1871" t="s">
        <v>26</v>
      </c>
      <c r="B1871" t="s">
        <v>324</v>
      </c>
      <c r="C1871">
        <v>23.3</v>
      </c>
      <c r="D1871">
        <f t="shared" si="58"/>
        <v>119</v>
      </c>
      <c r="E1871" t="str">
        <f t="shared" si="59"/>
        <v>119. Burkina Faso</v>
      </c>
    </row>
    <row r="1872" spans="1:5" x14ac:dyDescent="0.25">
      <c r="A1872" t="s">
        <v>141</v>
      </c>
      <c r="B1872" t="s">
        <v>324</v>
      </c>
      <c r="C1872">
        <v>22.4</v>
      </c>
      <c r="D1872">
        <f t="shared" si="58"/>
        <v>120</v>
      </c>
      <c r="E1872" t="str">
        <f t="shared" si="59"/>
        <v>120. Mozambique</v>
      </c>
    </row>
    <row r="1873" spans="1:5" x14ac:dyDescent="0.25">
      <c r="A1873" t="s">
        <v>25</v>
      </c>
      <c r="B1873" t="s">
        <v>324</v>
      </c>
      <c r="C1873">
        <v>21.5</v>
      </c>
      <c r="D1873">
        <f t="shared" si="58"/>
        <v>121</v>
      </c>
      <c r="E1873" t="str">
        <f t="shared" si="59"/>
        <v>121. Benin</v>
      </c>
    </row>
    <row r="1874" spans="1:5" x14ac:dyDescent="0.25">
      <c r="A1874" t="s">
        <v>76</v>
      </c>
      <c r="B1874" t="s">
        <v>324</v>
      </c>
      <c r="C1874">
        <v>20.9</v>
      </c>
      <c r="D1874">
        <f t="shared" si="58"/>
        <v>122</v>
      </c>
      <c r="E1874" t="str">
        <f t="shared" si="59"/>
        <v>122. Gabon</v>
      </c>
    </row>
    <row r="1875" spans="1:5" x14ac:dyDescent="0.25">
      <c r="A1875" t="s">
        <v>194</v>
      </c>
      <c r="B1875" t="s">
        <v>324</v>
      </c>
      <c r="C1875">
        <v>20.6</v>
      </c>
      <c r="D1875">
        <f t="shared" si="58"/>
        <v>123</v>
      </c>
      <c r="E1875" t="str">
        <f t="shared" si="59"/>
        <v>123. Chad</v>
      </c>
    </row>
    <row r="1876" spans="1:5" x14ac:dyDescent="0.25">
      <c r="A1876" t="s">
        <v>104</v>
      </c>
      <c r="B1876" t="s">
        <v>324</v>
      </c>
      <c r="C1876">
        <v>19.899999999999999</v>
      </c>
      <c r="D1876">
        <f t="shared" si="58"/>
        <v>124</v>
      </c>
      <c r="E1876" t="str">
        <f t="shared" si="59"/>
        <v>124. Jamaica</v>
      </c>
    </row>
    <row r="1877" spans="1:5" x14ac:dyDescent="0.25">
      <c r="A1877" t="s">
        <v>150</v>
      </c>
      <c r="B1877" t="s">
        <v>324</v>
      </c>
      <c r="C1877">
        <v>19.7</v>
      </c>
      <c r="D1877">
        <f t="shared" si="58"/>
        <v>125</v>
      </c>
      <c r="E1877" t="str">
        <f t="shared" si="59"/>
        <v>125. Nicaragua</v>
      </c>
    </row>
    <row r="1878" spans="1:5" x14ac:dyDescent="0.25">
      <c r="A1878" t="s">
        <v>148</v>
      </c>
      <c r="B1878" t="s">
        <v>324</v>
      </c>
      <c r="C1878">
        <v>19.5</v>
      </c>
      <c r="D1878">
        <f t="shared" si="58"/>
        <v>126</v>
      </c>
      <c r="E1878" t="str">
        <f t="shared" si="59"/>
        <v>126. Niger</v>
      </c>
    </row>
    <row r="1879" spans="1:5" x14ac:dyDescent="0.25">
      <c r="A1879" t="s">
        <v>40</v>
      </c>
      <c r="B1879" t="s">
        <v>324</v>
      </c>
      <c r="C1879">
        <v>19.399999999999999</v>
      </c>
      <c r="D1879">
        <f t="shared" si="58"/>
        <v>127</v>
      </c>
      <c r="E1879" t="str">
        <f t="shared" si="59"/>
        <v>127. Botswana</v>
      </c>
    </row>
    <row r="1880" spans="1:5" x14ac:dyDescent="0.25">
      <c r="A1880" t="s">
        <v>129</v>
      </c>
      <c r="B1880" t="s">
        <v>324</v>
      </c>
      <c r="C1880">
        <v>18.2</v>
      </c>
      <c r="D1880">
        <f t="shared" si="58"/>
        <v>128</v>
      </c>
      <c r="E1880" t="str">
        <f t="shared" si="59"/>
        <v>128. Moldova</v>
      </c>
    </row>
    <row r="1881" spans="1:5" x14ac:dyDescent="0.25">
      <c r="A1881" t="s">
        <v>109</v>
      </c>
      <c r="B1881" t="s">
        <v>324</v>
      </c>
      <c r="C1881">
        <v>17.5</v>
      </c>
      <c r="D1881">
        <f t="shared" si="58"/>
        <v>129</v>
      </c>
      <c r="E1881" t="str">
        <f t="shared" si="59"/>
        <v>129. Kyrgyz Republic</v>
      </c>
    </row>
    <row r="1882" spans="1:5" x14ac:dyDescent="0.25">
      <c r="A1882" t="s">
        <v>130</v>
      </c>
      <c r="B1882" t="s">
        <v>324</v>
      </c>
      <c r="C1882">
        <v>17.399999999999999</v>
      </c>
      <c r="D1882">
        <f t="shared" si="58"/>
        <v>130</v>
      </c>
      <c r="E1882" t="str">
        <f t="shared" si="59"/>
        <v>130. Madagascar</v>
      </c>
    </row>
    <row r="1883" spans="1:5" x14ac:dyDescent="0.25">
      <c r="A1883" t="s">
        <v>134</v>
      </c>
      <c r="B1883" t="s">
        <v>324</v>
      </c>
      <c r="C1883">
        <v>16.7</v>
      </c>
      <c r="D1883">
        <f t="shared" si="58"/>
        <v>131</v>
      </c>
      <c r="E1883" t="str">
        <f t="shared" si="59"/>
        <v>131. North Macedonia</v>
      </c>
    </row>
    <row r="1884" spans="1:5" x14ac:dyDescent="0.25">
      <c r="A1884" t="s">
        <v>115</v>
      </c>
      <c r="B1884" t="s">
        <v>324</v>
      </c>
      <c r="C1884">
        <v>16.5</v>
      </c>
      <c r="D1884">
        <f t="shared" si="58"/>
        <v>132</v>
      </c>
      <c r="E1884" t="str">
        <f t="shared" si="59"/>
        <v>132. Lao PDR</v>
      </c>
    </row>
    <row r="1885" spans="1:5" x14ac:dyDescent="0.25">
      <c r="A1885" t="s">
        <v>30</v>
      </c>
      <c r="B1885" t="s">
        <v>324</v>
      </c>
      <c r="C1885">
        <v>15.8</v>
      </c>
      <c r="D1885">
        <f t="shared" si="58"/>
        <v>133</v>
      </c>
      <c r="E1885" t="str">
        <f t="shared" si="59"/>
        <v>133. Bahamas, The</v>
      </c>
    </row>
    <row r="1886" spans="1:5" x14ac:dyDescent="0.25">
      <c r="A1886" t="s">
        <v>50</v>
      </c>
      <c r="B1886" t="s">
        <v>324</v>
      </c>
      <c r="C1886">
        <v>15.7</v>
      </c>
      <c r="D1886">
        <f t="shared" si="58"/>
        <v>134</v>
      </c>
      <c r="E1886" t="str">
        <f t="shared" si="59"/>
        <v>134. Congo, Rep.</v>
      </c>
    </row>
    <row r="1887" spans="1:5" x14ac:dyDescent="0.25">
      <c r="A1887" t="s">
        <v>38</v>
      </c>
      <c r="B1887" t="s">
        <v>324</v>
      </c>
      <c r="C1887">
        <v>15.5</v>
      </c>
      <c r="D1887">
        <f t="shared" si="58"/>
        <v>135</v>
      </c>
      <c r="E1887" t="str">
        <f t="shared" si="59"/>
        <v>135. Brunei Darussalam</v>
      </c>
    </row>
    <row r="1888" spans="1:5" x14ac:dyDescent="0.25">
      <c r="A1888" t="s">
        <v>143</v>
      </c>
      <c r="B1888" t="s">
        <v>324</v>
      </c>
      <c r="C1888">
        <v>15</v>
      </c>
      <c r="D1888">
        <f t="shared" si="58"/>
        <v>136</v>
      </c>
      <c r="E1888" t="str">
        <f t="shared" si="59"/>
        <v>136. Mauritius</v>
      </c>
    </row>
    <row r="1889" spans="1:5" x14ac:dyDescent="0.25">
      <c r="A1889" t="s">
        <v>172</v>
      </c>
      <c r="B1889" t="s">
        <v>324</v>
      </c>
      <c r="C1889">
        <v>14.3</v>
      </c>
      <c r="D1889">
        <f t="shared" si="58"/>
        <v>137</v>
      </c>
      <c r="E1889" t="str">
        <f t="shared" si="59"/>
        <v>137. Rwanda</v>
      </c>
    </row>
    <row r="1890" spans="1:5" x14ac:dyDescent="0.25">
      <c r="A1890" t="s">
        <v>197</v>
      </c>
      <c r="B1890" t="s">
        <v>324</v>
      </c>
      <c r="C1890">
        <v>14.2</v>
      </c>
      <c r="D1890">
        <f t="shared" si="58"/>
        <v>138</v>
      </c>
      <c r="E1890" t="str">
        <f t="shared" si="59"/>
        <v>138. Tajikistan</v>
      </c>
    </row>
    <row r="1891" spans="1:5" x14ac:dyDescent="0.25">
      <c r="A1891" t="s">
        <v>167</v>
      </c>
      <c r="B1891" t="s">
        <v>324</v>
      </c>
      <c r="C1891">
        <v>13.7</v>
      </c>
      <c r="D1891">
        <f t="shared" si="58"/>
        <v>139</v>
      </c>
      <c r="E1891" t="str">
        <f t="shared" si="59"/>
        <v>139. West Bank and Gaza</v>
      </c>
    </row>
    <row r="1892" spans="1:5" x14ac:dyDescent="0.25">
      <c r="A1892" t="s">
        <v>146</v>
      </c>
      <c r="B1892" t="s">
        <v>324</v>
      </c>
      <c r="C1892">
        <v>13.4</v>
      </c>
      <c r="D1892">
        <f t="shared" si="58"/>
        <v>140</v>
      </c>
      <c r="E1892" t="str">
        <f t="shared" si="59"/>
        <v>140. Namibia</v>
      </c>
    </row>
    <row r="1893" spans="1:5" x14ac:dyDescent="0.25">
      <c r="A1893" t="s">
        <v>83</v>
      </c>
      <c r="B1893" t="s">
        <v>324</v>
      </c>
      <c r="C1893">
        <v>12.8</v>
      </c>
      <c r="D1893">
        <f t="shared" si="58"/>
        <v>141</v>
      </c>
      <c r="E1893" t="str">
        <f t="shared" si="59"/>
        <v>141. Equatorial Guinea</v>
      </c>
    </row>
    <row r="1894" spans="1:5" x14ac:dyDescent="0.25">
      <c r="A1894" t="s">
        <v>181</v>
      </c>
      <c r="B1894" t="s">
        <v>324</v>
      </c>
      <c r="C1894">
        <v>12.1</v>
      </c>
      <c r="D1894">
        <f t="shared" si="58"/>
        <v>142</v>
      </c>
      <c r="E1894" t="str">
        <f t="shared" si="59"/>
        <v>142. Somalia</v>
      </c>
    </row>
    <row r="1895" spans="1:5" x14ac:dyDescent="0.25">
      <c r="A1895" t="s">
        <v>216</v>
      </c>
      <c r="B1895" t="s">
        <v>324</v>
      </c>
      <c r="C1895">
        <v>11.1</v>
      </c>
      <c r="D1895">
        <f t="shared" si="58"/>
        <v>143</v>
      </c>
      <c r="E1895" t="str">
        <f t="shared" si="59"/>
        <v>143. Kosovo</v>
      </c>
    </row>
    <row r="1896" spans="1:5" x14ac:dyDescent="0.25">
      <c r="A1896" t="s">
        <v>144</v>
      </c>
      <c r="B1896" t="s">
        <v>324</v>
      </c>
      <c r="C1896">
        <v>11</v>
      </c>
      <c r="D1896">
        <f t="shared" si="58"/>
        <v>144</v>
      </c>
      <c r="E1896" t="str">
        <f t="shared" si="59"/>
        <v>144. Malawi</v>
      </c>
    </row>
    <row r="1897" spans="1:5" x14ac:dyDescent="0.25">
      <c r="A1897" t="s">
        <v>142</v>
      </c>
      <c r="B1897" t="s">
        <v>324</v>
      </c>
      <c r="C1897">
        <v>10.8</v>
      </c>
      <c r="D1897">
        <f t="shared" si="58"/>
        <v>145</v>
      </c>
      <c r="E1897" t="str">
        <f t="shared" si="59"/>
        <v>145. Mauritania</v>
      </c>
    </row>
    <row r="1898" spans="1:5" x14ac:dyDescent="0.25">
      <c r="A1898" t="s">
        <v>195</v>
      </c>
      <c r="B1898" t="s">
        <v>324</v>
      </c>
      <c r="C1898">
        <v>9.9</v>
      </c>
      <c r="D1898">
        <f t="shared" si="58"/>
        <v>146</v>
      </c>
      <c r="E1898" t="str">
        <f t="shared" si="59"/>
        <v>146. Togo</v>
      </c>
    </row>
    <row r="1899" spans="1:5" x14ac:dyDescent="0.25">
      <c r="A1899" t="s">
        <v>34</v>
      </c>
      <c r="B1899" t="s">
        <v>324</v>
      </c>
      <c r="C1899">
        <v>9</v>
      </c>
      <c r="D1899">
        <f t="shared" si="58"/>
        <v>147</v>
      </c>
      <c r="E1899" t="str">
        <f t="shared" si="59"/>
        <v>147. Bermuda</v>
      </c>
    </row>
    <row r="1900" spans="1:5" x14ac:dyDescent="0.25">
      <c r="A1900" t="s">
        <v>138</v>
      </c>
      <c r="B1900" t="s">
        <v>324</v>
      </c>
      <c r="C1900">
        <v>8.1</v>
      </c>
      <c r="D1900">
        <f t="shared" si="58"/>
        <v>148</v>
      </c>
      <c r="E1900" t="str">
        <f t="shared" si="59"/>
        <v>148. Montenegro</v>
      </c>
    </row>
    <row r="1901" spans="1:5" x14ac:dyDescent="0.25">
      <c r="A1901" t="s">
        <v>178</v>
      </c>
      <c r="B1901" t="s">
        <v>324</v>
      </c>
      <c r="C1901">
        <v>7.5</v>
      </c>
      <c r="D1901">
        <f t="shared" si="58"/>
        <v>149</v>
      </c>
      <c r="E1901" t="str">
        <f t="shared" si="59"/>
        <v>149. Sierra Leone</v>
      </c>
    </row>
    <row r="1902" spans="1:5" x14ac:dyDescent="0.25">
      <c r="A1902" t="s">
        <v>37</v>
      </c>
      <c r="B1902" t="s">
        <v>324</v>
      </c>
      <c r="C1902">
        <v>7.2</v>
      </c>
      <c r="D1902">
        <f t="shared" si="58"/>
        <v>150</v>
      </c>
      <c r="E1902" t="str">
        <f t="shared" si="59"/>
        <v>150. Barbados</v>
      </c>
    </row>
    <row r="1903" spans="1:5" x14ac:dyDescent="0.25">
      <c r="A1903" t="s">
        <v>131</v>
      </c>
      <c r="B1903" t="s">
        <v>324</v>
      </c>
      <c r="C1903">
        <v>7</v>
      </c>
      <c r="D1903">
        <f t="shared" si="58"/>
        <v>151</v>
      </c>
      <c r="E1903" t="str">
        <f t="shared" si="59"/>
        <v>151. Maldives</v>
      </c>
    </row>
    <row r="1904" spans="1:5" x14ac:dyDescent="0.25">
      <c r="A1904" t="s">
        <v>72</v>
      </c>
      <c r="B1904" t="s">
        <v>324</v>
      </c>
      <c r="C1904">
        <v>5.8</v>
      </c>
      <c r="D1904">
        <f t="shared" si="58"/>
        <v>152</v>
      </c>
      <c r="E1904" t="str">
        <f t="shared" si="59"/>
        <v>152. Fiji</v>
      </c>
    </row>
    <row r="1905" spans="1:5" x14ac:dyDescent="0.25">
      <c r="A1905" t="s">
        <v>189</v>
      </c>
      <c r="B1905" t="s">
        <v>324</v>
      </c>
      <c r="C1905">
        <v>4.9000000000000004</v>
      </c>
      <c r="D1905">
        <f t="shared" si="58"/>
        <v>153</v>
      </c>
      <c r="E1905" t="str">
        <f t="shared" si="59"/>
        <v>153. Eswatini</v>
      </c>
    </row>
    <row r="1906" spans="1:5" x14ac:dyDescent="0.25">
      <c r="A1906" t="s">
        <v>117</v>
      </c>
      <c r="B1906" t="s">
        <v>324</v>
      </c>
      <c r="C1906">
        <v>4.8</v>
      </c>
      <c r="D1906">
        <f t="shared" si="58"/>
        <v>154</v>
      </c>
      <c r="E1906" t="str">
        <f t="shared" si="59"/>
        <v>154. Liberia</v>
      </c>
    </row>
    <row r="1907" spans="1:5" x14ac:dyDescent="0.25">
      <c r="A1907" t="s">
        <v>185</v>
      </c>
      <c r="B1907" t="s">
        <v>324</v>
      </c>
      <c r="C1907">
        <v>4.7</v>
      </c>
      <c r="D1907">
        <f t="shared" si="58"/>
        <v>155</v>
      </c>
      <c r="E1907" t="str">
        <f t="shared" si="59"/>
        <v>155. Suriname</v>
      </c>
    </row>
    <row r="1908" spans="1:5" x14ac:dyDescent="0.25">
      <c r="A1908" t="s">
        <v>61</v>
      </c>
      <c r="B1908" t="s">
        <v>324</v>
      </c>
      <c r="C1908">
        <v>4.0999999999999996</v>
      </c>
      <c r="D1908">
        <f t="shared" si="58"/>
        <v>156</v>
      </c>
      <c r="E1908" t="str">
        <f t="shared" si="59"/>
        <v>156. Djibouti</v>
      </c>
    </row>
    <row r="1909" spans="1:5" x14ac:dyDescent="0.25">
      <c r="A1909" t="s">
        <v>14</v>
      </c>
      <c r="B1909" t="s">
        <v>324</v>
      </c>
      <c r="C1909">
        <v>4</v>
      </c>
      <c r="D1909">
        <f t="shared" si="58"/>
        <v>157</v>
      </c>
      <c r="E1909" t="str">
        <f t="shared" si="59"/>
        <v>157. Andorra</v>
      </c>
    </row>
    <row r="1910" spans="1:5" x14ac:dyDescent="0.25">
      <c r="A1910" t="s">
        <v>33</v>
      </c>
      <c r="B1910" t="s">
        <v>324</v>
      </c>
      <c r="C1910">
        <v>3.5</v>
      </c>
      <c r="D1910">
        <f t="shared" si="58"/>
        <v>158</v>
      </c>
      <c r="E1910" t="str">
        <f t="shared" si="59"/>
        <v>158. Belize</v>
      </c>
    </row>
    <row r="1911" spans="1:5" x14ac:dyDescent="0.25">
      <c r="A1911" t="s">
        <v>53</v>
      </c>
      <c r="B1911" t="s">
        <v>324</v>
      </c>
      <c r="C1911">
        <v>2.8</v>
      </c>
      <c r="D1911">
        <f t="shared" si="58"/>
        <v>159</v>
      </c>
      <c r="E1911" t="str">
        <f t="shared" si="59"/>
        <v>159. Cabo Verde</v>
      </c>
    </row>
    <row r="1912" spans="1:5" x14ac:dyDescent="0.25">
      <c r="A1912" t="s">
        <v>41</v>
      </c>
      <c r="B1912" t="s">
        <v>324</v>
      </c>
      <c r="C1912">
        <v>2.8</v>
      </c>
      <c r="D1912">
        <f t="shared" si="58"/>
        <v>160</v>
      </c>
      <c r="E1912" t="str">
        <f t="shared" si="59"/>
        <v>160. Central African Republic</v>
      </c>
    </row>
    <row r="1913" spans="1:5" x14ac:dyDescent="0.25">
      <c r="A1913" t="s">
        <v>81</v>
      </c>
      <c r="B1913" t="s">
        <v>324</v>
      </c>
      <c r="C1913">
        <v>2.5</v>
      </c>
      <c r="D1913">
        <f t="shared" si="58"/>
        <v>161</v>
      </c>
      <c r="E1913" t="str">
        <f t="shared" si="59"/>
        <v>161. Gambia, The</v>
      </c>
    </row>
    <row r="1914" spans="1:5" x14ac:dyDescent="0.25">
      <c r="A1914" t="s">
        <v>119</v>
      </c>
      <c r="B1914" t="s">
        <v>324</v>
      </c>
      <c r="C1914">
        <v>2.5</v>
      </c>
      <c r="D1914">
        <f t="shared" si="58"/>
        <v>162</v>
      </c>
      <c r="E1914" t="str">
        <f t="shared" si="59"/>
        <v>162. St. Lucia</v>
      </c>
    </row>
    <row r="1915" spans="1:5" x14ac:dyDescent="0.25">
      <c r="A1915" t="s">
        <v>122</v>
      </c>
      <c r="B1915" t="s">
        <v>324</v>
      </c>
      <c r="C1915">
        <v>2.2999999999999998</v>
      </c>
      <c r="D1915">
        <f t="shared" si="58"/>
        <v>163</v>
      </c>
      <c r="E1915" t="str">
        <f t="shared" si="59"/>
        <v>163. Lesotho</v>
      </c>
    </row>
    <row r="1916" spans="1:5" x14ac:dyDescent="0.25">
      <c r="A1916" t="s">
        <v>19</v>
      </c>
      <c r="B1916" t="s">
        <v>324</v>
      </c>
      <c r="C1916">
        <v>2.2000000000000002</v>
      </c>
      <c r="D1916">
        <f t="shared" si="58"/>
        <v>164</v>
      </c>
      <c r="E1916" t="str">
        <f t="shared" si="59"/>
        <v>164. Antigua and Barbuda</v>
      </c>
    </row>
    <row r="1917" spans="1:5" x14ac:dyDescent="0.25">
      <c r="A1917" t="s">
        <v>23</v>
      </c>
      <c r="B1917" t="s">
        <v>324</v>
      </c>
      <c r="C1917">
        <v>2.2000000000000002</v>
      </c>
      <c r="D1917">
        <f t="shared" si="58"/>
        <v>165</v>
      </c>
      <c r="E1917" t="str">
        <f t="shared" si="59"/>
        <v>165. Burundi</v>
      </c>
    </row>
    <row r="1918" spans="1:5" x14ac:dyDescent="0.25">
      <c r="A1918" t="s">
        <v>191</v>
      </c>
      <c r="B1918" t="s">
        <v>324</v>
      </c>
      <c r="C1918">
        <v>2.2000000000000002</v>
      </c>
      <c r="D1918">
        <f t="shared" si="58"/>
        <v>166</v>
      </c>
      <c r="E1918" t="str">
        <f t="shared" si="59"/>
        <v>166. Seychelles</v>
      </c>
    </row>
    <row r="1919" spans="1:5" x14ac:dyDescent="0.25">
      <c r="A1919" t="s">
        <v>82</v>
      </c>
      <c r="B1919" t="s">
        <v>324</v>
      </c>
      <c r="C1919">
        <v>2.1</v>
      </c>
      <c r="D1919">
        <f t="shared" si="58"/>
        <v>167</v>
      </c>
      <c r="E1919" t="str">
        <f t="shared" si="59"/>
        <v>167. Guinea-Bissau</v>
      </c>
    </row>
    <row r="1920" spans="1:5" x14ac:dyDescent="0.25">
      <c r="A1920" t="s">
        <v>199</v>
      </c>
      <c r="B1920" t="s">
        <v>324</v>
      </c>
      <c r="C1920">
        <v>1.9</v>
      </c>
      <c r="D1920">
        <f t="shared" si="58"/>
        <v>168</v>
      </c>
      <c r="E1920" t="str">
        <f t="shared" si="59"/>
        <v>168. Timor-Leste</v>
      </c>
    </row>
    <row r="1921" spans="1:5" x14ac:dyDescent="0.25">
      <c r="A1921" t="s">
        <v>177</v>
      </c>
      <c r="B1921" t="s">
        <v>324</v>
      </c>
      <c r="C1921">
        <v>1.8</v>
      </c>
      <c r="D1921">
        <f t="shared" si="58"/>
        <v>169</v>
      </c>
      <c r="E1921" t="str">
        <f t="shared" si="59"/>
        <v>169. Solomon Islands</v>
      </c>
    </row>
    <row r="1922" spans="1:5" x14ac:dyDescent="0.25">
      <c r="A1922" t="s">
        <v>190</v>
      </c>
      <c r="B1922" t="s">
        <v>324</v>
      </c>
      <c r="C1922">
        <v>1.7</v>
      </c>
      <c r="D1922">
        <f t="shared" si="58"/>
        <v>170</v>
      </c>
      <c r="E1922" t="str">
        <f t="shared" si="59"/>
        <v>170. Sint Maarten (Dutch part)</v>
      </c>
    </row>
    <row r="1923" spans="1:5" x14ac:dyDescent="0.25">
      <c r="A1923" t="s">
        <v>193</v>
      </c>
      <c r="B1923" t="s">
        <v>324</v>
      </c>
      <c r="C1923">
        <v>1.7</v>
      </c>
      <c r="D1923">
        <f t="shared" ref="D1923:D1986" si="60">IF(ROW() = 2, 1, IF(B1923 = B1922, D1922 + 1, 1))</f>
        <v>171</v>
      </c>
      <c r="E1923" t="str">
        <f t="shared" ref="E1923:E1986" si="61">_xlfn.CONCAT(D1923, ". ", A1923)</f>
        <v>171. Turks and Caicos Islands</v>
      </c>
    </row>
    <row r="1924" spans="1:5" x14ac:dyDescent="0.25">
      <c r="A1924" t="s">
        <v>52</v>
      </c>
      <c r="B1924" t="s">
        <v>324</v>
      </c>
      <c r="C1924">
        <v>1.5</v>
      </c>
      <c r="D1924">
        <f t="shared" si="60"/>
        <v>172</v>
      </c>
      <c r="E1924" t="str">
        <f t="shared" si="61"/>
        <v>172. Comoros</v>
      </c>
    </row>
    <row r="1925" spans="1:5" x14ac:dyDescent="0.25">
      <c r="A1925" t="s">
        <v>85</v>
      </c>
      <c r="B1925" t="s">
        <v>324</v>
      </c>
      <c r="C1925">
        <v>1.4</v>
      </c>
      <c r="D1925">
        <f t="shared" si="60"/>
        <v>173</v>
      </c>
      <c r="E1925" t="str">
        <f t="shared" si="61"/>
        <v>173. Grenada</v>
      </c>
    </row>
    <row r="1926" spans="1:5" x14ac:dyDescent="0.25">
      <c r="A1926" t="s">
        <v>211</v>
      </c>
      <c r="B1926" t="s">
        <v>324</v>
      </c>
      <c r="C1926">
        <v>1.2</v>
      </c>
      <c r="D1926">
        <f t="shared" si="60"/>
        <v>174</v>
      </c>
      <c r="E1926" t="str">
        <f t="shared" si="61"/>
        <v>174. St. Vincent and the Grenadines</v>
      </c>
    </row>
    <row r="1927" spans="1:5" x14ac:dyDescent="0.25">
      <c r="A1927" t="s">
        <v>214</v>
      </c>
      <c r="B1927" t="s">
        <v>324</v>
      </c>
      <c r="C1927">
        <v>1.2</v>
      </c>
      <c r="D1927">
        <f t="shared" si="60"/>
        <v>175</v>
      </c>
      <c r="E1927" t="str">
        <f t="shared" si="61"/>
        <v>175. Vanuatu</v>
      </c>
    </row>
    <row r="1928" spans="1:5" x14ac:dyDescent="0.25">
      <c r="A1928" t="s">
        <v>215</v>
      </c>
      <c r="B1928" t="s">
        <v>324</v>
      </c>
      <c r="C1928">
        <v>1.1000000000000001</v>
      </c>
      <c r="D1928">
        <f t="shared" si="60"/>
        <v>176</v>
      </c>
      <c r="E1928" t="str">
        <f t="shared" si="61"/>
        <v>176. Samoa</v>
      </c>
    </row>
    <row r="1929" spans="1:5" x14ac:dyDescent="0.25">
      <c r="A1929" t="s">
        <v>112</v>
      </c>
      <c r="B1929" t="s">
        <v>324</v>
      </c>
      <c r="C1929">
        <v>1.1000000000000001</v>
      </c>
      <c r="D1929">
        <f t="shared" si="60"/>
        <v>177</v>
      </c>
      <c r="E1929" t="str">
        <f t="shared" si="61"/>
        <v>177. St. Kitts and Nevis</v>
      </c>
    </row>
    <row r="1930" spans="1:5" x14ac:dyDescent="0.25">
      <c r="A1930" t="s">
        <v>184</v>
      </c>
      <c r="B1930" t="s">
        <v>324</v>
      </c>
      <c r="C1930">
        <v>0.8</v>
      </c>
      <c r="D1930">
        <f t="shared" si="60"/>
        <v>178</v>
      </c>
      <c r="E1930" t="str">
        <f t="shared" si="61"/>
        <v>178. Sao Tome and Principe</v>
      </c>
    </row>
    <row r="1931" spans="1:5" x14ac:dyDescent="0.25">
      <c r="A1931" t="s">
        <v>62</v>
      </c>
      <c r="B1931" t="s">
        <v>324</v>
      </c>
      <c r="C1931">
        <v>0.7</v>
      </c>
      <c r="D1931">
        <f t="shared" si="60"/>
        <v>179</v>
      </c>
      <c r="E1931" t="str">
        <f t="shared" si="61"/>
        <v>179. Dominica</v>
      </c>
    </row>
    <row r="1932" spans="1:5" x14ac:dyDescent="0.25">
      <c r="A1932" t="s">
        <v>75</v>
      </c>
      <c r="B1932" t="s">
        <v>324</v>
      </c>
      <c r="C1932">
        <v>0.5</v>
      </c>
      <c r="D1932">
        <f t="shared" si="60"/>
        <v>180</v>
      </c>
      <c r="E1932" t="str">
        <f t="shared" si="61"/>
        <v>180. Micronesia, Fed. Sts.</v>
      </c>
    </row>
    <row r="1933" spans="1:5" x14ac:dyDescent="0.25">
      <c r="A1933" t="s">
        <v>111</v>
      </c>
      <c r="B1933" t="s">
        <v>324</v>
      </c>
      <c r="C1933">
        <v>0.3</v>
      </c>
      <c r="D1933">
        <f t="shared" si="60"/>
        <v>181</v>
      </c>
      <c r="E1933" t="str">
        <f t="shared" si="61"/>
        <v>181. Kiribati</v>
      </c>
    </row>
    <row r="1934" spans="1:5" x14ac:dyDescent="0.25">
      <c r="A1934" t="s">
        <v>133</v>
      </c>
      <c r="B1934" t="s">
        <v>324</v>
      </c>
      <c r="C1934">
        <v>0.3</v>
      </c>
      <c r="D1934">
        <f t="shared" si="60"/>
        <v>182</v>
      </c>
      <c r="E1934" t="str">
        <f t="shared" si="61"/>
        <v>182. Marshall Islands</v>
      </c>
    </row>
    <row r="1935" spans="1:5" x14ac:dyDescent="0.25">
      <c r="A1935" t="s">
        <v>154</v>
      </c>
      <c r="B1935" t="s">
        <v>324</v>
      </c>
      <c r="C1935">
        <v>0.2</v>
      </c>
      <c r="D1935">
        <f t="shared" si="60"/>
        <v>183</v>
      </c>
      <c r="E1935" t="str">
        <f t="shared" si="61"/>
        <v>183. Nauru</v>
      </c>
    </row>
    <row r="1936" spans="1:5" x14ac:dyDescent="0.25">
      <c r="A1936" t="s">
        <v>34</v>
      </c>
      <c r="B1936" t="s">
        <v>325</v>
      </c>
      <c r="C1936">
        <v>138.9</v>
      </c>
      <c r="D1936">
        <f t="shared" si="60"/>
        <v>1</v>
      </c>
      <c r="E1936" t="str">
        <f t="shared" si="61"/>
        <v>1. Bermuda</v>
      </c>
    </row>
    <row r="1937" spans="1:5" x14ac:dyDescent="0.25">
      <c r="A1937" t="s">
        <v>124</v>
      </c>
      <c r="B1937" t="s">
        <v>325</v>
      </c>
      <c r="C1937">
        <v>137.5</v>
      </c>
      <c r="D1937">
        <f t="shared" si="60"/>
        <v>2</v>
      </c>
      <c r="E1937" t="str">
        <f t="shared" si="61"/>
        <v>2. Luxembourg</v>
      </c>
    </row>
    <row r="1938" spans="1:5" x14ac:dyDescent="0.25">
      <c r="A1938" t="s">
        <v>98</v>
      </c>
      <c r="B1938" t="s">
        <v>325</v>
      </c>
      <c r="C1938">
        <v>107.3</v>
      </c>
      <c r="D1938">
        <f t="shared" si="60"/>
        <v>3</v>
      </c>
      <c r="E1938" t="str">
        <f t="shared" si="61"/>
        <v>3. Ireland</v>
      </c>
    </row>
    <row r="1939" spans="1:5" x14ac:dyDescent="0.25">
      <c r="A1939" t="s">
        <v>43</v>
      </c>
      <c r="B1939" t="s">
        <v>325</v>
      </c>
      <c r="C1939">
        <v>103.7</v>
      </c>
      <c r="D1939">
        <f t="shared" si="60"/>
        <v>4</v>
      </c>
      <c r="E1939" t="str">
        <f t="shared" si="61"/>
        <v>4. Switzerland</v>
      </c>
    </row>
    <row r="1940" spans="1:5" x14ac:dyDescent="0.25">
      <c r="A1940" t="s">
        <v>176</v>
      </c>
      <c r="B1940" t="s">
        <v>325</v>
      </c>
      <c r="C1940">
        <v>90.7</v>
      </c>
      <c r="D1940">
        <f t="shared" si="60"/>
        <v>5</v>
      </c>
      <c r="E1940" t="str">
        <f t="shared" si="61"/>
        <v>5. Singapore</v>
      </c>
    </row>
    <row r="1941" spans="1:5" x14ac:dyDescent="0.25">
      <c r="A1941" t="s">
        <v>152</v>
      </c>
      <c r="B1941" t="s">
        <v>325</v>
      </c>
      <c r="C1941">
        <v>86.8</v>
      </c>
      <c r="D1941">
        <f t="shared" si="60"/>
        <v>6</v>
      </c>
      <c r="E1941" t="str">
        <f t="shared" si="61"/>
        <v>6. Norway</v>
      </c>
    </row>
    <row r="1942" spans="1:5" x14ac:dyDescent="0.25">
      <c r="A1942" t="s">
        <v>209</v>
      </c>
      <c r="B1942" t="s">
        <v>325</v>
      </c>
      <c r="C1942">
        <v>85.8</v>
      </c>
      <c r="D1942">
        <f t="shared" si="60"/>
        <v>7</v>
      </c>
      <c r="E1942" t="str">
        <f t="shared" si="61"/>
        <v>7. United States</v>
      </c>
    </row>
    <row r="1943" spans="1:5" x14ac:dyDescent="0.25">
      <c r="A1943" t="s">
        <v>101</v>
      </c>
      <c r="B1943" t="s">
        <v>325</v>
      </c>
      <c r="C1943">
        <v>82.7</v>
      </c>
      <c r="D1943">
        <f t="shared" si="60"/>
        <v>8</v>
      </c>
      <c r="E1943" t="str">
        <f t="shared" si="61"/>
        <v>8. Iceland</v>
      </c>
    </row>
    <row r="1944" spans="1:5" x14ac:dyDescent="0.25">
      <c r="A1944" t="s">
        <v>169</v>
      </c>
      <c r="B1944" t="s">
        <v>325</v>
      </c>
      <c r="C1944">
        <v>76.3</v>
      </c>
      <c r="D1944">
        <f t="shared" si="60"/>
        <v>9</v>
      </c>
      <c r="E1944" t="str">
        <f t="shared" si="61"/>
        <v>9. Qatar</v>
      </c>
    </row>
    <row r="1945" spans="1:5" x14ac:dyDescent="0.25">
      <c r="A1945" t="s">
        <v>126</v>
      </c>
      <c r="B1945" t="s">
        <v>325</v>
      </c>
      <c r="C1945">
        <v>73</v>
      </c>
      <c r="D1945">
        <f t="shared" si="60"/>
        <v>10</v>
      </c>
      <c r="E1945" t="str">
        <f t="shared" si="61"/>
        <v>10. Macao SAR, China</v>
      </c>
    </row>
    <row r="1946" spans="1:5" x14ac:dyDescent="0.25">
      <c r="A1946" t="s">
        <v>63</v>
      </c>
      <c r="B1946" t="s">
        <v>325</v>
      </c>
      <c r="C1946">
        <v>71.900000000000006</v>
      </c>
      <c r="D1946">
        <f t="shared" si="60"/>
        <v>11</v>
      </c>
      <c r="E1946" t="str">
        <f t="shared" si="61"/>
        <v>11. Denmark</v>
      </c>
    </row>
    <row r="1947" spans="1:5" x14ac:dyDescent="0.25">
      <c r="A1947" t="s">
        <v>151</v>
      </c>
      <c r="B1947" t="s">
        <v>325</v>
      </c>
      <c r="C1947">
        <v>68.2</v>
      </c>
      <c r="D1947">
        <f t="shared" si="60"/>
        <v>12</v>
      </c>
      <c r="E1947" t="str">
        <f t="shared" si="61"/>
        <v>12. Netherlands</v>
      </c>
    </row>
    <row r="1948" spans="1:5" x14ac:dyDescent="0.25">
      <c r="A1948" t="s">
        <v>20</v>
      </c>
      <c r="B1948" t="s">
        <v>325</v>
      </c>
      <c r="C1948">
        <v>64.400000000000006</v>
      </c>
      <c r="D1948">
        <f t="shared" si="60"/>
        <v>13</v>
      </c>
      <c r="E1948" t="str">
        <f t="shared" si="61"/>
        <v>13. Australia</v>
      </c>
    </row>
    <row r="1949" spans="1:5" x14ac:dyDescent="0.25">
      <c r="A1949" t="s">
        <v>188</v>
      </c>
      <c r="B1949" t="s">
        <v>325</v>
      </c>
      <c r="C1949">
        <v>57.7</v>
      </c>
      <c r="D1949">
        <f t="shared" si="60"/>
        <v>14</v>
      </c>
      <c r="E1949" t="str">
        <f t="shared" si="61"/>
        <v>14. Sweden</v>
      </c>
    </row>
    <row r="1950" spans="1:5" x14ac:dyDescent="0.25">
      <c r="A1950" t="s">
        <v>21</v>
      </c>
      <c r="B1950" t="s">
        <v>325</v>
      </c>
      <c r="C1950">
        <v>56.8</v>
      </c>
      <c r="D1950">
        <f t="shared" si="60"/>
        <v>15</v>
      </c>
      <c r="E1950" t="str">
        <f t="shared" si="61"/>
        <v>15. Austria</v>
      </c>
    </row>
    <row r="1951" spans="1:5" x14ac:dyDescent="0.25">
      <c r="A1951" t="s">
        <v>24</v>
      </c>
      <c r="B1951" t="s">
        <v>325</v>
      </c>
      <c r="C1951">
        <v>56</v>
      </c>
      <c r="D1951">
        <f t="shared" si="60"/>
        <v>16</v>
      </c>
      <c r="E1951" t="str">
        <f t="shared" si="61"/>
        <v>16. Belgium</v>
      </c>
    </row>
    <row r="1952" spans="1:5" x14ac:dyDescent="0.25">
      <c r="A1952" t="s">
        <v>60</v>
      </c>
      <c r="B1952" t="s">
        <v>325</v>
      </c>
      <c r="C1952">
        <v>55.8</v>
      </c>
      <c r="D1952">
        <f t="shared" si="60"/>
        <v>17</v>
      </c>
      <c r="E1952" t="str">
        <f t="shared" si="61"/>
        <v>17. Germany</v>
      </c>
    </row>
    <row r="1953" spans="1:5" x14ac:dyDescent="0.25">
      <c r="A1953" t="s">
        <v>42</v>
      </c>
      <c r="B1953" t="s">
        <v>325</v>
      </c>
      <c r="C1953">
        <v>54.3</v>
      </c>
      <c r="D1953">
        <f t="shared" si="60"/>
        <v>18</v>
      </c>
      <c r="E1953" t="str">
        <f t="shared" si="61"/>
        <v>18. Canada</v>
      </c>
    </row>
    <row r="1954" spans="1:5" x14ac:dyDescent="0.25">
      <c r="A1954" t="s">
        <v>102</v>
      </c>
      <c r="B1954" t="s">
        <v>325</v>
      </c>
      <c r="C1954">
        <v>54.2</v>
      </c>
      <c r="D1954">
        <f t="shared" si="60"/>
        <v>19</v>
      </c>
      <c r="E1954" t="str">
        <f t="shared" si="61"/>
        <v>19. Israel</v>
      </c>
    </row>
    <row r="1955" spans="1:5" x14ac:dyDescent="0.25">
      <c r="A1955" t="s">
        <v>90</v>
      </c>
      <c r="B1955" t="s">
        <v>325</v>
      </c>
      <c r="C1955">
        <v>54.1</v>
      </c>
      <c r="D1955">
        <f t="shared" si="60"/>
        <v>20</v>
      </c>
      <c r="E1955" t="str">
        <f t="shared" si="61"/>
        <v>20. Hong Kong SAR, China</v>
      </c>
    </row>
    <row r="1956" spans="1:5" x14ac:dyDescent="0.25">
      <c r="A1956" t="s">
        <v>71</v>
      </c>
      <c r="B1956" t="s">
        <v>325</v>
      </c>
      <c r="C1956">
        <v>53.2</v>
      </c>
      <c r="D1956">
        <f t="shared" si="60"/>
        <v>21</v>
      </c>
      <c r="E1956" t="str">
        <f t="shared" si="61"/>
        <v>21. Finland</v>
      </c>
    </row>
    <row r="1957" spans="1:5" x14ac:dyDescent="0.25">
      <c r="A1957" t="s">
        <v>77</v>
      </c>
      <c r="B1957" t="s">
        <v>325</v>
      </c>
      <c r="C1957">
        <v>52.6</v>
      </c>
      <c r="D1957">
        <f t="shared" si="60"/>
        <v>22</v>
      </c>
      <c r="E1957" t="str">
        <f t="shared" si="61"/>
        <v>22. United Kingdom</v>
      </c>
    </row>
    <row r="1958" spans="1:5" x14ac:dyDescent="0.25">
      <c r="A1958" t="s">
        <v>15</v>
      </c>
      <c r="B1958" t="s">
        <v>325</v>
      </c>
      <c r="C1958">
        <v>49.4</v>
      </c>
      <c r="D1958">
        <f t="shared" si="60"/>
        <v>23</v>
      </c>
      <c r="E1958" t="str">
        <f t="shared" si="61"/>
        <v>23. United Arab Emirates</v>
      </c>
    </row>
    <row r="1959" spans="1:5" x14ac:dyDescent="0.25">
      <c r="A1959" t="s">
        <v>14</v>
      </c>
      <c r="B1959" t="s">
        <v>325</v>
      </c>
      <c r="C1959">
        <v>49.3</v>
      </c>
      <c r="D1959">
        <f t="shared" si="60"/>
        <v>24</v>
      </c>
      <c r="E1959" t="str">
        <f t="shared" si="61"/>
        <v>24. Andorra</v>
      </c>
    </row>
    <row r="1960" spans="1:5" x14ac:dyDescent="0.25">
      <c r="A1960" t="s">
        <v>155</v>
      </c>
      <c r="B1960" t="s">
        <v>325</v>
      </c>
      <c r="C1960">
        <v>48.7</v>
      </c>
      <c r="D1960">
        <f t="shared" si="60"/>
        <v>25</v>
      </c>
      <c r="E1960" t="str">
        <f t="shared" si="61"/>
        <v>25. New Zealand</v>
      </c>
    </row>
    <row r="1961" spans="1:5" x14ac:dyDescent="0.25">
      <c r="A1961" t="s">
        <v>73</v>
      </c>
      <c r="B1961" t="s">
        <v>325</v>
      </c>
      <c r="C1961">
        <v>46.2</v>
      </c>
      <c r="D1961">
        <f t="shared" si="60"/>
        <v>26</v>
      </c>
      <c r="E1961" t="str">
        <f t="shared" si="61"/>
        <v>26. France</v>
      </c>
    </row>
    <row r="1962" spans="1:5" x14ac:dyDescent="0.25">
      <c r="A1962" t="s">
        <v>136</v>
      </c>
      <c r="B1962" t="s">
        <v>325</v>
      </c>
      <c r="C1962">
        <v>42.3</v>
      </c>
      <c r="D1962">
        <f t="shared" si="60"/>
        <v>27</v>
      </c>
      <c r="E1962" t="str">
        <f t="shared" si="61"/>
        <v>27. Malta</v>
      </c>
    </row>
    <row r="1963" spans="1:5" x14ac:dyDescent="0.25">
      <c r="A1963" t="s">
        <v>103</v>
      </c>
      <c r="B1963" t="s">
        <v>325</v>
      </c>
      <c r="C1963">
        <v>40.200000000000003</v>
      </c>
      <c r="D1963">
        <f t="shared" si="60"/>
        <v>28</v>
      </c>
      <c r="E1963" t="str">
        <f t="shared" si="61"/>
        <v>28. Italy</v>
      </c>
    </row>
    <row r="1964" spans="1:5" x14ac:dyDescent="0.25">
      <c r="A1964" t="s">
        <v>190</v>
      </c>
      <c r="B1964" t="s">
        <v>325</v>
      </c>
      <c r="C1964">
        <v>40</v>
      </c>
      <c r="D1964">
        <f t="shared" si="60"/>
        <v>29</v>
      </c>
      <c r="E1964" t="str">
        <f t="shared" si="61"/>
        <v>29. Sint Maarten (Dutch part)</v>
      </c>
    </row>
    <row r="1965" spans="1:5" x14ac:dyDescent="0.25">
      <c r="A1965" t="s">
        <v>30</v>
      </c>
      <c r="B1965" t="s">
        <v>325</v>
      </c>
      <c r="C1965">
        <v>39.5</v>
      </c>
      <c r="D1965">
        <f t="shared" si="60"/>
        <v>30</v>
      </c>
      <c r="E1965" t="str">
        <f t="shared" si="61"/>
        <v>30. Bahamas, The</v>
      </c>
    </row>
    <row r="1966" spans="1:5" x14ac:dyDescent="0.25">
      <c r="A1966" t="s">
        <v>164</v>
      </c>
      <c r="B1966" t="s">
        <v>325</v>
      </c>
      <c r="C1966">
        <v>39.299999999999997</v>
      </c>
      <c r="D1966">
        <f t="shared" si="60"/>
        <v>31</v>
      </c>
      <c r="E1966" t="str">
        <f t="shared" si="61"/>
        <v>31. Puerto Rico (US)</v>
      </c>
    </row>
    <row r="1967" spans="1:5" x14ac:dyDescent="0.25">
      <c r="A1967" t="s">
        <v>58</v>
      </c>
      <c r="B1967" t="s">
        <v>325</v>
      </c>
      <c r="C1967">
        <v>38.700000000000003</v>
      </c>
      <c r="D1967">
        <f t="shared" si="60"/>
        <v>32</v>
      </c>
      <c r="E1967" t="str">
        <f t="shared" si="61"/>
        <v>32. Cyprus</v>
      </c>
    </row>
    <row r="1968" spans="1:5" x14ac:dyDescent="0.25">
      <c r="A1968" t="s">
        <v>193</v>
      </c>
      <c r="B1968" t="s">
        <v>325</v>
      </c>
      <c r="C1968">
        <v>37.5</v>
      </c>
      <c r="D1968">
        <f t="shared" si="60"/>
        <v>33</v>
      </c>
      <c r="E1968" t="str">
        <f t="shared" si="61"/>
        <v>33. Turks and Caicos Islands</v>
      </c>
    </row>
    <row r="1969" spans="1:5" x14ac:dyDescent="0.25">
      <c r="A1969" t="s">
        <v>68</v>
      </c>
      <c r="B1969" t="s">
        <v>325</v>
      </c>
      <c r="C1969">
        <v>35.299999999999997</v>
      </c>
      <c r="D1969">
        <f t="shared" si="60"/>
        <v>34</v>
      </c>
      <c r="E1969" t="str">
        <f t="shared" si="61"/>
        <v>34. Spain</v>
      </c>
    </row>
    <row r="1970" spans="1:5" x14ac:dyDescent="0.25">
      <c r="A1970" t="s">
        <v>173</v>
      </c>
      <c r="B1970" t="s">
        <v>325</v>
      </c>
      <c r="C1970">
        <v>35.1</v>
      </c>
      <c r="D1970">
        <f t="shared" si="60"/>
        <v>35</v>
      </c>
      <c r="E1970" t="str">
        <f t="shared" si="61"/>
        <v>35. Saudi Arabia</v>
      </c>
    </row>
    <row r="1971" spans="1:5" x14ac:dyDescent="0.25">
      <c r="A1971" t="s">
        <v>187</v>
      </c>
      <c r="B1971" t="s">
        <v>325</v>
      </c>
      <c r="C1971">
        <v>34.1</v>
      </c>
      <c r="D1971">
        <f t="shared" si="60"/>
        <v>36</v>
      </c>
      <c r="E1971" t="str">
        <f t="shared" si="61"/>
        <v>36. Slovenia</v>
      </c>
    </row>
    <row r="1972" spans="1:5" x14ac:dyDescent="0.25">
      <c r="A1972" t="s">
        <v>38</v>
      </c>
      <c r="B1972" t="s">
        <v>325</v>
      </c>
      <c r="C1972">
        <v>33.4</v>
      </c>
      <c r="D1972">
        <f t="shared" si="60"/>
        <v>37</v>
      </c>
      <c r="E1972" t="str">
        <f t="shared" si="61"/>
        <v>37. Brunei Darussalam</v>
      </c>
    </row>
    <row r="1973" spans="1:5" x14ac:dyDescent="0.25">
      <c r="A1973" t="s">
        <v>106</v>
      </c>
      <c r="B1973" t="s">
        <v>325</v>
      </c>
      <c r="C1973">
        <v>32.5</v>
      </c>
      <c r="D1973">
        <f t="shared" si="60"/>
        <v>38</v>
      </c>
      <c r="E1973" t="str">
        <f t="shared" si="61"/>
        <v>38. Japan</v>
      </c>
    </row>
    <row r="1974" spans="1:5" x14ac:dyDescent="0.25">
      <c r="A1974" t="s">
        <v>114</v>
      </c>
      <c r="B1974" t="s">
        <v>325</v>
      </c>
      <c r="C1974">
        <v>32.200000000000003</v>
      </c>
      <c r="D1974">
        <f t="shared" si="60"/>
        <v>39</v>
      </c>
      <c r="E1974" t="str">
        <f t="shared" si="61"/>
        <v>39. Kuwait</v>
      </c>
    </row>
    <row r="1975" spans="1:5" x14ac:dyDescent="0.25">
      <c r="A1975" t="s">
        <v>59</v>
      </c>
      <c r="B1975" t="s">
        <v>325</v>
      </c>
      <c r="C1975">
        <v>31.7</v>
      </c>
      <c r="D1975">
        <f t="shared" si="60"/>
        <v>40</v>
      </c>
      <c r="E1975" t="str">
        <f t="shared" si="61"/>
        <v>40. Czechia</v>
      </c>
    </row>
    <row r="1976" spans="1:5" x14ac:dyDescent="0.25">
      <c r="A1976" t="s">
        <v>69</v>
      </c>
      <c r="B1976" t="s">
        <v>325</v>
      </c>
      <c r="C1976">
        <v>31.2</v>
      </c>
      <c r="D1976">
        <f t="shared" si="60"/>
        <v>41</v>
      </c>
      <c r="E1976" t="str">
        <f t="shared" si="61"/>
        <v>41. Estonia</v>
      </c>
    </row>
    <row r="1977" spans="1:5" x14ac:dyDescent="0.25">
      <c r="A1977" t="s">
        <v>29</v>
      </c>
      <c r="B1977" t="s">
        <v>325</v>
      </c>
      <c r="C1977">
        <v>30</v>
      </c>
      <c r="D1977">
        <f t="shared" si="60"/>
        <v>42</v>
      </c>
      <c r="E1977" t="str">
        <f t="shared" si="61"/>
        <v>42. Bahrain</v>
      </c>
    </row>
    <row r="1978" spans="1:5" x14ac:dyDescent="0.25">
      <c r="A1978" t="s">
        <v>89</v>
      </c>
      <c r="B1978" t="s">
        <v>325</v>
      </c>
      <c r="C1978">
        <v>29.9</v>
      </c>
      <c r="D1978">
        <f t="shared" si="60"/>
        <v>43</v>
      </c>
      <c r="E1978" t="str">
        <f t="shared" si="61"/>
        <v>43. Guyana</v>
      </c>
    </row>
    <row r="1979" spans="1:5" x14ac:dyDescent="0.25">
      <c r="A1979" t="s">
        <v>123</v>
      </c>
      <c r="B1979" t="s">
        <v>325</v>
      </c>
      <c r="C1979">
        <v>29.4</v>
      </c>
      <c r="D1979">
        <f t="shared" si="60"/>
        <v>44</v>
      </c>
      <c r="E1979" t="str">
        <f t="shared" si="61"/>
        <v>44. Lithuania</v>
      </c>
    </row>
    <row r="1980" spans="1:5" x14ac:dyDescent="0.25">
      <c r="A1980" t="s">
        <v>165</v>
      </c>
      <c r="B1980" t="s">
        <v>325</v>
      </c>
      <c r="C1980">
        <v>28.8</v>
      </c>
      <c r="D1980">
        <f t="shared" si="60"/>
        <v>45</v>
      </c>
      <c r="E1980" t="str">
        <f t="shared" si="61"/>
        <v>45. Portugal</v>
      </c>
    </row>
    <row r="1981" spans="1:5" x14ac:dyDescent="0.25">
      <c r="A1981" t="s">
        <v>186</v>
      </c>
      <c r="B1981" t="s">
        <v>325</v>
      </c>
      <c r="C1981">
        <v>26.1</v>
      </c>
      <c r="D1981">
        <f t="shared" si="60"/>
        <v>46</v>
      </c>
      <c r="E1981" t="str">
        <f t="shared" si="61"/>
        <v>46. Slovak Republic</v>
      </c>
    </row>
    <row r="1982" spans="1:5" x14ac:dyDescent="0.25">
      <c r="A1982" t="s">
        <v>37</v>
      </c>
      <c r="B1982" t="s">
        <v>325</v>
      </c>
      <c r="C1982">
        <v>25.4</v>
      </c>
      <c r="D1982">
        <f t="shared" si="60"/>
        <v>47</v>
      </c>
      <c r="E1982" t="str">
        <f t="shared" si="61"/>
        <v>47. Barbados</v>
      </c>
    </row>
    <row r="1983" spans="1:5" x14ac:dyDescent="0.25">
      <c r="A1983" t="s">
        <v>163</v>
      </c>
      <c r="B1983" t="s">
        <v>325</v>
      </c>
      <c r="C1983">
        <v>25</v>
      </c>
      <c r="D1983">
        <f t="shared" si="60"/>
        <v>48</v>
      </c>
      <c r="E1983" t="str">
        <f t="shared" si="61"/>
        <v>48. Poland</v>
      </c>
    </row>
    <row r="1984" spans="1:5" x14ac:dyDescent="0.25">
      <c r="A1984" t="s">
        <v>84</v>
      </c>
      <c r="B1984" t="s">
        <v>325</v>
      </c>
      <c r="C1984">
        <v>24.8</v>
      </c>
      <c r="D1984">
        <f t="shared" si="60"/>
        <v>49</v>
      </c>
      <c r="E1984" t="str">
        <f t="shared" si="61"/>
        <v>49. Greece</v>
      </c>
    </row>
    <row r="1985" spans="1:5" x14ac:dyDescent="0.25">
      <c r="A1985" t="s">
        <v>92</v>
      </c>
      <c r="B1985" t="s">
        <v>325</v>
      </c>
      <c r="C1985">
        <v>23.9</v>
      </c>
      <c r="D1985">
        <f t="shared" si="60"/>
        <v>50</v>
      </c>
      <c r="E1985" t="str">
        <f t="shared" si="61"/>
        <v>50. Croatia</v>
      </c>
    </row>
    <row r="1986" spans="1:5" x14ac:dyDescent="0.25">
      <c r="A1986" t="s">
        <v>208</v>
      </c>
      <c r="B1986" t="s">
        <v>325</v>
      </c>
      <c r="C1986">
        <v>23.9</v>
      </c>
      <c r="D1986">
        <f t="shared" si="60"/>
        <v>51</v>
      </c>
      <c r="E1986" t="str">
        <f t="shared" si="61"/>
        <v>51. Uruguay</v>
      </c>
    </row>
    <row r="1987" spans="1:5" x14ac:dyDescent="0.25">
      <c r="A1987" t="s">
        <v>19</v>
      </c>
      <c r="B1987" t="s">
        <v>325</v>
      </c>
      <c r="C1987">
        <v>23.7</v>
      </c>
      <c r="D1987">
        <f t="shared" ref="D1987:D2050" si="62">IF(ROW() = 2, 1, IF(B1987 = B1986, D1986 + 1, 1))</f>
        <v>52</v>
      </c>
      <c r="E1987" t="str">
        <f t="shared" ref="E1987:E2050" si="63">_xlfn.CONCAT(D1987, ". ", A1987)</f>
        <v>52. Antigua and Barbuda</v>
      </c>
    </row>
    <row r="1988" spans="1:5" x14ac:dyDescent="0.25">
      <c r="A1988" t="s">
        <v>125</v>
      </c>
      <c r="B1988" t="s">
        <v>325</v>
      </c>
      <c r="C1988">
        <v>23.4</v>
      </c>
      <c r="D1988">
        <f t="shared" si="62"/>
        <v>53</v>
      </c>
      <c r="E1988" t="str">
        <f t="shared" si="63"/>
        <v>53. Latvia</v>
      </c>
    </row>
    <row r="1989" spans="1:5" x14ac:dyDescent="0.25">
      <c r="A1989" t="s">
        <v>94</v>
      </c>
      <c r="B1989" t="s">
        <v>325</v>
      </c>
      <c r="C1989">
        <v>23.3</v>
      </c>
      <c r="D1989">
        <f t="shared" si="62"/>
        <v>54</v>
      </c>
      <c r="E1989" t="str">
        <f t="shared" si="63"/>
        <v>54. Hungary</v>
      </c>
    </row>
    <row r="1990" spans="1:5" x14ac:dyDescent="0.25">
      <c r="A1990" t="s">
        <v>112</v>
      </c>
      <c r="B1990" t="s">
        <v>325</v>
      </c>
      <c r="C1990">
        <v>22.8</v>
      </c>
      <c r="D1990">
        <f t="shared" si="62"/>
        <v>55</v>
      </c>
      <c r="E1990" t="str">
        <f t="shared" si="63"/>
        <v>55. St. Kitts and Nevis</v>
      </c>
    </row>
    <row r="1991" spans="1:5" x14ac:dyDescent="0.25">
      <c r="A1991" t="s">
        <v>156</v>
      </c>
      <c r="B1991" t="s">
        <v>325</v>
      </c>
      <c r="C1991">
        <v>20.2</v>
      </c>
      <c r="D1991">
        <f t="shared" si="62"/>
        <v>56</v>
      </c>
      <c r="E1991" t="str">
        <f t="shared" si="63"/>
        <v>56. Oman</v>
      </c>
    </row>
    <row r="1992" spans="1:5" x14ac:dyDescent="0.25">
      <c r="A1992" t="s">
        <v>170</v>
      </c>
      <c r="B1992" t="s">
        <v>325</v>
      </c>
      <c r="C1992">
        <v>20.100000000000001</v>
      </c>
      <c r="D1992">
        <f t="shared" si="62"/>
        <v>57</v>
      </c>
      <c r="E1992" t="str">
        <f t="shared" si="63"/>
        <v>57. Romania</v>
      </c>
    </row>
    <row r="1993" spans="1:5" x14ac:dyDescent="0.25">
      <c r="A1993" t="s">
        <v>201</v>
      </c>
      <c r="B1993" t="s">
        <v>325</v>
      </c>
      <c r="C1993">
        <v>19.3</v>
      </c>
      <c r="D1993">
        <f t="shared" si="62"/>
        <v>58</v>
      </c>
      <c r="E1993" t="str">
        <f t="shared" si="63"/>
        <v>58. Trinidad and Tobago</v>
      </c>
    </row>
    <row r="1994" spans="1:5" x14ac:dyDescent="0.25">
      <c r="A1994" t="s">
        <v>158</v>
      </c>
      <c r="B1994" t="s">
        <v>325</v>
      </c>
      <c r="C1994">
        <v>19.100000000000001</v>
      </c>
      <c r="D1994">
        <f t="shared" si="62"/>
        <v>59</v>
      </c>
      <c r="E1994" t="str">
        <f t="shared" si="63"/>
        <v>59. Panama</v>
      </c>
    </row>
    <row r="1995" spans="1:5" x14ac:dyDescent="0.25">
      <c r="A1995" t="s">
        <v>54</v>
      </c>
      <c r="B1995" t="s">
        <v>325</v>
      </c>
      <c r="C1995">
        <v>18.600000000000001</v>
      </c>
      <c r="D1995">
        <f t="shared" si="62"/>
        <v>60</v>
      </c>
      <c r="E1995" t="str">
        <f t="shared" si="63"/>
        <v>60. Costa Rica</v>
      </c>
    </row>
    <row r="1996" spans="1:5" x14ac:dyDescent="0.25">
      <c r="A1996" t="s">
        <v>191</v>
      </c>
      <c r="B1996" t="s">
        <v>325</v>
      </c>
      <c r="C1996">
        <v>17.899999999999999</v>
      </c>
      <c r="D1996">
        <f t="shared" si="62"/>
        <v>61</v>
      </c>
      <c r="E1996" t="str">
        <f t="shared" si="63"/>
        <v>61. Seychelles</v>
      </c>
    </row>
    <row r="1997" spans="1:5" x14ac:dyDescent="0.25">
      <c r="A1997" t="s">
        <v>28</v>
      </c>
      <c r="B1997" t="s">
        <v>325</v>
      </c>
      <c r="C1997">
        <v>17.399999999999999</v>
      </c>
      <c r="D1997">
        <f t="shared" si="62"/>
        <v>62</v>
      </c>
      <c r="E1997" t="str">
        <f t="shared" si="63"/>
        <v>62. Bulgaria</v>
      </c>
    </row>
    <row r="1998" spans="1:5" x14ac:dyDescent="0.25">
      <c r="A1998" t="s">
        <v>45</v>
      </c>
      <c r="B1998" t="s">
        <v>325</v>
      </c>
      <c r="C1998">
        <v>16.7</v>
      </c>
      <c r="D1998">
        <f t="shared" si="62"/>
        <v>63</v>
      </c>
      <c r="E1998" t="str">
        <f t="shared" si="63"/>
        <v>63. Chile</v>
      </c>
    </row>
    <row r="1999" spans="1:5" x14ac:dyDescent="0.25">
      <c r="A1999" t="s">
        <v>203</v>
      </c>
      <c r="B1999" t="s">
        <v>325</v>
      </c>
      <c r="C1999">
        <v>15.5</v>
      </c>
      <c r="D1999">
        <f t="shared" si="62"/>
        <v>64</v>
      </c>
      <c r="E1999" t="str">
        <f t="shared" si="63"/>
        <v>64. Turkiye</v>
      </c>
    </row>
    <row r="2000" spans="1:5" x14ac:dyDescent="0.25">
      <c r="A2000" t="s">
        <v>171</v>
      </c>
      <c r="B2000" t="s">
        <v>325</v>
      </c>
      <c r="C2000">
        <v>14.9</v>
      </c>
      <c r="D2000">
        <f t="shared" si="62"/>
        <v>65</v>
      </c>
      <c r="E2000" t="str">
        <f t="shared" si="63"/>
        <v>65. Russian Federation</v>
      </c>
    </row>
    <row r="2001" spans="1:5" x14ac:dyDescent="0.25">
      <c r="A2001" t="s">
        <v>132</v>
      </c>
      <c r="B2001" t="s">
        <v>325</v>
      </c>
      <c r="C2001">
        <v>14.2</v>
      </c>
      <c r="D2001">
        <f t="shared" si="62"/>
        <v>66</v>
      </c>
      <c r="E2001" t="str">
        <f t="shared" si="63"/>
        <v>66. Mexico</v>
      </c>
    </row>
    <row r="2002" spans="1:5" x14ac:dyDescent="0.25">
      <c r="A2002" t="s">
        <v>119</v>
      </c>
      <c r="B2002" t="s">
        <v>325</v>
      </c>
      <c r="C2002">
        <v>14.2</v>
      </c>
      <c r="D2002">
        <f t="shared" si="62"/>
        <v>67</v>
      </c>
      <c r="E2002" t="str">
        <f t="shared" si="63"/>
        <v>67. St. Lucia</v>
      </c>
    </row>
    <row r="2003" spans="1:5" x14ac:dyDescent="0.25">
      <c r="A2003" t="s">
        <v>107</v>
      </c>
      <c r="B2003" t="s">
        <v>325</v>
      </c>
      <c r="C2003">
        <v>14</v>
      </c>
      <c r="D2003">
        <f t="shared" si="62"/>
        <v>68</v>
      </c>
      <c r="E2003" t="str">
        <f t="shared" si="63"/>
        <v>68. Kazakhstan</v>
      </c>
    </row>
    <row r="2004" spans="1:5" x14ac:dyDescent="0.25">
      <c r="A2004" t="s">
        <v>16</v>
      </c>
      <c r="B2004" t="s">
        <v>325</v>
      </c>
      <c r="C2004">
        <v>13.9</v>
      </c>
      <c r="D2004">
        <f t="shared" si="62"/>
        <v>69</v>
      </c>
      <c r="E2004" t="str">
        <f t="shared" si="63"/>
        <v>69. Argentina</v>
      </c>
    </row>
    <row r="2005" spans="1:5" x14ac:dyDescent="0.25">
      <c r="A2005" t="s">
        <v>182</v>
      </c>
      <c r="B2005" t="s">
        <v>325</v>
      </c>
      <c r="C2005">
        <v>13.5</v>
      </c>
      <c r="D2005">
        <f t="shared" si="62"/>
        <v>70</v>
      </c>
      <c r="E2005" t="str">
        <f t="shared" si="63"/>
        <v>70. Serbia</v>
      </c>
    </row>
    <row r="2006" spans="1:5" x14ac:dyDescent="0.25">
      <c r="A2006" t="s">
        <v>154</v>
      </c>
      <c r="B2006" t="s">
        <v>325</v>
      </c>
      <c r="C2006">
        <v>13.4</v>
      </c>
      <c r="D2006">
        <f t="shared" si="62"/>
        <v>71</v>
      </c>
      <c r="E2006" t="str">
        <f t="shared" si="63"/>
        <v>71. Nauru</v>
      </c>
    </row>
    <row r="2007" spans="1:5" x14ac:dyDescent="0.25">
      <c r="A2007" t="s">
        <v>46</v>
      </c>
      <c r="B2007" t="s">
        <v>325</v>
      </c>
      <c r="C2007">
        <v>13.3</v>
      </c>
      <c r="D2007">
        <f t="shared" si="62"/>
        <v>72</v>
      </c>
      <c r="E2007" t="str">
        <f t="shared" si="63"/>
        <v>72. China</v>
      </c>
    </row>
    <row r="2008" spans="1:5" x14ac:dyDescent="0.25">
      <c r="A2008" t="s">
        <v>131</v>
      </c>
      <c r="B2008" t="s">
        <v>325</v>
      </c>
      <c r="C2008">
        <v>13.2</v>
      </c>
      <c r="D2008">
        <f t="shared" si="62"/>
        <v>73</v>
      </c>
      <c r="E2008" t="str">
        <f t="shared" si="63"/>
        <v>73. Maldives</v>
      </c>
    </row>
    <row r="2009" spans="1:5" x14ac:dyDescent="0.25">
      <c r="A2009" t="s">
        <v>138</v>
      </c>
      <c r="B2009" t="s">
        <v>325</v>
      </c>
      <c r="C2009">
        <v>12.9</v>
      </c>
      <c r="D2009">
        <f t="shared" si="62"/>
        <v>74</v>
      </c>
      <c r="E2009" t="str">
        <f t="shared" si="63"/>
        <v>74. Montenegro</v>
      </c>
    </row>
    <row r="2010" spans="1:5" x14ac:dyDescent="0.25">
      <c r="A2010" t="s">
        <v>85</v>
      </c>
      <c r="B2010" t="s">
        <v>325</v>
      </c>
      <c r="C2010">
        <v>11.9</v>
      </c>
      <c r="D2010">
        <f t="shared" si="62"/>
        <v>75</v>
      </c>
      <c r="E2010" t="str">
        <f t="shared" si="63"/>
        <v>75. Grenada</v>
      </c>
    </row>
    <row r="2011" spans="1:5" x14ac:dyDescent="0.25">
      <c r="A2011" t="s">
        <v>145</v>
      </c>
      <c r="B2011" t="s">
        <v>325</v>
      </c>
      <c r="C2011">
        <v>11.9</v>
      </c>
      <c r="D2011">
        <f t="shared" si="62"/>
        <v>76</v>
      </c>
      <c r="E2011" t="str">
        <f t="shared" si="63"/>
        <v>76. Malaysia</v>
      </c>
    </row>
    <row r="2012" spans="1:5" x14ac:dyDescent="0.25">
      <c r="A2012" t="s">
        <v>143</v>
      </c>
      <c r="B2012" t="s">
        <v>325</v>
      </c>
      <c r="C2012">
        <v>11.9</v>
      </c>
      <c r="D2012">
        <f t="shared" si="62"/>
        <v>77</v>
      </c>
      <c r="E2012" t="str">
        <f t="shared" si="63"/>
        <v>77. Mauritius</v>
      </c>
    </row>
    <row r="2013" spans="1:5" x14ac:dyDescent="0.25">
      <c r="A2013" t="s">
        <v>211</v>
      </c>
      <c r="B2013" t="s">
        <v>325</v>
      </c>
      <c r="C2013">
        <v>11.5</v>
      </c>
      <c r="D2013">
        <f t="shared" si="62"/>
        <v>78</v>
      </c>
      <c r="E2013" t="str">
        <f t="shared" si="63"/>
        <v>78. St. Vincent and the Grenadines</v>
      </c>
    </row>
    <row r="2014" spans="1:5" x14ac:dyDescent="0.25">
      <c r="A2014" t="s">
        <v>64</v>
      </c>
      <c r="B2014" t="s">
        <v>325</v>
      </c>
      <c r="C2014">
        <v>10.9</v>
      </c>
      <c r="D2014">
        <f t="shared" si="62"/>
        <v>79</v>
      </c>
      <c r="E2014" t="str">
        <f t="shared" si="63"/>
        <v>79. Dominican Republic</v>
      </c>
    </row>
    <row r="2015" spans="1:5" x14ac:dyDescent="0.25">
      <c r="A2015" t="s">
        <v>62</v>
      </c>
      <c r="B2015" t="s">
        <v>325</v>
      </c>
      <c r="C2015">
        <v>10.4</v>
      </c>
      <c r="D2015">
        <f t="shared" si="62"/>
        <v>80</v>
      </c>
      <c r="E2015" t="str">
        <f t="shared" si="63"/>
        <v>80. Dominica</v>
      </c>
    </row>
    <row r="2016" spans="1:5" x14ac:dyDescent="0.25">
      <c r="A2016" t="s">
        <v>36</v>
      </c>
      <c r="B2016" t="s">
        <v>325</v>
      </c>
      <c r="C2016">
        <v>10.3</v>
      </c>
      <c r="D2016">
        <f t="shared" si="62"/>
        <v>81</v>
      </c>
      <c r="E2016" t="str">
        <f t="shared" si="63"/>
        <v>81. Brazil</v>
      </c>
    </row>
    <row r="2017" spans="1:5" x14ac:dyDescent="0.25">
      <c r="A2017" t="s">
        <v>13</v>
      </c>
      <c r="B2017" t="s">
        <v>325</v>
      </c>
      <c r="C2017">
        <v>10</v>
      </c>
      <c r="D2017">
        <f t="shared" si="62"/>
        <v>82</v>
      </c>
      <c r="E2017" t="str">
        <f t="shared" si="63"/>
        <v>82. Albania</v>
      </c>
    </row>
    <row r="2018" spans="1:5" x14ac:dyDescent="0.25">
      <c r="A2018" t="s">
        <v>134</v>
      </c>
      <c r="B2018" t="s">
        <v>325</v>
      </c>
      <c r="C2018">
        <v>9.3000000000000007</v>
      </c>
      <c r="D2018">
        <f t="shared" si="62"/>
        <v>83</v>
      </c>
      <c r="E2018" t="str">
        <f t="shared" si="63"/>
        <v>83. North Macedonia</v>
      </c>
    </row>
    <row r="2019" spans="1:5" x14ac:dyDescent="0.25">
      <c r="A2019" t="s">
        <v>78</v>
      </c>
      <c r="B2019" t="s">
        <v>325</v>
      </c>
      <c r="C2019">
        <v>9.1999999999999993</v>
      </c>
      <c r="D2019">
        <f t="shared" si="62"/>
        <v>84</v>
      </c>
      <c r="E2019" t="str">
        <f t="shared" si="63"/>
        <v>84. Georgia</v>
      </c>
    </row>
    <row r="2020" spans="1:5" x14ac:dyDescent="0.25">
      <c r="A2020" t="s">
        <v>31</v>
      </c>
      <c r="B2020" t="s">
        <v>325</v>
      </c>
      <c r="C2020">
        <v>9</v>
      </c>
      <c r="D2020">
        <f t="shared" si="62"/>
        <v>85</v>
      </c>
      <c r="E2020" t="str">
        <f t="shared" si="63"/>
        <v>85. Bosnia and Herzegovina</v>
      </c>
    </row>
    <row r="2021" spans="1:5" x14ac:dyDescent="0.25">
      <c r="A2021" t="s">
        <v>198</v>
      </c>
      <c r="B2021" t="s">
        <v>325</v>
      </c>
      <c r="C2021">
        <v>8.6</v>
      </c>
      <c r="D2021">
        <f t="shared" si="62"/>
        <v>86</v>
      </c>
      <c r="E2021" t="str">
        <f t="shared" si="63"/>
        <v>86. Turkmenistan</v>
      </c>
    </row>
    <row r="2022" spans="1:5" x14ac:dyDescent="0.25">
      <c r="A2022" t="s">
        <v>17</v>
      </c>
      <c r="B2022" t="s">
        <v>325</v>
      </c>
      <c r="C2022">
        <v>8.5</v>
      </c>
      <c r="D2022">
        <f t="shared" si="62"/>
        <v>87</v>
      </c>
      <c r="E2022" t="str">
        <f t="shared" si="63"/>
        <v>87. Armenia</v>
      </c>
    </row>
    <row r="2023" spans="1:5" x14ac:dyDescent="0.25">
      <c r="A2023" t="s">
        <v>159</v>
      </c>
      <c r="B2023" t="s">
        <v>325</v>
      </c>
      <c r="C2023">
        <v>8.5</v>
      </c>
      <c r="D2023">
        <f t="shared" si="62"/>
        <v>88</v>
      </c>
      <c r="E2023" t="str">
        <f t="shared" si="63"/>
        <v>88. Peru</v>
      </c>
    </row>
    <row r="2024" spans="1:5" x14ac:dyDescent="0.25">
      <c r="A2024" t="s">
        <v>33</v>
      </c>
      <c r="B2024" t="s">
        <v>325</v>
      </c>
      <c r="C2024">
        <v>8.4</v>
      </c>
      <c r="D2024">
        <f t="shared" si="62"/>
        <v>89</v>
      </c>
      <c r="E2024" t="str">
        <f t="shared" si="63"/>
        <v>89. Belize</v>
      </c>
    </row>
    <row r="2025" spans="1:5" x14ac:dyDescent="0.25">
      <c r="A2025" t="s">
        <v>32</v>
      </c>
      <c r="B2025" t="s">
        <v>325</v>
      </c>
      <c r="C2025">
        <v>8.3000000000000007</v>
      </c>
      <c r="D2025">
        <f t="shared" si="62"/>
        <v>90</v>
      </c>
      <c r="E2025" t="str">
        <f t="shared" si="63"/>
        <v>90. Belarus</v>
      </c>
    </row>
    <row r="2026" spans="1:5" x14ac:dyDescent="0.25">
      <c r="A2026" t="s">
        <v>76</v>
      </c>
      <c r="B2026" t="s">
        <v>325</v>
      </c>
      <c r="C2026">
        <v>8.1999999999999993</v>
      </c>
      <c r="D2026">
        <f t="shared" si="62"/>
        <v>91</v>
      </c>
      <c r="E2026" t="str">
        <f t="shared" si="63"/>
        <v>91. Gabon</v>
      </c>
    </row>
    <row r="2027" spans="1:5" x14ac:dyDescent="0.25">
      <c r="A2027" t="s">
        <v>51</v>
      </c>
      <c r="B2027" t="s">
        <v>325</v>
      </c>
      <c r="C2027">
        <v>7.9</v>
      </c>
      <c r="D2027">
        <f t="shared" si="62"/>
        <v>92</v>
      </c>
      <c r="E2027" t="str">
        <f t="shared" si="63"/>
        <v>92. Colombia</v>
      </c>
    </row>
    <row r="2028" spans="1:5" x14ac:dyDescent="0.25">
      <c r="A2028" t="s">
        <v>40</v>
      </c>
      <c r="B2028" t="s">
        <v>325</v>
      </c>
      <c r="C2028">
        <v>7.7</v>
      </c>
      <c r="D2028">
        <f t="shared" si="62"/>
        <v>93</v>
      </c>
      <c r="E2028" t="str">
        <f t="shared" si="63"/>
        <v>93. Botswana</v>
      </c>
    </row>
    <row r="2029" spans="1:5" x14ac:dyDescent="0.25">
      <c r="A2029" t="s">
        <v>129</v>
      </c>
      <c r="B2029" t="s">
        <v>325</v>
      </c>
      <c r="C2029">
        <v>7.6</v>
      </c>
      <c r="D2029">
        <f t="shared" si="62"/>
        <v>94</v>
      </c>
      <c r="E2029" t="str">
        <f t="shared" si="63"/>
        <v>94. Moldova</v>
      </c>
    </row>
    <row r="2030" spans="1:5" x14ac:dyDescent="0.25">
      <c r="A2030" t="s">
        <v>133</v>
      </c>
      <c r="B2030" t="s">
        <v>325</v>
      </c>
      <c r="C2030">
        <v>7.5</v>
      </c>
      <c r="D2030">
        <f t="shared" si="62"/>
        <v>95</v>
      </c>
      <c r="E2030" t="str">
        <f t="shared" si="63"/>
        <v>95. Marshall Islands</v>
      </c>
    </row>
    <row r="2031" spans="1:5" x14ac:dyDescent="0.25">
      <c r="A2031" t="s">
        <v>185</v>
      </c>
      <c r="B2031" t="s">
        <v>325</v>
      </c>
      <c r="C2031">
        <v>7.4</v>
      </c>
      <c r="D2031">
        <f t="shared" si="62"/>
        <v>96</v>
      </c>
      <c r="E2031" t="str">
        <f t="shared" si="63"/>
        <v>96. Suriname</v>
      </c>
    </row>
    <row r="2032" spans="1:5" x14ac:dyDescent="0.25">
      <c r="A2032" t="s">
        <v>22</v>
      </c>
      <c r="B2032" t="s">
        <v>325</v>
      </c>
      <c r="C2032">
        <v>7.3</v>
      </c>
      <c r="D2032">
        <f t="shared" si="62"/>
        <v>97</v>
      </c>
      <c r="E2032" t="str">
        <f t="shared" si="63"/>
        <v>97. Azerbaijan</v>
      </c>
    </row>
    <row r="2033" spans="1:5" x14ac:dyDescent="0.25">
      <c r="A2033" t="s">
        <v>216</v>
      </c>
      <c r="B2033" t="s">
        <v>325</v>
      </c>
      <c r="C2033">
        <v>7.3</v>
      </c>
      <c r="D2033">
        <f t="shared" si="62"/>
        <v>98</v>
      </c>
      <c r="E2033" t="str">
        <f t="shared" si="63"/>
        <v>98. Kosovo</v>
      </c>
    </row>
    <row r="2034" spans="1:5" x14ac:dyDescent="0.25">
      <c r="A2034" t="s">
        <v>196</v>
      </c>
      <c r="B2034" t="s">
        <v>325</v>
      </c>
      <c r="C2034">
        <v>7.3</v>
      </c>
      <c r="D2034">
        <f t="shared" si="62"/>
        <v>99</v>
      </c>
      <c r="E2034" t="str">
        <f t="shared" si="63"/>
        <v>99. Thailand</v>
      </c>
    </row>
    <row r="2035" spans="1:5" x14ac:dyDescent="0.25">
      <c r="A2035" t="s">
        <v>104</v>
      </c>
      <c r="B2035" t="s">
        <v>325</v>
      </c>
      <c r="C2035">
        <v>7</v>
      </c>
      <c r="D2035">
        <f t="shared" si="62"/>
        <v>100</v>
      </c>
      <c r="E2035" t="str">
        <f t="shared" si="63"/>
        <v>100. Jamaica</v>
      </c>
    </row>
    <row r="2036" spans="1:5" x14ac:dyDescent="0.25">
      <c r="A2036" t="s">
        <v>66</v>
      </c>
      <c r="B2036" t="s">
        <v>325</v>
      </c>
      <c r="C2036">
        <v>6.9</v>
      </c>
      <c r="D2036">
        <f t="shared" si="62"/>
        <v>101</v>
      </c>
      <c r="E2036" t="str">
        <f t="shared" si="63"/>
        <v>101. Ecuador</v>
      </c>
    </row>
    <row r="2037" spans="1:5" x14ac:dyDescent="0.25">
      <c r="A2037" t="s">
        <v>83</v>
      </c>
      <c r="B2037" t="s">
        <v>325</v>
      </c>
      <c r="C2037">
        <v>6.7</v>
      </c>
      <c r="D2037">
        <f t="shared" si="62"/>
        <v>102</v>
      </c>
      <c r="E2037" t="str">
        <f t="shared" si="63"/>
        <v>102. Equatorial Guinea</v>
      </c>
    </row>
    <row r="2038" spans="1:5" x14ac:dyDescent="0.25">
      <c r="A2038" t="s">
        <v>139</v>
      </c>
      <c r="B2038" t="s">
        <v>325</v>
      </c>
      <c r="C2038">
        <v>6.7</v>
      </c>
      <c r="D2038">
        <f t="shared" si="62"/>
        <v>103</v>
      </c>
      <c r="E2038" t="str">
        <f t="shared" si="63"/>
        <v>103. Mongolia</v>
      </c>
    </row>
    <row r="2039" spans="1:5" x14ac:dyDescent="0.25">
      <c r="A2039" t="s">
        <v>166</v>
      </c>
      <c r="B2039" t="s">
        <v>325</v>
      </c>
      <c r="C2039">
        <v>6.4</v>
      </c>
      <c r="D2039">
        <f t="shared" si="62"/>
        <v>104</v>
      </c>
      <c r="E2039" t="str">
        <f t="shared" si="63"/>
        <v>104. Paraguay</v>
      </c>
    </row>
    <row r="2040" spans="1:5" x14ac:dyDescent="0.25">
      <c r="A2040" t="s">
        <v>72</v>
      </c>
      <c r="B2040" t="s">
        <v>325</v>
      </c>
      <c r="C2040">
        <v>6.3</v>
      </c>
      <c r="D2040">
        <f t="shared" si="62"/>
        <v>105</v>
      </c>
      <c r="E2040" t="str">
        <f t="shared" si="63"/>
        <v>105. Fiji</v>
      </c>
    </row>
    <row r="2041" spans="1:5" x14ac:dyDescent="0.25">
      <c r="A2041" t="s">
        <v>118</v>
      </c>
      <c r="B2041" t="s">
        <v>325</v>
      </c>
      <c r="C2041">
        <v>6.3</v>
      </c>
      <c r="D2041">
        <f t="shared" si="62"/>
        <v>106</v>
      </c>
      <c r="E2041" t="str">
        <f t="shared" si="63"/>
        <v>106. Libya</v>
      </c>
    </row>
    <row r="2042" spans="1:5" x14ac:dyDescent="0.25">
      <c r="A2042" t="s">
        <v>218</v>
      </c>
      <c r="B2042" t="s">
        <v>325</v>
      </c>
      <c r="C2042">
        <v>6.3</v>
      </c>
      <c r="D2042">
        <f t="shared" si="62"/>
        <v>107</v>
      </c>
      <c r="E2042" t="str">
        <f t="shared" si="63"/>
        <v>107. South Africa</v>
      </c>
    </row>
    <row r="2043" spans="1:5" x14ac:dyDescent="0.25">
      <c r="A2043" t="s">
        <v>87</v>
      </c>
      <c r="B2043" t="s">
        <v>325</v>
      </c>
      <c r="C2043">
        <v>6.2</v>
      </c>
      <c r="D2043">
        <f t="shared" si="62"/>
        <v>108</v>
      </c>
      <c r="E2043" t="str">
        <f t="shared" si="63"/>
        <v>108. Guatemala</v>
      </c>
    </row>
    <row r="2044" spans="1:5" x14ac:dyDescent="0.25">
      <c r="A2044" t="s">
        <v>100</v>
      </c>
      <c r="B2044" t="s">
        <v>325</v>
      </c>
      <c r="C2044">
        <v>6.1</v>
      </c>
      <c r="D2044">
        <f t="shared" si="62"/>
        <v>109</v>
      </c>
      <c r="E2044" t="str">
        <f t="shared" si="63"/>
        <v>109. Iraq</v>
      </c>
    </row>
    <row r="2045" spans="1:5" x14ac:dyDescent="0.25">
      <c r="A2045" t="s">
        <v>65</v>
      </c>
      <c r="B2045" t="s">
        <v>325</v>
      </c>
      <c r="C2045">
        <v>5.6</v>
      </c>
      <c r="D2045">
        <f t="shared" si="62"/>
        <v>110</v>
      </c>
      <c r="E2045" t="str">
        <f t="shared" si="63"/>
        <v>110. Algeria</v>
      </c>
    </row>
    <row r="2046" spans="1:5" x14ac:dyDescent="0.25">
      <c r="A2046" t="s">
        <v>179</v>
      </c>
      <c r="B2046" t="s">
        <v>325</v>
      </c>
      <c r="C2046">
        <v>5.6</v>
      </c>
      <c r="D2046">
        <f t="shared" si="62"/>
        <v>111</v>
      </c>
      <c r="E2046" t="str">
        <f t="shared" si="63"/>
        <v>111. El Salvador</v>
      </c>
    </row>
    <row r="2047" spans="1:5" x14ac:dyDescent="0.25">
      <c r="A2047" t="s">
        <v>207</v>
      </c>
      <c r="B2047" t="s">
        <v>325</v>
      </c>
      <c r="C2047">
        <v>5.4</v>
      </c>
      <c r="D2047">
        <f t="shared" si="62"/>
        <v>112</v>
      </c>
      <c r="E2047" t="str">
        <f t="shared" si="63"/>
        <v>112. Ukraine</v>
      </c>
    </row>
    <row r="2048" spans="1:5" x14ac:dyDescent="0.25">
      <c r="A2048" t="s">
        <v>53</v>
      </c>
      <c r="B2048" t="s">
        <v>325</v>
      </c>
      <c r="C2048">
        <v>5.3</v>
      </c>
      <c r="D2048">
        <f t="shared" si="62"/>
        <v>113</v>
      </c>
      <c r="E2048" t="str">
        <f t="shared" si="63"/>
        <v>113. Cabo Verde</v>
      </c>
    </row>
    <row r="2049" spans="1:5" x14ac:dyDescent="0.25">
      <c r="A2049" t="s">
        <v>95</v>
      </c>
      <c r="B2049" t="s">
        <v>325</v>
      </c>
      <c r="C2049">
        <v>4.9000000000000004</v>
      </c>
      <c r="D2049">
        <f t="shared" si="62"/>
        <v>114</v>
      </c>
      <c r="E2049" t="str">
        <f t="shared" si="63"/>
        <v>114. Indonesia</v>
      </c>
    </row>
    <row r="2050" spans="1:5" x14ac:dyDescent="0.25">
      <c r="A2050" t="s">
        <v>215</v>
      </c>
      <c r="B2050" t="s">
        <v>325</v>
      </c>
      <c r="C2050">
        <v>4.9000000000000004</v>
      </c>
      <c r="D2050">
        <f t="shared" si="62"/>
        <v>115</v>
      </c>
      <c r="E2050" t="str">
        <f t="shared" si="63"/>
        <v>115. Samoa</v>
      </c>
    </row>
    <row r="2051" spans="1:5" x14ac:dyDescent="0.25">
      <c r="A2051" t="s">
        <v>99</v>
      </c>
      <c r="B2051" t="s">
        <v>325</v>
      </c>
      <c r="C2051">
        <v>4.8</v>
      </c>
      <c r="D2051">
        <f t="shared" ref="D2051:D2114" si="64">IF(ROW() = 2, 1, IF(B2051 = B2050, D2050 + 1, 1))</f>
        <v>116</v>
      </c>
      <c r="E2051" t="str">
        <f t="shared" ref="E2051:E2114" si="65">_xlfn.CONCAT(D2051, ". ", A2051)</f>
        <v>116. Iran, Islamic Rep.</v>
      </c>
    </row>
    <row r="2052" spans="1:5" x14ac:dyDescent="0.25">
      <c r="A2052" t="s">
        <v>213</v>
      </c>
      <c r="B2052" t="s">
        <v>325</v>
      </c>
      <c r="C2052">
        <v>4.7</v>
      </c>
      <c r="D2052">
        <f t="shared" si="64"/>
        <v>117</v>
      </c>
      <c r="E2052" t="str">
        <f t="shared" si="65"/>
        <v>117. Viet Nam</v>
      </c>
    </row>
    <row r="2053" spans="1:5" x14ac:dyDescent="0.25">
      <c r="A2053" t="s">
        <v>105</v>
      </c>
      <c r="B2053" t="s">
        <v>325</v>
      </c>
      <c r="C2053">
        <v>4.5999999999999996</v>
      </c>
      <c r="D2053">
        <f t="shared" si="64"/>
        <v>118</v>
      </c>
      <c r="E2053" t="str">
        <f t="shared" si="65"/>
        <v>118. Jordan</v>
      </c>
    </row>
    <row r="2054" spans="1:5" x14ac:dyDescent="0.25">
      <c r="A2054" t="s">
        <v>121</v>
      </c>
      <c r="B2054" t="s">
        <v>325</v>
      </c>
      <c r="C2054">
        <v>4.5</v>
      </c>
      <c r="D2054">
        <f t="shared" si="64"/>
        <v>119</v>
      </c>
      <c r="E2054" t="str">
        <f t="shared" si="65"/>
        <v>119. Sri Lanka</v>
      </c>
    </row>
    <row r="2055" spans="1:5" x14ac:dyDescent="0.25">
      <c r="A2055" t="s">
        <v>146</v>
      </c>
      <c r="B2055" t="s">
        <v>325</v>
      </c>
      <c r="C2055">
        <v>4.4000000000000004</v>
      </c>
      <c r="D2055">
        <f t="shared" si="64"/>
        <v>120</v>
      </c>
      <c r="E2055" t="str">
        <f t="shared" si="65"/>
        <v>120. Namibia</v>
      </c>
    </row>
    <row r="2056" spans="1:5" x14ac:dyDescent="0.25">
      <c r="A2056" t="s">
        <v>202</v>
      </c>
      <c r="B2056" t="s">
        <v>325</v>
      </c>
      <c r="C2056">
        <v>4.4000000000000004</v>
      </c>
      <c r="D2056">
        <f t="shared" si="64"/>
        <v>121</v>
      </c>
      <c r="E2056" t="str">
        <f t="shared" si="65"/>
        <v>121. Tunisia</v>
      </c>
    </row>
    <row r="2057" spans="1:5" x14ac:dyDescent="0.25">
      <c r="A2057" t="s">
        <v>75</v>
      </c>
      <c r="B2057" t="s">
        <v>325</v>
      </c>
      <c r="C2057">
        <v>4.2</v>
      </c>
      <c r="D2057">
        <f t="shared" si="64"/>
        <v>122</v>
      </c>
      <c r="E2057" t="str">
        <f t="shared" si="65"/>
        <v>122. Micronesia, Fed. Sts.</v>
      </c>
    </row>
    <row r="2058" spans="1:5" x14ac:dyDescent="0.25">
      <c r="A2058" t="s">
        <v>35</v>
      </c>
      <c r="B2058" t="s">
        <v>325</v>
      </c>
      <c r="C2058">
        <v>4</v>
      </c>
      <c r="D2058">
        <f t="shared" si="64"/>
        <v>123</v>
      </c>
      <c r="E2058" t="str">
        <f t="shared" si="65"/>
        <v>123. Bolivia</v>
      </c>
    </row>
    <row r="2059" spans="1:5" x14ac:dyDescent="0.25">
      <c r="A2059" t="s">
        <v>127</v>
      </c>
      <c r="B2059" t="s">
        <v>325</v>
      </c>
      <c r="C2059">
        <v>4</v>
      </c>
      <c r="D2059">
        <f t="shared" si="64"/>
        <v>124</v>
      </c>
      <c r="E2059" t="str">
        <f t="shared" si="65"/>
        <v>124. Morocco</v>
      </c>
    </row>
    <row r="2060" spans="1:5" x14ac:dyDescent="0.25">
      <c r="A2060" t="s">
        <v>160</v>
      </c>
      <c r="B2060" t="s">
        <v>325</v>
      </c>
      <c r="C2060">
        <v>4</v>
      </c>
      <c r="D2060">
        <f t="shared" si="64"/>
        <v>125</v>
      </c>
      <c r="E2060" t="str">
        <f t="shared" si="65"/>
        <v>125. Philippines</v>
      </c>
    </row>
    <row r="2061" spans="1:5" x14ac:dyDescent="0.25">
      <c r="A2061" t="s">
        <v>189</v>
      </c>
      <c r="B2061" t="s">
        <v>325</v>
      </c>
      <c r="C2061">
        <v>3.9</v>
      </c>
      <c r="D2061">
        <f t="shared" si="64"/>
        <v>126</v>
      </c>
      <c r="E2061" t="str">
        <f t="shared" si="65"/>
        <v>126. Eswatini</v>
      </c>
    </row>
    <row r="2062" spans="1:5" x14ac:dyDescent="0.25">
      <c r="A2062" t="s">
        <v>61</v>
      </c>
      <c r="B2062" t="s">
        <v>325</v>
      </c>
      <c r="C2062">
        <v>3.5</v>
      </c>
      <c r="D2062">
        <f t="shared" si="64"/>
        <v>127</v>
      </c>
      <c r="E2062" t="str">
        <f t="shared" si="65"/>
        <v>127. Djibouti</v>
      </c>
    </row>
    <row r="2063" spans="1:5" x14ac:dyDescent="0.25">
      <c r="A2063" t="s">
        <v>214</v>
      </c>
      <c r="B2063" t="s">
        <v>325</v>
      </c>
      <c r="C2063">
        <v>3.5</v>
      </c>
      <c r="D2063">
        <f t="shared" si="64"/>
        <v>128</v>
      </c>
      <c r="E2063" t="str">
        <f t="shared" si="65"/>
        <v>128. Vanuatu</v>
      </c>
    </row>
    <row r="2064" spans="1:5" x14ac:dyDescent="0.25">
      <c r="A2064" t="s">
        <v>91</v>
      </c>
      <c r="B2064" t="s">
        <v>325</v>
      </c>
      <c r="C2064">
        <v>3.4</v>
      </c>
      <c r="D2064">
        <f t="shared" si="64"/>
        <v>129</v>
      </c>
      <c r="E2064" t="str">
        <f t="shared" si="65"/>
        <v>129. Honduras</v>
      </c>
    </row>
    <row r="2065" spans="1:5" x14ac:dyDescent="0.25">
      <c r="A2065" t="s">
        <v>67</v>
      </c>
      <c r="B2065" t="s">
        <v>325</v>
      </c>
      <c r="C2065">
        <v>3.3</v>
      </c>
      <c r="D2065">
        <f t="shared" si="64"/>
        <v>130</v>
      </c>
      <c r="E2065" t="str">
        <f t="shared" si="65"/>
        <v>130. Egypt, Arab Rep.</v>
      </c>
    </row>
    <row r="2066" spans="1:5" x14ac:dyDescent="0.25">
      <c r="A2066" t="s">
        <v>184</v>
      </c>
      <c r="B2066" t="s">
        <v>325</v>
      </c>
      <c r="C2066">
        <v>3.2</v>
      </c>
      <c r="D2066">
        <f t="shared" si="64"/>
        <v>131</v>
      </c>
      <c r="E2066" t="str">
        <f t="shared" si="65"/>
        <v>131. Sao Tome and Principe</v>
      </c>
    </row>
    <row r="2067" spans="1:5" x14ac:dyDescent="0.25">
      <c r="A2067" t="s">
        <v>210</v>
      </c>
      <c r="B2067" t="s">
        <v>325</v>
      </c>
      <c r="C2067">
        <v>3.2</v>
      </c>
      <c r="D2067">
        <f t="shared" si="64"/>
        <v>132</v>
      </c>
      <c r="E2067" t="str">
        <f t="shared" si="65"/>
        <v>132. Uzbekistan</v>
      </c>
    </row>
    <row r="2068" spans="1:5" x14ac:dyDescent="0.25">
      <c r="A2068" t="s">
        <v>162</v>
      </c>
      <c r="B2068" t="s">
        <v>325</v>
      </c>
      <c r="C2068">
        <v>3.1</v>
      </c>
      <c r="D2068">
        <f t="shared" si="64"/>
        <v>133</v>
      </c>
      <c r="E2068" t="str">
        <f t="shared" si="65"/>
        <v>133. Papua New Guinea</v>
      </c>
    </row>
    <row r="2069" spans="1:5" x14ac:dyDescent="0.25">
      <c r="A2069" t="s">
        <v>150</v>
      </c>
      <c r="B2069" t="s">
        <v>325</v>
      </c>
      <c r="C2069">
        <v>2.8</v>
      </c>
      <c r="D2069">
        <f t="shared" si="64"/>
        <v>134</v>
      </c>
      <c r="E2069" t="str">
        <f t="shared" si="65"/>
        <v>134. Nicaragua</v>
      </c>
    </row>
    <row r="2070" spans="1:5" x14ac:dyDescent="0.25">
      <c r="A2070" t="s">
        <v>47</v>
      </c>
      <c r="B2070" t="s">
        <v>325</v>
      </c>
      <c r="C2070">
        <v>2.7</v>
      </c>
      <c r="D2070">
        <f t="shared" si="64"/>
        <v>135</v>
      </c>
      <c r="E2070" t="str">
        <f t="shared" si="65"/>
        <v>135. Cote d'Ivoire</v>
      </c>
    </row>
    <row r="2071" spans="1:5" x14ac:dyDescent="0.25">
      <c r="A2071" t="s">
        <v>97</v>
      </c>
      <c r="B2071" t="s">
        <v>325</v>
      </c>
      <c r="C2071">
        <v>2.7</v>
      </c>
      <c r="D2071">
        <f t="shared" si="64"/>
        <v>136</v>
      </c>
      <c r="E2071" t="str">
        <f t="shared" si="65"/>
        <v>136. India</v>
      </c>
    </row>
    <row r="2072" spans="1:5" x14ac:dyDescent="0.25">
      <c r="A2072" t="s">
        <v>220</v>
      </c>
      <c r="B2072" t="s">
        <v>325</v>
      </c>
      <c r="C2072">
        <v>2.7</v>
      </c>
      <c r="D2072">
        <f t="shared" si="64"/>
        <v>137</v>
      </c>
      <c r="E2072" t="str">
        <f t="shared" si="65"/>
        <v>137. Zimbabwe</v>
      </c>
    </row>
    <row r="2073" spans="1:5" x14ac:dyDescent="0.25">
      <c r="A2073" t="s">
        <v>27</v>
      </c>
      <c r="B2073" t="s">
        <v>325</v>
      </c>
      <c r="C2073">
        <v>2.6</v>
      </c>
      <c r="D2073">
        <f t="shared" si="64"/>
        <v>138</v>
      </c>
      <c r="E2073" t="str">
        <f t="shared" si="65"/>
        <v>138. Bangladesh</v>
      </c>
    </row>
    <row r="2074" spans="1:5" x14ac:dyDescent="0.25">
      <c r="A2074" t="s">
        <v>110</v>
      </c>
      <c r="B2074" t="s">
        <v>325</v>
      </c>
      <c r="C2074">
        <v>2.6</v>
      </c>
      <c r="D2074">
        <f t="shared" si="64"/>
        <v>139</v>
      </c>
      <c r="E2074" t="str">
        <f t="shared" si="65"/>
        <v>139. Cambodia</v>
      </c>
    </row>
    <row r="2075" spans="1:5" x14ac:dyDescent="0.25">
      <c r="A2075" t="s">
        <v>167</v>
      </c>
      <c r="B2075" t="s">
        <v>325</v>
      </c>
      <c r="C2075">
        <v>2.6</v>
      </c>
      <c r="D2075">
        <f t="shared" si="64"/>
        <v>140</v>
      </c>
      <c r="E2075" t="str">
        <f t="shared" si="65"/>
        <v>140. West Bank and Gaza</v>
      </c>
    </row>
    <row r="2076" spans="1:5" x14ac:dyDescent="0.25">
      <c r="A2076" t="s">
        <v>50</v>
      </c>
      <c r="B2076" t="s">
        <v>325</v>
      </c>
      <c r="C2076">
        <v>2.5</v>
      </c>
      <c r="D2076">
        <f t="shared" si="64"/>
        <v>141</v>
      </c>
      <c r="E2076" t="str">
        <f t="shared" si="65"/>
        <v>141. Congo, Rep.</v>
      </c>
    </row>
    <row r="2077" spans="1:5" x14ac:dyDescent="0.25">
      <c r="A2077" t="s">
        <v>79</v>
      </c>
      <c r="B2077" t="s">
        <v>325</v>
      </c>
      <c r="C2077">
        <v>2.4</v>
      </c>
      <c r="D2077">
        <f t="shared" si="64"/>
        <v>142</v>
      </c>
      <c r="E2077" t="str">
        <f t="shared" si="65"/>
        <v>142. Ghana</v>
      </c>
    </row>
    <row r="2078" spans="1:5" x14ac:dyDescent="0.25">
      <c r="A2078" t="s">
        <v>109</v>
      </c>
      <c r="B2078" t="s">
        <v>325</v>
      </c>
      <c r="C2078">
        <v>2.4</v>
      </c>
      <c r="D2078">
        <f t="shared" si="64"/>
        <v>143</v>
      </c>
      <c r="E2078" t="str">
        <f t="shared" si="65"/>
        <v>143. Kyrgyz Republic</v>
      </c>
    </row>
    <row r="2079" spans="1:5" x14ac:dyDescent="0.25">
      <c r="A2079" t="s">
        <v>111</v>
      </c>
      <c r="B2079" t="s">
        <v>325</v>
      </c>
      <c r="C2079">
        <v>2.2999999999999998</v>
      </c>
      <c r="D2079">
        <f t="shared" si="64"/>
        <v>144</v>
      </c>
      <c r="E2079" t="str">
        <f t="shared" si="65"/>
        <v>144. Kiribati</v>
      </c>
    </row>
    <row r="2080" spans="1:5" x14ac:dyDescent="0.25">
      <c r="A2080" t="s">
        <v>108</v>
      </c>
      <c r="B2080" t="s">
        <v>325</v>
      </c>
      <c r="C2080">
        <v>2.2000000000000002</v>
      </c>
      <c r="D2080">
        <f t="shared" si="64"/>
        <v>145</v>
      </c>
      <c r="E2080" t="str">
        <f t="shared" si="65"/>
        <v>145. Kenya</v>
      </c>
    </row>
    <row r="2081" spans="1:5" x14ac:dyDescent="0.25">
      <c r="A2081" t="s">
        <v>12</v>
      </c>
      <c r="B2081" t="s">
        <v>325</v>
      </c>
      <c r="C2081">
        <v>2.1</v>
      </c>
      <c r="D2081">
        <f t="shared" si="64"/>
        <v>146</v>
      </c>
      <c r="E2081" t="str">
        <f t="shared" si="65"/>
        <v>146. Angola</v>
      </c>
    </row>
    <row r="2082" spans="1:5" x14ac:dyDescent="0.25">
      <c r="A2082" t="s">
        <v>93</v>
      </c>
      <c r="B2082" t="s">
        <v>325</v>
      </c>
      <c r="C2082">
        <v>2.1</v>
      </c>
      <c r="D2082">
        <f t="shared" si="64"/>
        <v>147</v>
      </c>
      <c r="E2082" t="str">
        <f t="shared" si="65"/>
        <v>147. Haiti</v>
      </c>
    </row>
    <row r="2083" spans="1:5" x14ac:dyDescent="0.25">
      <c r="A2083" t="s">
        <v>115</v>
      </c>
      <c r="B2083" t="s">
        <v>325</v>
      </c>
      <c r="C2083">
        <v>2.1</v>
      </c>
      <c r="D2083">
        <f t="shared" si="64"/>
        <v>148</v>
      </c>
      <c r="E2083" t="str">
        <f t="shared" si="65"/>
        <v>148. Lao PDR</v>
      </c>
    </row>
    <row r="2084" spans="1:5" x14ac:dyDescent="0.25">
      <c r="A2084" t="s">
        <v>142</v>
      </c>
      <c r="B2084" t="s">
        <v>325</v>
      </c>
      <c r="C2084">
        <v>2.1</v>
      </c>
      <c r="D2084">
        <f t="shared" si="64"/>
        <v>149</v>
      </c>
      <c r="E2084" t="str">
        <f t="shared" si="65"/>
        <v>149. Mauritania</v>
      </c>
    </row>
    <row r="2085" spans="1:5" x14ac:dyDescent="0.25">
      <c r="A2085" t="s">
        <v>177</v>
      </c>
      <c r="B2085" t="s">
        <v>325</v>
      </c>
      <c r="C2085">
        <v>2.1</v>
      </c>
      <c r="D2085">
        <f t="shared" si="64"/>
        <v>150</v>
      </c>
      <c r="E2085" t="str">
        <f t="shared" si="65"/>
        <v>150. Solomon Islands</v>
      </c>
    </row>
    <row r="2086" spans="1:5" x14ac:dyDescent="0.25">
      <c r="A2086" t="s">
        <v>48</v>
      </c>
      <c r="B2086" t="s">
        <v>325</v>
      </c>
      <c r="C2086">
        <v>1.8</v>
      </c>
      <c r="D2086">
        <f t="shared" si="64"/>
        <v>151</v>
      </c>
      <c r="E2086" t="str">
        <f t="shared" si="65"/>
        <v>151. Cameroon</v>
      </c>
    </row>
    <row r="2087" spans="1:5" x14ac:dyDescent="0.25">
      <c r="A2087" t="s">
        <v>52</v>
      </c>
      <c r="B2087" t="s">
        <v>325</v>
      </c>
      <c r="C2087">
        <v>1.8</v>
      </c>
      <c r="D2087">
        <f t="shared" si="64"/>
        <v>152</v>
      </c>
      <c r="E2087" t="str">
        <f t="shared" si="65"/>
        <v>152. Comoros</v>
      </c>
    </row>
    <row r="2088" spans="1:5" x14ac:dyDescent="0.25">
      <c r="A2088" t="s">
        <v>80</v>
      </c>
      <c r="B2088" t="s">
        <v>325</v>
      </c>
      <c r="C2088">
        <v>1.7</v>
      </c>
      <c r="D2088">
        <f t="shared" si="64"/>
        <v>153</v>
      </c>
      <c r="E2088" t="str">
        <f t="shared" si="65"/>
        <v>153. Guinea</v>
      </c>
    </row>
    <row r="2089" spans="1:5" x14ac:dyDescent="0.25">
      <c r="A2089" t="s">
        <v>175</v>
      </c>
      <c r="B2089" t="s">
        <v>325</v>
      </c>
      <c r="C2089">
        <v>1.7</v>
      </c>
      <c r="D2089">
        <f t="shared" si="64"/>
        <v>154</v>
      </c>
      <c r="E2089" t="str">
        <f t="shared" si="65"/>
        <v>154. Senegal</v>
      </c>
    </row>
    <row r="2090" spans="1:5" x14ac:dyDescent="0.25">
      <c r="A2090" t="s">
        <v>25</v>
      </c>
      <c r="B2090" t="s">
        <v>325</v>
      </c>
      <c r="C2090">
        <v>1.5</v>
      </c>
      <c r="D2090">
        <f t="shared" si="64"/>
        <v>155</v>
      </c>
      <c r="E2090" t="str">
        <f t="shared" si="65"/>
        <v>155. Benin</v>
      </c>
    </row>
    <row r="2091" spans="1:5" x14ac:dyDescent="0.25">
      <c r="A2091" t="s">
        <v>157</v>
      </c>
      <c r="B2091" t="s">
        <v>325</v>
      </c>
      <c r="C2091">
        <v>1.5</v>
      </c>
      <c r="D2091">
        <f t="shared" si="64"/>
        <v>156</v>
      </c>
      <c r="E2091" t="str">
        <f t="shared" si="65"/>
        <v>156. Pakistan</v>
      </c>
    </row>
    <row r="2092" spans="1:5" x14ac:dyDescent="0.25">
      <c r="A2092" t="s">
        <v>137</v>
      </c>
      <c r="B2092" t="s">
        <v>325</v>
      </c>
      <c r="C2092">
        <v>1.4</v>
      </c>
      <c r="D2092">
        <f t="shared" si="64"/>
        <v>157</v>
      </c>
      <c r="E2092" t="str">
        <f t="shared" si="65"/>
        <v>157. Myanmar</v>
      </c>
    </row>
    <row r="2093" spans="1:5" x14ac:dyDescent="0.25">
      <c r="A2093" t="s">
        <v>153</v>
      </c>
      <c r="B2093" t="s">
        <v>325</v>
      </c>
      <c r="C2093">
        <v>1.4</v>
      </c>
      <c r="D2093">
        <f t="shared" si="64"/>
        <v>158</v>
      </c>
      <c r="E2093" t="str">
        <f t="shared" si="65"/>
        <v>158. Nepal</v>
      </c>
    </row>
    <row r="2094" spans="1:5" x14ac:dyDescent="0.25">
      <c r="A2094" t="s">
        <v>197</v>
      </c>
      <c r="B2094" t="s">
        <v>325</v>
      </c>
      <c r="C2094">
        <v>1.3</v>
      </c>
      <c r="D2094">
        <f t="shared" si="64"/>
        <v>159</v>
      </c>
      <c r="E2094" t="str">
        <f t="shared" si="65"/>
        <v>159. Tajikistan</v>
      </c>
    </row>
    <row r="2095" spans="1:5" x14ac:dyDescent="0.25">
      <c r="A2095" t="s">
        <v>199</v>
      </c>
      <c r="B2095" t="s">
        <v>325</v>
      </c>
      <c r="C2095">
        <v>1.3</v>
      </c>
      <c r="D2095">
        <f t="shared" si="64"/>
        <v>160</v>
      </c>
      <c r="E2095" t="str">
        <f t="shared" si="65"/>
        <v>160. Timor-Leste</v>
      </c>
    </row>
    <row r="2096" spans="1:5" x14ac:dyDescent="0.25">
      <c r="A2096" t="s">
        <v>205</v>
      </c>
      <c r="B2096" t="s">
        <v>325</v>
      </c>
      <c r="C2096">
        <v>1.2</v>
      </c>
      <c r="D2096">
        <f t="shared" si="64"/>
        <v>161</v>
      </c>
      <c r="E2096" t="str">
        <f t="shared" si="65"/>
        <v>161. Tanzania</v>
      </c>
    </row>
    <row r="2097" spans="1:5" x14ac:dyDescent="0.25">
      <c r="A2097" t="s">
        <v>219</v>
      </c>
      <c r="B2097" t="s">
        <v>325</v>
      </c>
      <c r="C2097">
        <v>1.2</v>
      </c>
      <c r="D2097">
        <f t="shared" si="64"/>
        <v>162</v>
      </c>
      <c r="E2097" t="str">
        <f t="shared" si="65"/>
        <v>162. Zambia</v>
      </c>
    </row>
    <row r="2098" spans="1:5" x14ac:dyDescent="0.25">
      <c r="A2098" t="s">
        <v>135</v>
      </c>
      <c r="B2098" t="s">
        <v>325</v>
      </c>
      <c r="C2098">
        <v>1.1000000000000001</v>
      </c>
      <c r="D2098">
        <f t="shared" si="64"/>
        <v>163</v>
      </c>
      <c r="E2098" t="str">
        <f t="shared" si="65"/>
        <v>163. Mali</v>
      </c>
    </row>
    <row r="2099" spans="1:5" x14ac:dyDescent="0.25">
      <c r="A2099" t="s">
        <v>206</v>
      </c>
      <c r="B2099" t="s">
        <v>325</v>
      </c>
      <c r="C2099">
        <v>1.1000000000000001</v>
      </c>
      <c r="D2099">
        <f t="shared" si="64"/>
        <v>164</v>
      </c>
      <c r="E2099" t="str">
        <f t="shared" si="65"/>
        <v>164. Uganda</v>
      </c>
    </row>
    <row r="2100" spans="1:5" x14ac:dyDescent="0.25">
      <c r="A2100" t="s">
        <v>26</v>
      </c>
      <c r="B2100" t="s">
        <v>325</v>
      </c>
      <c r="C2100">
        <v>1</v>
      </c>
      <c r="D2100">
        <f t="shared" si="64"/>
        <v>165</v>
      </c>
      <c r="E2100" t="str">
        <f t="shared" si="65"/>
        <v>165. Burkina Faso</v>
      </c>
    </row>
    <row r="2101" spans="1:5" x14ac:dyDescent="0.25">
      <c r="A2101" t="s">
        <v>194</v>
      </c>
      <c r="B2101" t="s">
        <v>325</v>
      </c>
      <c r="C2101">
        <v>1</v>
      </c>
      <c r="D2101">
        <f t="shared" si="64"/>
        <v>166</v>
      </c>
      <c r="E2101" t="str">
        <f t="shared" si="65"/>
        <v>166. Chad</v>
      </c>
    </row>
    <row r="2102" spans="1:5" x14ac:dyDescent="0.25">
      <c r="A2102" t="s">
        <v>82</v>
      </c>
      <c r="B2102" t="s">
        <v>325</v>
      </c>
      <c r="C2102">
        <v>1</v>
      </c>
      <c r="D2102">
        <f t="shared" si="64"/>
        <v>167</v>
      </c>
      <c r="E2102" t="str">
        <f t="shared" si="65"/>
        <v>167. Guinea-Bissau</v>
      </c>
    </row>
    <row r="2103" spans="1:5" x14ac:dyDescent="0.25">
      <c r="A2103" t="s">
        <v>122</v>
      </c>
      <c r="B2103" t="s">
        <v>325</v>
      </c>
      <c r="C2103">
        <v>1</v>
      </c>
      <c r="D2103">
        <f t="shared" si="64"/>
        <v>168</v>
      </c>
      <c r="E2103" t="str">
        <f t="shared" si="65"/>
        <v>168. Lesotho</v>
      </c>
    </row>
    <row r="2104" spans="1:5" x14ac:dyDescent="0.25">
      <c r="A2104" t="s">
        <v>172</v>
      </c>
      <c r="B2104" t="s">
        <v>325</v>
      </c>
      <c r="C2104">
        <v>1</v>
      </c>
      <c r="D2104">
        <f t="shared" si="64"/>
        <v>169</v>
      </c>
      <c r="E2104" t="str">
        <f t="shared" si="65"/>
        <v>169. Rwanda</v>
      </c>
    </row>
    <row r="2105" spans="1:5" x14ac:dyDescent="0.25">
      <c r="A2105" t="s">
        <v>174</v>
      </c>
      <c r="B2105" t="s">
        <v>325</v>
      </c>
      <c r="C2105">
        <v>1</v>
      </c>
      <c r="D2105">
        <f t="shared" si="64"/>
        <v>170</v>
      </c>
      <c r="E2105" t="str">
        <f t="shared" si="65"/>
        <v>170. Sudan</v>
      </c>
    </row>
    <row r="2106" spans="1:5" x14ac:dyDescent="0.25">
      <c r="A2106" t="s">
        <v>195</v>
      </c>
      <c r="B2106" t="s">
        <v>325</v>
      </c>
      <c r="C2106">
        <v>1</v>
      </c>
      <c r="D2106">
        <f t="shared" si="64"/>
        <v>171</v>
      </c>
      <c r="E2106" t="str">
        <f t="shared" si="65"/>
        <v>171. Togo</v>
      </c>
    </row>
    <row r="2107" spans="1:5" x14ac:dyDescent="0.25">
      <c r="A2107" t="s">
        <v>81</v>
      </c>
      <c r="B2107" t="s">
        <v>325</v>
      </c>
      <c r="C2107">
        <v>0.9</v>
      </c>
      <c r="D2107">
        <f t="shared" si="64"/>
        <v>172</v>
      </c>
      <c r="E2107" t="str">
        <f t="shared" si="65"/>
        <v>172. Gambia, The</v>
      </c>
    </row>
    <row r="2108" spans="1:5" x14ac:dyDescent="0.25">
      <c r="A2108" t="s">
        <v>178</v>
      </c>
      <c r="B2108" t="s">
        <v>325</v>
      </c>
      <c r="C2108">
        <v>0.9</v>
      </c>
      <c r="D2108">
        <f t="shared" si="64"/>
        <v>173</v>
      </c>
      <c r="E2108" t="str">
        <f t="shared" si="65"/>
        <v>173. Sierra Leone</v>
      </c>
    </row>
    <row r="2109" spans="1:5" x14ac:dyDescent="0.25">
      <c r="A2109" t="s">
        <v>117</v>
      </c>
      <c r="B2109" t="s">
        <v>325</v>
      </c>
      <c r="C2109">
        <v>0.8</v>
      </c>
      <c r="D2109">
        <f t="shared" si="64"/>
        <v>174</v>
      </c>
      <c r="E2109" t="str">
        <f t="shared" si="65"/>
        <v>174. Liberia</v>
      </c>
    </row>
    <row r="2110" spans="1:5" x14ac:dyDescent="0.25">
      <c r="A2110" t="s">
        <v>149</v>
      </c>
      <c r="B2110" t="s">
        <v>325</v>
      </c>
      <c r="C2110">
        <v>0.8</v>
      </c>
      <c r="D2110">
        <f t="shared" si="64"/>
        <v>175</v>
      </c>
      <c r="E2110" t="str">
        <f t="shared" si="65"/>
        <v>175. Nigeria</v>
      </c>
    </row>
    <row r="2111" spans="1:5" x14ac:dyDescent="0.25">
      <c r="A2111" t="s">
        <v>148</v>
      </c>
      <c r="B2111" t="s">
        <v>325</v>
      </c>
      <c r="C2111">
        <v>0.7</v>
      </c>
      <c r="D2111">
        <f t="shared" si="64"/>
        <v>176</v>
      </c>
      <c r="E2111" t="str">
        <f t="shared" si="65"/>
        <v>176. Niger</v>
      </c>
    </row>
    <row r="2112" spans="1:5" x14ac:dyDescent="0.25">
      <c r="A2112" t="s">
        <v>49</v>
      </c>
      <c r="B2112" t="s">
        <v>325</v>
      </c>
      <c r="C2112">
        <v>0.6</v>
      </c>
      <c r="D2112">
        <f t="shared" si="64"/>
        <v>177</v>
      </c>
      <c r="E2112" t="str">
        <f t="shared" si="65"/>
        <v>177. Congo, Dem. Rep.</v>
      </c>
    </row>
    <row r="2113" spans="1:5" x14ac:dyDescent="0.25">
      <c r="A2113" t="s">
        <v>141</v>
      </c>
      <c r="B2113" t="s">
        <v>325</v>
      </c>
      <c r="C2113">
        <v>0.6</v>
      </c>
      <c r="D2113">
        <f t="shared" si="64"/>
        <v>178</v>
      </c>
      <c r="E2113" t="str">
        <f t="shared" si="65"/>
        <v>178. Mozambique</v>
      </c>
    </row>
    <row r="2114" spans="1:5" x14ac:dyDescent="0.25">
      <c r="A2114" t="s">
        <v>181</v>
      </c>
      <c r="B2114" t="s">
        <v>325</v>
      </c>
      <c r="C2114">
        <v>0.6</v>
      </c>
      <c r="D2114">
        <f t="shared" si="64"/>
        <v>179</v>
      </c>
      <c r="E2114" t="str">
        <f t="shared" si="65"/>
        <v>179. Somalia</v>
      </c>
    </row>
    <row r="2115" spans="1:5" x14ac:dyDescent="0.25">
      <c r="A2115" t="s">
        <v>41</v>
      </c>
      <c r="B2115" t="s">
        <v>325</v>
      </c>
      <c r="C2115">
        <v>0.5</v>
      </c>
      <c r="D2115">
        <f t="shared" ref="D2115:D2178" si="66">IF(ROW() = 2, 1, IF(B2115 = B2114, D2114 + 1, 1))</f>
        <v>180</v>
      </c>
      <c r="E2115" t="str">
        <f t="shared" ref="E2115:E2178" si="67">_xlfn.CONCAT(D2115, ". ", A2115)</f>
        <v>180. Central African Republic</v>
      </c>
    </row>
    <row r="2116" spans="1:5" x14ac:dyDescent="0.25">
      <c r="A2116" t="s">
        <v>130</v>
      </c>
      <c r="B2116" t="s">
        <v>325</v>
      </c>
      <c r="C2116">
        <v>0.5</v>
      </c>
      <c r="D2116">
        <f t="shared" si="66"/>
        <v>181</v>
      </c>
      <c r="E2116" t="str">
        <f t="shared" si="67"/>
        <v>181. Madagascar</v>
      </c>
    </row>
    <row r="2117" spans="1:5" x14ac:dyDescent="0.25">
      <c r="A2117" t="s">
        <v>144</v>
      </c>
      <c r="B2117" t="s">
        <v>325</v>
      </c>
      <c r="C2117">
        <v>0.5</v>
      </c>
      <c r="D2117">
        <f t="shared" si="66"/>
        <v>182</v>
      </c>
      <c r="E2117" t="str">
        <f t="shared" si="67"/>
        <v>182. Malawi</v>
      </c>
    </row>
    <row r="2118" spans="1:5" x14ac:dyDescent="0.25">
      <c r="A2118" t="s">
        <v>217</v>
      </c>
      <c r="B2118" t="s">
        <v>325</v>
      </c>
      <c r="C2118">
        <v>0.4</v>
      </c>
      <c r="D2118">
        <f t="shared" si="66"/>
        <v>183</v>
      </c>
      <c r="E2118" t="str">
        <f t="shared" si="67"/>
        <v>183. Yemen, Rep.</v>
      </c>
    </row>
    <row r="2119" spans="1:5" x14ac:dyDescent="0.25">
      <c r="A2119" t="s">
        <v>23</v>
      </c>
      <c r="B2119" t="s">
        <v>325</v>
      </c>
      <c r="C2119">
        <v>0.2</v>
      </c>
      <c r="D2119">
        <f t="shared" si="66"/>
        <v>184</v>
      </c>
      <c r="E2119" t="str">
        <f t="shared" si="67"/>
        <v>184. Burundi</v>
      </c>
    </row>
    <row r="2120" spans="1:5" x14ac:dyDescent="0.25">
      <c r="A2120" t="s">
        <v>124</v>
      </c>
      <c r="B2120" t="s">
        <v>327</v>
      </c>
      <c r="C2120">
        <v>150.80000000000001</v>
      </c>
      <c r="D2120">
        <f t="shared" si="66"/>
        <v>1</v>
      </c>
      <c r="E2120" t="str">
        <f t="shared" si="67"/>
        <v>1. Luxembourg</v>
      </c>
    </row>
    <row r="2121" spans="1:5" x14ac:dyDescent="0.25">
      <c r="A2121" t="s">
        <v>176</v>
      </c>
      <c r="B2121" t="s">
        <v>327</v>
      </c>
      <c r="C2121">
        <v>150.69999999999999</v>
      </c>
      <c r="D2121">
        <f t="shared" si="66"/>
        <v>2</v>
      </c>
      <c r="E2121" t="str">
        <f t="shared" si="67"/>
        <v>2. Singapore</v>
      </c>
    </row>
    <row r="2122" spans="1:5" x14ac:dyDescent="0.25">
      <c r="A2122" t="s">
        <v>98</v>
      </c>
      <c r="B2122" t="s">
        <v>327</v>
      </c>
      <c r="C2122">
        <v>131.19999999999999</v>
      </c>
      <c r="D2122">
        <f t="shared" si="66"/>
        <v>3</v>
      </c>
      <c r="E2122" t="str">
        <f t="shared" si="67"/>
        <v>3. Ireland</v>
      </c>
    </row>
    <row r="2123" spans="1:5" x14ac:dyDescent="0.25">
      <c r="A2123" t="s">
        <v>126</v>
      </c>
      <c r="B2123" t="s">
        <v>327</v>
      </c>
      <c r="C2123">
        <v>128.30000000000001</v>
      </c>
      <c r="D2123">
        <f t="shared" si="66"/>
        <v>4</v>
      </c>
      <c r="E2123" t="str">
        <f t="shared" si="67"/>
        <v>4. Macao SAR, China</v>
      </c>
    </row>
    <row r="2124" spans="1:5" x14ac:dyDescent="0.25">
      <c r="A2124" t="s">
        <v>169</v>
      </c>
      <c r="B2124" t="s">
        <v>327</v>
      </c>
      <c r="C2124">
        <v>126.1</v>
      </c>
      <c r="D2124">
        <f t="shared" si="66"/>
        <v>5</v>
      </c>
      <c r="E2124" t="str">
        <f t="shared" si="67"/>
        <v>5. Qatar</v>
      </c>
    </row>
    <row r="2125" spans="1:5" x14ac:dyDescent="0.25">
      <c r="A2125" t="s">
        <v>34</v>
      </c>
      <c r="B2125" t="s">
        <v>327</v>
      </c>
      <c r="C2125">
        <v>119.7</v>
      </c>
      <c r="D2125">
        <f t="shared" si="66"/>
        <v>6</v>
      </c>
      <c r="E2125" t="str">
        <f t="shared" si="67"/>
        <v>6. Bermuda</v>
      </c>
    </row>
    <row r="2126" spans="1:5" x14ac:dyDescent="0.25">
      <c r="A2126" t="s">
        <v>152</v>
      </c>
      <c r="B2126" t="s">
        <v>327</v>
      </c>
      <c r="C2126">
        <v>101</v>
      </c>
      <c r="D2126">
        <f t="shared" si="66"/>
        <v>7</v>
      </c>
      <c r="E2126" t="str">
        <f t="shared" si="67"/>
        <v>7. Norway</v>
      </c>
    </row>
    <row r="2127" spans="1:5" x14ac:dyDescent="0.25">
      <c r="A2127" t="s">
        <v>43</v>
      </c>
      <c r="B2127" t="s">
        <v>327</v>
      </c>
      <c r="C2127">
        <v>93.8</v>
      </c>
      <c r="D2127">
        <f t="shared" si="66"/>
        <v>8</v>
      </c>
      <c r="E2127" t="str">
        <f t="shared" si="67"/>
        <v>8. Switzerland</v>
      </c>
    </row>
    <row r="2128" spans="1:5" x14ac:dyDescent="0.25">
      <c r="A2128" t="s">
        <v>38</v>
      </c>
      <c r="B2128" t="s">
        <v>327</v>
      </c>
      <c r="C2128">
        <v>90</v>
      </c>
      <c r="D2128">
        <f t="shared" si="66"/>
        <v>9</v>
      </c>
      <c r="E2128" t="str">
        <f t="shared" si="67"/>
        <v>9. Brunei Darussalam</v>
      </c>
    </row>
    <row r="2129" spans="1:5" x14ac:dyDescent="0.25">
      <c r="A2129" t="s">
        <v>209</v>
      </c>
      <c r="B2129" t="s">
        <v>327</v>
      </c>
      <c r="C2129">
        <v>85.8</v>
      </c>
      <c r="D2129">
        <f t="shared" si="66"/>
        <v>10</v>
      </c>
      <c r="E2129" t="str">
        <f t="shared" si="67"/>
        <v>10. United States</v>
      </c>
    </row>
    <row r="2130" spans="1:5" x14ac:dyDescent="0.25">
      <c r="A2130" t="s">
        <v>151</v>
      </c>
      <c r="B2130" t="s">
        <v>327</v>
      </c>
      <c r="C2130">
        <v>84.2</v>
      </c>
      <c r="D2130">
        <f t="shared" si="66"/>
        <v>11</v>
      </c>
      <c r="E2130" t="str">
        <f t="shared" si="67"/>
        <v>11. Netherlands</v>
      </c>
    </row>
    <row r="2131" spans="1:5" x14ac:dyDescent="0.25">
      <c r="A2131" t="s">
        <v>89</v>
      </c>
      <c r="B2131" t="s">
        <v>327</v>
      </c>
      <c r="C2131">
        <v>79.900000000000006</v>
      </c>
      <c r="D2131">
        <f t="shared" si="66"/>
        <v>12</v>
      </c>
      <c r="E2131" t="str">
        <f t="shared" si="67"/>
        <v>12. Guyana</v>
      </c>
    </row>
    <row r="2132" spans="1:5" x14ac:dyDescent="0.25">
      <c r="A2132" t="s">
        <v>63</v>
      </c>
      <c r="B2132" t="s">
        <v>327</v>
      </c>
      <c r="C2132">
        <v>79.5</v>
      </c>
      <c r="D2132">
        <f t="shared" si="66"/>
        <v>13</v>
      </c>
      <c r="E2132" t="str">
        <f t="shared" si="67"/>
        <v>13. Denmark</v>
      </c>
    </row>
    <row r="2133" spans="1:5" x14ac:dyDescent="0.25">
      <c r="A2133" t="s">
        <v>101</v>
      </c>
      <c r="B2133" t="s">
        <v>327</v>
      </c>
      <c r="C2133">
        <v>78.3</v>
      </c>
      <c r="D2133">
        <f t="shared" si="66"/>
        <v>14</v>
      </c>
      <c r="E2133" t="str">
        <f t="shared" si="67"/>
        <v>14. Iceland</v>
      </c>
    </row>
    <row r="2134" spans="1:5" x14ac:dyDescent="0.25">
      <c r="A2134" t="s">
        <v>15</v>
      </c>
      <c r="B2134" t="s">
        <v>327</v>
      </c>
      <c r="C2134">
        <v>78</v>
      </c>
      <c r="D2134">
        <f t="shared" si="66"/>
        <v>15</v>
      </c>
      <c r="E2134" t="str">
        <f t="shared" si="67"/>
        <v>15. United Arab Emirates</v>
      </c>
    </row>
    <row r="2135" spans="1:5" x14ac:dyDescent="0.25">
      <c r="A2135" t="s">
        <v>90</v>
      </c>
      <c r="B2135" t="s">
        <v>327</v>
      </c>
      <c r="C2135">
        <v>75.2</v>
      </c>
      <c r="D2135">
        <f t="shared" si="66"/>
        <v>16</v>
      </c>
      <c r="E2135" t="str">
        <f t="shared" si="67"/>
        <v>16. Hong Kong SAR, China</v>
      </c>
    </row>
    <row r="2136" spans="1:5" x14ac:dyDescent="0.25">
      <c r="A2136" t="s">
        <v>14</v>
      </c>
      <c r="B2136" t="s">
        <v>327</v>
      </c>
      <c r="C2136">
        <v>74.900000000000006</v>
      </c>
      <c r="D2136">
        <f t="shared" si="66"/>
        <v>17</v>
      </c>
      <c r="E2136" t="str">
        <f t="shared" si="67"/>
        <v>17. Andorra</v>
      </c>
    </row>
    <row r="2137" spans="1:5" x14ac:dyDescent="0.25">
      <c r="A2137" t="s">
        <v>60</v>
      </c>
      <c r="B2137" t="s">
        <v>327</v>
      </c>
      <c r="C2137">
        <v>72.3</v>
      </c>
      <c r="D2137">
        <f t="shared" si="66"/>
        <v>18</v>
      </c>
      <c r="E2137" t="str">
        <f t="shared" si="67"/>
        <v>18. Germany</v>
      </c>
    </row>
    <row r="2138" spans="1:5" x14ac:dyDescent="0.25">
      <c r="A2138" t="s">
        <v>24</v>
      </c>
      <c r="B2138" t="s">
        <v>327</v>
      </c>
      <c r="C2138">
        <v>72.099999999999994</v>
      </c>
      <c r="D2138">
        <f t="shared" si="66"/>
        <v>19</v>
      </c>
      <c r="E2138" t="str">
        <f t="shared" si="67"/>
        <v>19. Belgium</v>
      </c>
    </row>
    <row r="2139" spans="1:5" x14ac:dyDescent="0.25">
      <c r="A2139" t="s">
        <v>21</v>
      </c>
      <c r="B2139" t="s">
        <v>327</v>
      </c>
      <c r="C2139">
        <v>71.599999999999994</v>
      </c>
      <c r="D2139">
        <f t="shared" si="66"/>
        <v>20</v>
      </c>
      <c r="E2139" t="str">
        <f t="shared" si="67"/>
        <v>20. Austria</v>
      </c>
    </row>
    <row r="2140" spans="1:5" x14ac:dyDescent="0.25">
      <c r="A2140" t="s">
        <v>20</v>
      </c>
      <c r="B2140" t="s">
        <v>327</v>
      </c>
      <c r="C2140">
        <v>71.2</v>
      </c>
      <c r="D2140">
        <f t="shared" si="66"/>
        <v>21</v>
      </c>
      <c r="E2140" t="str">
        <f t="shared" si="67"/>
        <v>21. Australia</v>
      </c>
    </row>
    <row r="2141" spans="1:5" x14ac:dyDescent="0.25">
      <c r="A2141" t="s">
        <v>173</v>
      </c>
      <c r="B2141" t="s">
        <v>327</v>
      </c>
      <c r="C2141">
        <v>71.2</v>
      </c>
      <c r="D2141">
        <f t="shared" si="66"/>
        <v>22</v>
      </c>
      <c r="E2141" t="str">
        <f t="shared" si="67"/>
        <v>22. Saudi Arabia</v>
      </c>
    </row>
    <row r="2142" spans="1:5" x14ac:dyDescent="0.25">
      <c r="A2142" t="s">
        <v>188</v>
      </c>
      <c r="B2142" t="s">
        <v>327</v>
      </c>
      <c r="C2142">
        <v>71</v>
      </c>
      <c r="D2142">
        <f t="shared" si="66"/>
        <v>23</v>
      </c>
      <c r="E2142" t="str">
        <f t="shared" si="67"/>
        <v>23. Sweden</v>
      </c>
    </row>
    <row r="2143" spans="1:5" x14ac:dyDescent="0.25">
      <c r="A2143" t="s">
        <v>136</v>
      </c>
      <c r="B2143" t="s">
        <v>327</v>
      </c>
      <c r="C2143">
        <v>67.400000000000006</v>
      </c>
      <c r="D2143">
        <f t="shared" si="66"/>
        <v>24</v>
      </c>
      <c r="E2143" t="str">
        <f t="shared" si="67"/>
        <v>24. Malta</v>
      </c>
    </row>
    <row r="2144" spans="1:5" x14ac:dyDescent="0.25">
      <c r="A2144" t="s">
        <v>29</v>
      </c>
      <c r="B2144" t="s">
        <v>327</v>
      </c>
      <c r="C2144">
        <v>67.2</v>
      </c>
      <c r="D2144">
        <f t="shared" si="66"/>
        <v>25</v>
      </c>
      <c r="E2144" t="str">
        <f t="shared" si="67"/>
        <v>25. Bahrain</v>
      </c>
    </row>
    <row r="2145" spans="1:5" x14ac:dyDescent="0.25">
      <c r="A2145" t="s">
        <v>42</v>
      </c>
      <c r="B2145" t="s">
        <v>327</v>
      </c>
      <c r="C2145">
        <v>65.5</v>
      </c>
      <c r="D2145">
        <f t="shared" si="66"/>
        <v>26</v>
      </c>
      <c r="E2145" t="str">
        <f t="shared" si="67"/>
        <v>26. Canada</v>
      </c>
    </row>
    <row r="2146" spans="1:5" x14ac:dyDescent="0.25">
      <c r="A2146" t="s">
        <v>71</v>
      </c>
      <c r="B2146" t="s">
        <v>327</v>
      </c>
      <c r="C2146">
        <v>64.099999999999994</v>
      </c>
      <c r="D2146">
        <f t="shared" si="66"/>
        <v>27</v>
      </c>
      <c r="E2146" t="str">
        <f t="shared" si="67"/>
        <v>27. Finland</v>
      </c>
    </row>
    <row r="2147" spans="1:5" x14ac:dyDescent="0.25">
      <c r="A2147" t="s">
        <v>73</v>
      </c>
      <c r="B2147" t="s">
        <v>327</v>
      </c>
      <c r="C2147">
        <v>61.3</v>
      </c>
      <c r="D2147">
        <f t="shared" si="66"/>
        <v>28</v>
      </c>
      <c r="E2147" t="str">
        <f t="shared" si="67"/>
        <v>28. France</v>
      </c>
    </row>
    <row r="2148" spans="1:5" x14ac:dyDescent="0.25">
      <c r="A2148" t="s">
        <v>58</v>
      </c>
      <c r="B2148" t="s">
        <v>327</v>
      </c>
      <c r="C2148">
        <v>61.2</v>
      </c>
      <c r="D2148">
        <f t="shared" si="66"/>
        <v>29</v>
      </c>
      <c r="E2148" t="str">
        <f t="shared" si="67"/>
        <v>29. Cyprus</v>
      </c>
    </row>
    <row r="2149" spans="1:5" x14ac:dyDescent="0.25">
      <c r="A2149" t="s">
        <v>103</v>
      </c>
      <c r="B2149" t="s">
        <v>327</v>
      </c>
      <c r="C2149">
        <v>60.8</v>
      </c>
      <c r="D2149">
        <f t="shared" si="66"/>
        <v>30</v>
      </c>
      <c r="E2149" t="str">
        <f t="shared" si="67"/>
        <v>30. Italy</v>
      </c>
    </row>
    <row r="2150" spans="1:5" x14ac:dyDescent="0.25">
      <c r="A2150" t="s">
        <v>77</v>
      </c>
      <c r="B2150" t="s">
        <v>327</v>
      </c>
      <c r="C2150">
        <v>60.6</v>
      </c>
      <c r="D2150">
        <f t="shared" si="66"/>
        <v>31</v>
      </c>
      <c r="E2150" t="str">
        <f t="shared" si="67"/>
        <v>31. United Kingdom</v>
      </c>
    </row>
    <row r="2151" spans="1:5" x14ac:dyDescent="0.25">
      <c r="A2151" t="s">
        <v>68</v>
      </c>
      <c r="B2151" t="s">
        <v>327</v>
      </c>
      <c r="C2151">
        <v>56.9</v>
      </c>
      <c r="D2151">
        <f t="shared" si="66"/>
        <v>32</v>
      </c>
      <c r="E2151" t="str">
        <f t="shared" si="67"/>
        <v>32. Spain</v>
      </c>
    </row>
    <row r="2152" spans="1:5" x14ac:dyDescent="0.25">
      <c r="A2152" t="s">
        <v>59</v>
      </c>
      <c r="B2152" t="s">
        <v>327</v>
      </c>
      <c r="C2152">
        <v>56.8</v>
      </c>
      <c r="D2152">
        <f t="shared" si="66"/>
        <v>33</v>
      </c>
      <c r="E2152" t="str">
        <f t="shared" si="67"/>
        <v>33. Czechia</v>
      </c>
    </row>
    <row r="2153" spans="1:5" x14ac:dyDescent="0.25">
      <c r="A2153" t="s">
        <v>187</v>
      </c>
      <c r="B2153" t="s">
        <v>327</v>
      </c>
      <c r="C2153">
        <v>56.5</v>
      </c>
      <c r="D2153">
        <f t="shared" si="66"/>
        <v>34</v>
      </c>
      <c r="E2153" t="str">
        <f t="shared" si="67"/>
        <v>34. Slovenia</v>
      </c>
    </row>
    <row r="2154" spans="1:5" x14ac:dyDescent="0.25">
      <c r="A2154" t="s">
        <v>102</v>
      </c>
      <c r="B2154" t="s">
        <v>327</v>
      </c>
      <c r="C2154">
        <v>55.7</v>
      </c>
      <c r="D2154">
        <f t="shared" si="66"/>
        <v>35</v>
      </c>
      <c r="E2154" t="str">
        <f t="shared" si="67"/>
        <v>35. Israel</v>
      </c>
    </row>
    <row r="2155" spans="1:5" x14ac:dyDescent="0.25">
      <c r="A2155" t="s">
        <v>155</v>
      </c>
      <c r="B2155" t="s">
        <v>327</v>
      </c>
      <c r="C2155">
        <v>55.1</v>
      </c>
      <c r="D2155">
        <f t="shared" si="66"/>
        <v>36</v>
      </c>
      <c r="E2155" t="str">
        <f t="shared" si="67"/>
        <v>36. New Zealand</v>
      </c>
    </row>
    <row r="2156" spans="1:5" x14ac:dyDescent="0.25">
      <c r="A2156" t="s">
        <v>123</v>
      </c>
      <c r="B2156" t="s">
        <v>327</v>
      </c>
      <c r="C2156">
        <v>54.4</v>
      </c>
      <c r="D2156">
        <f t="shared" si="66"/>
        <v>37</v>
      </c>
      <c r="E2156" t="str">
        <f t="shared" si="67"/>
        <v>37. Lithuania</v>
      </c>
    </row>
    <row r="2157" spans="1:5" x14ac:dyDescent="0.25">
      <c r="A2157" t="s">
        <v>190</v>
      </c>
      <c r="B2157" t="s">
        <v>327</v>
      </c>
      <c r="C2157">
        <v>52.1</v>
      </c>
      <c r="D2157">
        <f t="shared" si="66"/>
        <v>38</v>
      </c>
      <c r="E2157" t="str">
        <f t="shared" si="67"/>
        <v>38. Sint Maarten (Dutch part)</v>
      </c>
    </row>
    <row r="2158" spans="1:5" x14ac:dyDescent="0.25">
      <c r="A2158" t="s">
        <v>106</v>
      </c>
      <c r="B2158" t="s">
        <v>327</v>
      </c>
      <c r="C2158">
        <v>51.7</v>
      </c>
      <c r="D2158">
        <f t="shared" si="66"/>
        <v>39</v>
      </c>
      <c r="E2158" t="str">
        <f t="shared" si="67"/>
        <v>39. Japan</v>
      </c>
    </row>
    <row r="2159" spans="1:5" x14ac:dyDescent="0.25">
      <c r="A2159" t="s">
        <v>114</v>
      </c>
      <c r="B2159" t="s">
        <v>327</v>
      </c>
      <c r="C2159">
        <v>51.6</v>
      </c>
      <c r="D2159">
        <f t="shared" si="66"/>
        <v>40</v>
      </c>
      <c r="E2159" t="str">
        <f t="shared" si="67"/>
        <v>40. Kuwait</v>
      </c>
    </row>
    <row r="2160" spans="1:5" x14ac:dyDescent="0.25">
      <c r="A2160" t="s">
        <v>165</v>
      </c>
      <c r="B2160" t="s">
        <v>327</v>
      </c>
      <c r="C2160">
        <v>50.6</v>
      </c>
      <c r="D2160">
        <f t="shared" si="66"/>
        <v>41</v>
      </c>
      <c r="E2160" t="str">
        <f t="shared" si="67"/>
        <v>41. Portugal</v>
      </c>
    </row>
    <row r="2161" spans="1:5" x14ac:dyDescent="0.25">
      <c r="A2161" t="s">
        <v>163</v>
      </c>
      <c r="B2161" t="s">
        <v>327</v>
      </c>
      <c r="C2161">
        <v>50.4</v>
      </c>
      <c r="D2161">
        <f t="shared" si="66"/>
        <v>42</v>
      </c>
      <c r="E2161" t="str">
        <f t="shared" si="67"/>
        <v>42. Poland</v>
      </c>
    </row>
    <row r="2162" spans="1:5" x14ac:dyDescent="0.25">
      <c r="A2162" t="s">
        <v>164</v>
      </c>
      <c r="B2162" t="s">
        <v>327</v>
      </c>
      <c r="C2162">
        <v>50.2</v>
      </c>
      <c r="D2162">
        <f t="shared" si="66"/>
        <v>43</v>
      </c>
      <c r="E2162" t="str">
        <f t="shared" si="67"/>
        <v>43. Puerto Rico (US)</v>
      </c>
    </row>
    <row r="2163" spans="1:5" x14ac:dyDescent="0.25">
      <c r="A2163" t="s">
        <v>69</v>
      </c>
      <c r="B2163" t="s">
        <v>327</v>
      </c>
      <c r="C2163">
        <v>49.3</v>
      </c>
      <c r="D2163">
        <f t="shared" si="66"/>
        <v>44</v>
      </c>
      <c r="E2163" t="str">
        <f t="shared" si="67"/>
        <v>44. Estonia</v>
      </c>
    </row>
    <row r="2164" spans="1:5" x14ac:dyDescent="0.25">
      <c r="A2164" t="s">
        <v>170</v>
      </c>
      <c r="B2164" t="s">
        <v>327</v>
      </c>
      <c r="C2164">
        <v>48.7</v>
      </c>
      <c r="D2164">
        <f t="shared" si="66"/>
        <v>45</v>
      </c>
      <c r="E2164" t="str">
        <f t="shared" si="67"/>
        <v>45. Romania</v>
      </c>
    </row>
    <row r="2165" spans="1:5" x14ac:dyDescent="0.25">
      <c r="A2165" t="s">
        <v>92</v>
      </c>
      <c r="B2165" t="s">
        <v>327</v>
      </c>
      <c r="C2165">
        <v>48.6</v>
      </c>
      <c r="D2165">
        <f t="shared" si="66"/>
        <v>46</v>
      </c>
      <c r="E2165" t="str">
        <f t="shared" si="67"/>
        <v>46. Croatia</v>
      </c>
    </row>
    <row r="2166" spans="1:5" x14ac:dyDescent="0.25">
      <c r="A2166" t="s">
        <v>94</v>
      </c>
      <c r="B2166" t="s">
        <v>327</v>
      </c>
      <c r="C2166">
        <v>47.6</v>
      </c>
      <c r="D2166">
        <f t="shared" si="66"/>
        <v>47</v>
      </c>
      <c r="E2166" t="str">
        <f t="shared" si="67"/>
        <v>47. Hungary</v>
      </c>
    </row>
    <row r="2167" spans="1:5" x14ac:dyDescent="0.25">
      <c r="A2167" t="s">
        <v>171</v>
      </c>
      <c r="B2167" t="s">
        <v>327</v>
      </c>
      <c r="C2167">
        <v>47.4</v>
      </c>
      <c r="D2167">
        <f t="shared" si="66"/>
        <v>48</v>
      </c>
      <c r="E2167" t="str">
        <f t="shared" si="67"/>
        <v>48. Russian Federation</v>
      </c>
    </row>
    <row r="2168" spans="1:5" x14ac:dyDescent="0.25">
      <c r="A2168" t="s">
        <v>186</v>
      </c>
      <c r="B2168" t="s">
        <v>327</v>
      </c>
      <c r="C2168">
        <v>47.2</v>
      </c>
      <c r="D2168">
        <f t="shared" si="66"/>
        <v>49</v>
      </c>
      <c r="E2168" t="str">
        <f t="shared" si="67"/>
        <v>49. Slovak Republic</v>
      </c>
    </row>
    <row r="2169" spans="1:5" x14ac:dyDescent="0.25">
      <c r="A2169" t="s">
        <v>84</v>
      </c>
      <c r="B2169" t="s">
        <v>327</v>
      </c>
      <c r="C2169">
        <v>44.1</v>
      </c>
      <c r="D2169">
        <f t="shared" si="66"/>
        <v>50</v>
      </c>
      <c r="E2169" t="str">
        <f t="shared" si="67"/>
        <v>50. Greece</v>
      </c>
    </row>
    <row r="2170" spans="1:5" x14ac:dyDescent="0.25">
      <c r="A2170" t="s">
        <v>125</v>
      </c>
      <c r="B2170" t="s">
        <v>327</v>
      </c>
      <c r="C2170">
        <v>43.9</v>
      </c>
      <c r="D2170">
        <f t="shared" si="66"/>
        <v>51</v>
      </c>
      <c r="E2170" t="str">
        <f t="shared" si="67"/>
        <v>51. Latvia</v>
      </c>
    </row>
    <row r="2171" spans="1:5" x14ac:dyDescent="0.25">
      <c r="A2171" t="s">
        <v>203</v>
      </c>
      <c r="B2171" t="s">
        <v>327</v>
      </c>
      <c r="C2171">
        <v>43.9</v>
      </c>
      <c r="D2171">
        <f t="shared" si="66"/>
        <v>52</v>
      </c>
      <c r="E2171" t="str">
        <f t="shared" si="67"/>
        <v>52. Turkiye</v>
      </c>
    </row>
    <row r="2172" spans="1:5" x14ac:dyDescent="0.25">
      <c r="A2172" t="s">
        <v>156</v>
      </c>
      <c r="B2172" t="s">
        <v>327</v>
      </c>
      <c r="C2172">
        <v>41.7</v>
      </c>
      <c r="D2172">
        <f t="shared" si="66"/>
        <v>53</v>
      </c>
      <c r="E2172" t="str">
        <f t="shared" si="67"/>
        <v>53. Oman</v>
      </c>
    </row>
    <row r="2173" spans="1:5" x14ac:dyDescent="0.25">
      <c r="A2173" t="s">
        <v>158</v>
      </c>
      <c r="B2173" t="s">
        <v>327</v>
      </c>
      <c r="C2173">
        <v>41.4</v>
      </c>
      <c r="D2173">
        <f t="shared" si="66"/>
        <v>54</v>
      </c>
      <c r="E2173" t="str">
        <f t="shared" si="67"/>
        <v>54. Panama</v>
      </c>
    </row>
    <row r="2174" spans="1:5" x14ac:dyDescent="0.25">
      <c r="A2174" t="s">
        <v>30</v>
      </c>
      <c r="B2174" t="s">
        <v>327</v>
      </c>
      <c r="C2174">
        <v>41.2</v>
      </c>
      <c r="D2174">
        <f t="shared" si="66"/>
        <v>55</v>
      </c>
      <c r="E2174" t="str">
        <f t="shared" si="67"/>
        <v>55. Bahamas, The</v>
      </c>
    </row>
    <row r="2175" spans="1:5" x14ac:dyDescent="0.25">
      <c r="A2175" t="s">
        <v>28</v>
      </c>
      <c r="B2175" t="s">
        <v>327</v>
      </c>
      <c r="C2175">
        <v>41.1</v>
      </c>
      <c r="D2175">
        <f t="shared" si="66"/>
        <v>56</v>
      </c>
      <c r="E2175" t="str">
        <f t="shared" si="67"/>
        <v>56. Bulgaria</v>
      </c>
    </row>
    <row r="2176" spans="1:5" x14ac:dyDescent="0.25">
      <c r="A2176" t="s">
        <v>107</v>
      </c>
      <c r="B2176" t="s">
        <v>327</v>
      </c>
      <c r="C2176">
        <v>40.799999999999997</v>
      </c>
      <c r="D2176">
        <f t="shared" si="66"/>
        <v>57</v>
      </c>
      <c r="E2176" t="str">
        <f t="shared" si="67"/>
        <v>57. Kazakhstan</v>
      </c>
    </row>
    <row r="2177" spans="1:5" x14ac:dyDescent="0.25">
      <c r="A2177" t="s">
        <v>145</v>
      </c>
      <c r="B2177" t="s">
        <v>327</v>
      </c>
      <c r="C2177">
        <v>38.700000000000003</v>
      </c>
      <c r="D2177">
        <f t="shared" si="66"/>
        <v>58</v>
      </c>
      <c r="E2177" t="str">
        <f t="shared" si="67"/>
        <v>58. Malaysia</v>
      </c>
    </row>
    <row r="2178" spans="1:5" x14ac:dyDescent="0.25">
      <c r="A2178" t="s">
        <v>193</v>
      </c>
      <c r="B2178" t="s">
        <v>327</v>
      </c>
      <c r="C2178">
        <v>38</v>
      </c>
      <c r="D2178">
        <f t="shared" si="66"/>
        <v>59</v>
      </c>
      <c r="E2178" t="str">
        <f t="shared" si="67"/>
        <v>59. Turks and Caicos Islands</v>
      </c>
    </row>
    <row r="2179" spans="1:5" x14ac:dyDescent="0.25">
      <c r="A2179" t="s">
        <v>208</v>
      </c>
      <c r="B2179" t="s">
        <v>327</v>
      </c>
      <c r="C2179">
        <v>36.4</v>
      </c>
      <c r="D2179">
        <f t="shared" ref="D2179:D2242" si="68">IF(ROW() = 2, 1, IF(B2179 = B2178, D2178 + 1, 1))</f>
        <v>60</v>
      </c>
      <c r="E2179" t="str">
        <f t="shared" ref="E2179:E2242" si="69">_xlfn.CONCAT(D2179, ". ", A2179)</f>
        <v>60. Uruguay</v>
      </c>
    </row>
    <row r="2180" spans="1:5" x14ac:dyDescent="0.25">
      <c r="A2180" t="s">
        <v>201</v>
      </c>
      <c r="B2180" t="s">
        <v>327</v>
      </c>
      <c r="C2180">
        <v>36</v>
      </c>
      <c r="D2180">
        <f t="shared" si="68"/>
        <v>61</v>
      </c>
      <c r="E2180" t="str">
        <f t="shared" si="69"/>
        <v>61. Trinidad and Tobago</v>
      </c>
    </row>
    <row r="2181" spans="1:5" x14ac:dyDescent="0.25">
      <c r="A2181" t="s">
        <v>112</v>
      </c>
      <c r="B2181" t="s">
        <v>327</v>
      </c>
      <c r="C2181">
        <v>35.5</v>
      </c>
      <c r="D2181">
        <f t="shared" si="68"/>
        <v>62</v>
      </c>
      <c r="E2181" t="str">
        <f t="shared" si="69"/>
        <v>62. St. Kitts and Nevis</v>
      </c>
    </row>
    <row r="2182" spans="1:5" x14ac:dyDescent="0.25">
      <c r="A2182" t="s">
        <v>45</v>
      </c>
      <c r="B2182" t="s">
        <v>327</v>
      </c>
      <c r="C2182">
        <v>34.6</v>
      </c>
      <c r="D2182">
        <f t="shared" si="68"/>
        <v>63</v>
      </c>
      <c r="E2182" t="str">
        <f t="shared" si="69"/>
        <v>63. Chile</v>
      </c>
    </row>
    <row r="2183" spans="1:5" x14ac:dyDescent="0.25">
      <c r="A2183" t="s">
        <v>19</v>
      </c>
      <c r="B2183" t="s">
        <v>327</v>
      </c>
      <c r="C2183">
        <v>33.6</v>
      </c>
      <c r="D2183">
        <f t="shared" si="68"/>
        <v>64</v>
      </c>
      <c r="E2183" t="str">
        <f t="shared" si="69"/>
        <v>64. Antigua and Barbuda</v>
      </c>
    </row>
    <row r="2184" spans="1:5" x14ac:dyDescent="0.25">
      <c r="A2184" t="s">
        <v>138</v>
      </c>
      <c r="B2184" t="s">
        <v>327</v>
      </c>
      <c r="C2184">
        <v>33.4</v>
      </c>
      <c r="D2184">
        <f t="shared" si="68"/>
        <v>65</v>
      </c>
      <c r="E2184" t="str">
        <f t="shared" si="69"/>
        <v>65. Montenegro</v>
      </c>
    </row>
    <row r="2185" spans="1:5" x14ac:dyDescent="0.25">
      <c r="A2185" t="s">
        <v>191</v>
      </c>
      <c r="B2185" t="s">
        <v>327</v>
      </c>
      <c r="C2185">
        <v>33.200000000000003</v>
      </c>
      <c r="D2185">
        <f t="shared" si="68"/>
        <v>66</v>
      </c>
      <c r="E2185" t="str">
        <f t="shared" si="69"/>
        <v>66. Seychelles</v>
      </c>
    </row>
    <row r="2186" spans="1:5" x14ac:dyDescent="0.25">
      <c r="A2186" t="s">
        <v>32</v>
      </c>
      <c r="B2186" t="s">
        <v>327</v>
      </c>
      <c r="C2186">
        <v>33</v>
      </c>
      <c r="D2186">
        <f t="shared" si="68"/>
        <v>67</v>
      </c>
      <c r="E2186" t="str">
        <f t="shared" si="69"/>
        <v>67. Belarus</v>
      </c>
    </row>
    <row r="2187" spans="1:5" x14ac:dyDescent="0.25">
      <c r="A2187" t="s">
        <v>182</v>
      </c>
      <c r="B2187" t="s">
        <v>327</v>
      </c>
      <c r="C2187">
        <v>31.9</v>
      </c>
      <c r="D2187">
        <f t="shared" si="68"/>
        <v>68</v>
      </c>
      <c r="E2187" t="str">
        <f t="shared" si="69"/>
        <v>68. Serbia</v>
      </c>
    </row>
    <row r="2188" spans="1:5" x14ac:dyDescent="0.25">
      <c r="A2188" t="s">
        <v>143</v>
      </c>
      <c r="B2188" t="s">
        <v>327</v>
      </c>
      <c r="C2188">
        <v>31.1</v>
      </c>
      <c r="D2188">
        <f t="shared" si="68"/>
        <v>69</v>
      </c>
      <c r="E2188" t="str">
        <f t="shared" si="69"/>
        <v>69. Mauritius</v>
      </c>
    </row>
    <row r="2189" spans="1:5" x14ac:dyDescent="0.25">
      <c r="A2189" t="s">
        <v>16</v>
      </c>
      <c r="B2189" t="s">
        <v>327</v>
      </c>
      <c r="C2189">
        <v>30.2</v>
      </c>
      <c r="D2189">
        <f t="shared" si="68"/>
        <v>70</v>
      </c>
      <c r="E2189" t="str">
        <f t="shared" si="69"/>
        <v>70. Argentina</v>
      </c>
    </row>
    <row r="2190" spans="1:5" x14ac:dyDescent="0.25">
      <c r="A2190" t="s">
        <v>54</v>
      </c>
      <c r="B2190" t="s">
        <v>327</v>
      </c>
      <c r="C2190">
        <v>30.1</v>
      </c>
      <c r="D2190">
        <f t="shared" si="68"/>
        <v>71</v>
      </c>
      <c r="E2190" t="str">
        <f t="shared" si="69"/>
        <v>71. Costa Rica</v>
      </c>
    </row>
    <row r="2191" spans="1:5" x14ac:dyDescent="0.25">
      <c r="A2191" t="s">
        <v>78</v>
      </c>
      <c r="B2191" t="s">
        <v>327</v>
      </c>
      <c r="C2191">
        <v>28.4</v>
      </c>
      <c r="D2191">
        <f t="shared" si="68"/>
        <v>72</v>
      </c>
      <c r="E2191" t="str">
        <f t="shared" si="69"/>
        <v>72. Georgia</v>
      </c>
    </row>
    <row r="2192" spans="1:5" x14ac:dyDescent="0.25">
      <c r="A2192" t="s">
        <v>119</v>
      </c>
      <c r="B2192" t="s">
        <v>327</v>
      </c>
      <c r="C2192">
        <v>27.6</v>
      </c>
      <c r="D2192">
        <f t="shared" si="68"/>
        <v>73</v>
      </c>
      <c r="E2192" t="str">
        <f t="shared" si="69"/>
        <v>73. St. Lucia</v>
      </c>
    </row>
    <row r="2193" spans="1:5" x14ac:dyDescent="0.25">
      <c r="A2193" t="s">
        <v>64</v>
      </c>
      <c r="B2193" t="s">
        <v>327</v>
      </c>
      <c r="C2193">
        <v>27.5</v>
      </c>
      <c r="D2193">
        <f t="shared" si="68"/>
        <v>74</v>
      </c>
      <c r="E2193" t="str">
        <f t="shared" si="69"/>
        <v>74. Dominican Republic</v>
      </c>
    </row>
    <row r="2194" spans="1:5" x14ac:dyDescent="0.25">
      <c r="A2194" t="s">
        <v>46</v>
      </c>
      <c r="B2194" t="s">
        <v>327</v>
      </c>
      <c r="C2194">
        <v>27.1</v>
      </c>
      <c r="D2194">
        <f t="shared" si="68"/>
        <v>75</v>
      </c>
      <c r="E2194" t="str">
        <f t="shared" si="69"/>
        <v>75. China</v>
      </c>
    </row>
    <row r="2195" spans="1:5" x14ac:dyDescent="0.25">
      <c r="A2195" t="s">
        <v>134</v>
      </c>
      <c r="B2195" t="s">
        <v>327</v>
      </c>
      <c r="C2195">
        <v>26.6</v>
      </c>
      <c r="D2195">
        <f t="shared" si="68"/>
        <v>76</v>
      </c>
      <c r="E2195" t="str">
        <f t="shared" si="69"/>
        <v>76. North Macedonia</v>
      </c>
    </row>
    <row r="2196" spans="1:5" x14ac:dyDescent="0.25">
      <c r="A2196" t="s">
        <v>131</v>
      </c>
      <c r="B2196" t="s">
        <v>327</v>
      </c>
      <c r="C2196">
        <v>26.5</v>
      </c>
      <c r="D2196">
        <f t="shared" si="68"/>
        <v>77</v>
      </c>
      <c r="E2196" t="str">
        <f t="shared" si="69"/>
        <v>77. Maldives</v>
      </c>
    </row>
    <row r="2197" spans="1:5" x14ac:dyDescent="0.25">
      <c r="A2197" t="s">
        <v>132</v>
      </c>
      <c r="B2197" t="s">
        <v>327</v>
      </c>
      <c r="C2197">
        <v>25.7</v>
      </c>
      <c r="D2197">
        <f t="shared" si="68"/>
        <v>78</v>
      </c>
      <c r="E2197" t="str">
        <f t="shared" si="69"/>
        <v>78. Mexico</v>
      </c>
    </row>
    <row r="2198" spans="1:5" x14ac:dyDescent="0.25">
      <c r="A2198" t="s">
        <v>22</v>
      </c>
      <c r="B2198" t="s">
        <v>327</v>
      </c>
      <c r="C2198">
        <v>25.1</v>
      </c>
      <c r="D2198">
        <f t="shared" si="68"/>
        <v>79</v>
      </c>
      <c r="E2198" t="str">
        <f t="shared" si="69"/>
        <v>79. Azerbaijan</v>
      </c>
    </row>
    <row r="2199" spans="1:5" x14ac:dyDescent="0.25">
      <c r="A2199" t="s">
        <v>196</v>
      </c>
      <c r="B2199" t="s">
        <v>327</v>
      </c>
      <c r="C2199">
        <v>24.7</v>
      </c>
      <c r="D2199">
        <f t="shared" si="68"/>
        <v>80</v>
      </c>
      <c r="E2199" t="str">
        <f t="shared" si="69"/>
        <v>80. Thailand</v>
      </c>
    </row>
    <row r="2200" spans="1:5" x14ac:dyDescent="0.25">
      <c r="A2200" t="s">
        <v>13</v>
      </c>
      <c r="B2200" t="s">
        <v>327</v>
      </c>
      <c r="C2200">
        <v>23.5</v>
      </c>
      <c r="D2200">
        <f t="shared" si="68"/>
        <v>81</v>
      </c>
      <c r="E2200" t="str">
        <f t="shared" si="69"/>
        <v>81. Albania</v>
      </c>
    </row>
    <row r="2201" spans="1:5" x14ac:dyDescent="0.25">
      <c r="A2201" t="s">
        <v>17</v>
      </c>
      <c r="B2201" t="s">
        <v>327</v>
      </c>
      <c r="C2201">
        <v>22.8</v>
      </c>
      <c r="D2201">
        <f t="shared" si="68"/>
        <v>82</v>
      </c>
      <c r="E2201" t="str">
        <f t="shared" si="69"/>
        <v>82. Armenia</v>
      </c>
    </row>
    <row r="2202" spans="1:5" x14ac:dyDescent="0.25">
      <c r="A2202" t="s">
        <v>37</v>
      </c>
      <c r="B2202" t="s">
        <v>327</v>
      </c>
      <c r="C2202">
        <v>22.7</v>
      </c>
      <c r="D2202">
        <f t="shared" si="68"/>
        <v>83</v>
      </c>
      <c r="E2202" t="str">
        <f t="shared" si="69"/>
        <v>83. Barbados</v>
      </c>
    </row>
    <row r="2203" spans="1:5" x14ac:dyDescent="0.25">
      <c r="A2203" t="s">
        <v>36</v>
      </c>
      <c r="B2203" t="s">
        <v>327</v>
      </c>
      <c r="C2203">
        <v>22.3</v>
      </c>
      <c r="D2203">
        <f t="shared" si="68"/>
        <v>84</v>
      </c>
      <c r="E2203" t="str">
        <f t="shared" si="69"/>
        <v>84. Brazil</v>
      </c>
    </row>
    <row r="2204" spans="1:5" x14ac:dyDescent="0.25">
      <c r="A2204" t="s">
        <v>185</v>
      </c>
      <c r="B2204" t="s">
        <v>327</v>
      </c>
      <c r="C2204">
        <v>22.1</v>
      </c>
      <c r="D2204">
        <f t="shared" si="68"/>
        <v>85</v>
      </c>
      <c r="E2204" t="str">
        <f t="shared" si="69"/>
        <v>85. Suriname</v>
      </c>
    </row>
    <row r="2205" spans="1:5" x14ac:dyDescent="0.25">
      <c r="A2205" t="s">
        <v>31</v>
      </c>
      <c r="B2205" t="s">
        <v>327</v>
      </c>
      <c r="C2205">
        <v>22</v>
      </c>
      <c r="D2205">
        <f t="shared" si="68"/>
        <v>86</v>
      </c>
      <c r="E2205" t="str">
        <f t="shared" si="69"/>
        <v>86. Bosnia and Herzegovina</v>
      </c>
    </row>
    <row r="2206" spans="1:5" x14ac:dyDescent="0.25">
      <c r="A2206" t="s">
        <v>51</v>
      </c>
      <c r="B2206" t="s">
        <v>327</v>
      </c>
      <c r="C2206">
        <v>21.5</v>
      </c>
      <c r="D2206">
        <f t="shared" si="68"/>
        <v>87</v>
      </c>
      <c r="E2206" t="str">
        <f t="shared" si="69"/>
        <v>87. Colombia</v>
      </c>
    </row>
    <row r="2207" spans="1:5" x14ac:dyDescent="0.25">
      <c r="A2207" t="s">
        <v>76</v>
      </c>
      <c r="B2207" t="s">
        <v>327</v>
      </c>
      <c r="C2207">
        <v>21.5</v>
      </c>
      <c r="D2207">
        <f t="shared" si="68"/>
        <v>88</v>
      </c>
      <c r="E2207" t="str">
        <f t="shared" si="69"/>
        <v>88. Gabon</v>
      </c>
    </row>
    <row r="2208" spans="1:5" x14ac:dyDescent="0.25">
      <c r="A2208" t="s">
        <v>62</v>
      </c>
      <c r="B2208" t="s">
        <v>327</v>
      </c>
      <c r="C2208">
        <v>21.3</v>
      </c>
      <c r="D2208">
        <f t="shared" si="68"/>
        <v>89</v>
      </c>
      <c r="E2208" t="str">
        <f t="shared" si="69"/>
        <v>89. Dominica</v>
      </c>
    </row>
    <row r="2209" spans="1:5" x14ac:dyDescent="0.25">
      <c r="A2209" t="s">
        <v>211</v>
      </c>
      <c r="B2209" t="s">
        <v>327</v>
      </c>
      <c r="C2209">
        <v>21.3</v>
      </c>
      <c r="D2209">
        <f t="shared" si="68"/>
        <v>90</v>
      </c>
      <c r="E2209" t="str">
        <f t="shared" si="69"/>
        <v>90. St. Vincent and the Grenadines</v>
      </c>
    </row>
    <row r="2210" spans="1:5" x14ac:dyDescent="0.25">
      <c r="A2210" t="s">
        <v>40</v>
      </c>
      <c r="B2210" t="s">
        <v>327</v>
      </c>
      <c r="C2210">
        <v>20.5</v>
      </c>
      <c r="D2210">
        <f t="shared" si="68"/>
        <v>91</v>
      </c>
      <c r="E2210" t="str">
        <f t="shared" si="69"/>
        <v>91. Botswana</v>
      </c>
    </row>
    <row r="2211" spans="1:5" x14ac:dyDescent="0.25">
      <c r="A2211" t="s">
        <v>198</v>
      </c>
      <c r="B2211" t="s">
        <v>327</v>
      </c>
      <c r="C2211">
        <v>20.399999999999999</v>
      </c>
      <c r="D2211">
        <f t="shared" si="68"/>
        <v>92</v>
      </c>
      <c r="E2211" t="str">
        <f t="shared" si="69"/>
        <v>92. Turkmenistan</v>
      </c>
    </row>
    <row r="2212" spans="1:5" x14ac:dyDescent="0.25">
      <c r="A2212" t="s">
        <v>85</v>
      </c>
      <c r="B2212" t="s">
        <v>327</v>
      </c>
      <c r="C2212">
        <v>20.2</v>
      </c>
      <c r="D2212">
        <f t="shared" si="68"/>
        <v>93</v>
      </c>
      <c r="E2212" t="str">
        <f t="shared" si="69"/>
        <v>93. Grenada</v>
      </c>
    </row>
    <row r="2213" spans="1:5" x14ac:dyDescent="0.25">
      <c r="A2213" t="s">
        <v>67</v>
      </c>
      <c r="B2213" t="s">
        <v>327</v>
      </c>
      <c r="C2213">
        <v>19.100000000000001</v>
      </c>
      <c r="D2213">
        <f t="shared" si="68"/>
        <v>94</v>
      </c>
      <c r="E2213" t="str">
        <f t="shared" si="69"/>
        <v>94. Egypt, Arab Rep.</v>
      </c>
    </row>
    <row r="2214" spans="1:5" x14ac:dyDescent="0.25">
      <c r="A2214" t="s">
        <v>139</v>
      </c>
      <c r="B2214" t="s">
        <v>327</v>
      </c>
      <c r="C2214">
        <v>19.100000000000001</v>
      </c>
      <c r="D2214">
        <f t="shared" si="68"/>
        <v>95</v>
      </c>
      <c r="E2214" t="str">
        <f t="shared" si="69"/>
        <v>95. Mongolia</v>
      </c>
    </row>
    <row r="2215" spans="1:5" x14ac:dyDescent="0.25">
      <c r="A2215" t="s">
        <v>129</v>
      </c>
      <c r="B2215" t="s">
        <v>327</v>
      </c>
      <c r="C2215">
        <v>18.7</v>
      </c>
      <c r="D2215">
        <f t="shared" si="68"/>
        <v>96</v>
      </c>
      <c r="E2215" t="str">
        <f t="shared" si="69"/>
        <v>96. Moldova</v>
      </c>
    </row>
    <row r="2216" spans="1:5" x14ac:dyDescent="0.25">
      <c r="A2216" t="s">
        <v>216</v>
      </c>
      <c r="B2216" t="s">
        <v>327</v>
      </c>
      <c r="C2216">
        <v>18.600000000000001</v>
      </c>
      <c r="D2216">
        <f t="shared" si="68"/>
        <v>97</v>
      </c>
      <c r="E2216" t="str">
        <f t="shared" si="69"/>
        <v>97. Kosovo</v>
      </c>
    </row>
    <row r="2217" spans="1:5" x14ac:dyDescent="0.25">
      <c r="A2217" t="s">
        <v>207</v>
      </c>
      <c r="B2217" t="s">
        <v>327</v>
      </c>
      <c r="C2217">
        <v>18.600000000000001</v>
      </c>
      <c r="D2217">
        <f t="shared" si="68"/>
        <v>98</v>
      </c>
      <c r="E2217" t="str">
        <f t="shared" si="69"/>
        <v>98. Ukraine</v>
      </c>
    </row>
    <row r="2218" spans="1:5" x14ac:dyDescent="0.25">
      <c r="A2218" t="s">
        <v>166</v>
      </c>
      <c r="B2218" t="s">
        <v>327</v>
      </c>
      <c r="C2218">
        <v>18.5</v>
      </c>
      <c r="D2218">
        <f t="shared" si="68"/>
        <v>99</v>
      </c>
      <c r="E2218" t="str">
        <f t="shared" si="69"/>
        <v>99. Paraguay</v>
      </c>
    </row>
    <row r="2219" spans="1:5" x14ac:dyDescent="0.25">
      <c r="A2219" t="s">
        <v>99</v>
      </c>
      <c r="B2219" t="s">
        <v>327</v>
      </c>
      <c r="C2219">
        <v>18.399999999999999</v>
      </c>
      <c r="D2219">
        <f t="shared" si="68"/>
        <v>100</v>
      </c>
      <c r="E2219" t="str">
        <f t="shared" si="69"/>
        <v>100. Iran, Islamic Rep.</v>
      </c>
    </row>
    <row r="2220" spans="1:5" x14ac:dyDescent="0.25">
      <c r="A2220" t="s">
        <v>159</v>
      </c>
      <c r="B2220" t="s">
        <v>327</v>
      </c>
      <c r="C2220">
        <v>17.8</v>
      </c>
      <c r="D2220">
        <f t="shared" si="68"/>
        <v>101</v>
      </c>
      <c r="E2220" t="str">
        <f t="shared" si="69"/>
        <v>101. Peru</v>
      </c>
    </row>
    <row r="2221" spans="1:5" x14ac:dyDescent="0.25">
      <c r="A2221" t="s">
        <v>65</v>
      </c>
      <c r="B2221" t="s">
        <v>327</v>
      </c>
      <c r="C2221">
        <v>17.600000000000001</v>
      </c>
      <c r="D2221">
        <f t="shared" si="68"/>
        <v>102</v>
      </c>
      <c r="E2221" t="str">
        <f t="shared" si="69"/>
        <v>102. Algeria</v>
      </c>
    </row>
    <row r="2222" spans="1:5" x14ac:dyDescent="0.25">
      <c r="A2222" t="s">
        <v>83</v>
      </c>
      <c r="B2222" t="s">
        <v>327</v>
      </c>
      <c r="C2222">
        <v>17.600000000000001</v>
      </c>
      <c r="D2222">
        <f t="shared" si="68"/>
        <v>103</v>
      </c>
      <c r="E2222" t="str">
        <f t="shared" si="69"/>
        <v>103. Equatorial Guinea</v>
      </c>
    </row>
    <row r="2223" spans="1:5" x14ac:dyDescent="0.25">
      <c r="A2223" t="s">
        <v>95</v>
      </c>
      <c r="B2223" t="s">
        <v>327</v>
      </c>
      <c r="C2223">
        <v>16.399999999999999</v>
      </c>
      <c r="D2223">
        <f t="shared" si="68"/>
        <v>104</v>
      </c>
      <c r="E2223" t="str">
        <f t="shared" si="69"/>
        <v>104. Indonesia</v>
      </c>
    </row>
    <row r="2224" spans="1:5" x14ac:dyDescent="0.25">
      <c r="A2224" t="s">
        <v>213</v>
      </c>
      <c r="B2224" t="s">
        <v>327</v>
      </c>
      <c r="C2224">
        <v>16.399999999999999</v>
      </c>
      <c r="D2224">
        <f t="shared" si="68"/>
        <v>105</v>
      </c>
      <c r="E2224" t="str">
        <f t="shared" si="69"/>
        <v>105. Viet Nam</v>
      </c>
    </row>
    <row r="2225" spans="1:5" x14ac:dyDescent="0.25">
      <c r="A2225" t="s">
        <v>72</v>
      </c>
      <c r="B2225" t="s">
        <v>327</v>
      </c>
      <c r="C2225">
        <v>16</v>
      </c>
      <c r="D2225">
        <f t="shared" si="68"/>
        <v>106</v>
      </c>
      <c r="E2225" t="str">
        <f t="shared" si="69"/>
        <v>106. Fiji</v>
      </c>
    </row>
    <row r="2226" spans="1:5" x14ac:dyDescent="0.25">
      <c r="A2226" t="s">
        <v>66</v>
      </c>
      <c r="B2226" t="s">
        <v>327</v>
      </c>
      <c r="C2226">
        <v>15.8</v>
      </c>
      <c r="D2226">
        <f t="shared" si="68"/>
        <v>107</v>
      </c>
      <c r="E2226" t="str">
        <f t="shared" si="69"/>
        <v>107. Ecuador</v>
      </c>
    </row>
    <row r="2227" spans="1:5" x14ac:dyDescent="0.25">
      <c r="A2227" t="s">
        <v>121</v>
      </c>
      <c r="B2227" t="s">
        <v>327</v>
      </c>
      <c r="C2227">
        <v>15.6</v>
      </c>
      <c r="D2227">
        <f t="shared" si="68"/>
        <v>108</v>
      </c>
      <c r="E2227" t="str">
        <f t="shared" si="69"/>
        <v>108. Sri Lanka</v>
      </c>
    </row>
    <row r="2228" spans="1:5" x14ac:dyDescent="0.25">
      <c r="A2228" t="s">
        <v>218</v>
      </c>
      <c r="B2228" t="s">
        <v>327</v>
      </c>
      <c r="C2228">
        <v>15.5</v>
      </c>
      <c r="D2228">
        <f t="shared" si="68"/>
        <v>109</v>
      </c>
      <c r="E2228" t="str">
        <f t="shared" si="69"/>
        <v>109. South Africa</v>
      </c>
    </row>
    <row r="2229" spans="1:5" x14ac:dyDescent="0.25">
      <c r="A2229" t="s">
        <v>33</v>
      </c>
      <c r="B2229" t="s">
        <v>327</v>
      </c>
      <c r="C2229">
        <v>15.1</v>
      </c>
      <c r="D2229">
        <f t="shared" si="68"/>
        <v>110</v>
      </c>
      <c r="E2229" t="str">
        <f t="shared" si="69"/>
        <v>110. Belize</v>
      </c>
    </row>
    <row r="2230" spans="1:5" x14ac:dyDescent="0.25">
      <c r="A2230" t="s">
        <v>100</v>
      </c>
      <c r="B2230" t="s">
        <v>327</v>
      </c>
      <c r="C2230">
        <v>14.5</v>
      </c>
      <c r="D2230">
        <f t="shared" si="68"/>
        <v>111</v>
      </c>
      <c r="E2230" t="str">
        <f t="shared" si="69"/>
        <v>111. Iraq</v>
      </c>
    </row>
    <row r="2231" spans="1:5" x14ac:dyDescent="0.25">
      <c r="A2231" t="s">
        <v>202</v>
      </c>
      <c r="B2231" t="s">
        <v>327</v>
      </c>
      <c r="C2231">
        <v>14.5</v>
      </c>
      <c r="D2231">
        <f t="shared" si="68"/>
        <v>112</v>
      </c>
      <c r="E2231" t="str">
        <f t="shared" si="69"/>
        <v>112. Tunisia</v>
      </c>
    </row>
    <row r="2232" spans="1:5" x14ac:dyDescent="0.25">
      <c r="A2232" t="s">
        <v>87</v>
      </c>
      <c r="B2232" t="s">
        <v>327</v>
      </c>
      <c r="C2232">
        <v>14.4</v>
      </c>
      <c r="D2232">
        <f t="shared" si="68"/>
        <v>113</v>
      </c>
      <c r="E2232" t="str">
        <f t="shared" si="69"/>
        <v>113. Guatemala</v>
      </c>
    </row>
    <row r="2233" spans="1:5" x14ac:dyDescent="0.25">
      <c r="A2233" t="s">
        <v>154</v>
      </c>
      <c r="B2233" t="s">
        <v>327</v>
      </c>
      <c r="C2233">
        <v>14.3</v>
      </c>
      <c r="D2233">
        <f t="shared" si="68"/>
        <v>114</v>
      </c>
      <c r="E2233" t="str">
        <f t="shared" si="69"/>
        <v>114. Nauru</v>
      </c>
    </row>
    <row r="2234" spans="1:5" x14ac:dyDescent="0.25">
      <c r="A2234" t="s">
        <v>118</v>
      </c>
      <c r="B2234" t="s">
        <v>327</v>
      </c>
      <c r="C2234">
        <v>14</v>
      </c>
      <c r="D2234">
        <f t="shared" si="68"/>
        <v>115</v>
      </c>
      <c r="E2234" t="str">
        <f t="shared" si="69"/>
        <v>115. Libya</v>
      </c>
    </row>
    <row r="2235" spans="1:5" x14ac:dyDescent="0.25">
      <c r="A2235" t="s">
        <v>179</v>
      </c>
      <c r="B2235" t="s">
        <v>327</v>
      </c>
      <c r="C2235">
        <v>13.3</v>
      </c>
      <c r="D2235">
        <f t="shared" si="68"/>
        <v>116</v>
      </c>
      <c r="E2235" t="str">
        <f t="shared" si="69"/>
        <v>116. El Salvador</v>
      </c>
    </row>
    <row r="2236" spans="1:5" x14ac:dyDescent="0.25">
      <c r="A2236" t="s">
        <v>210</v>
      </c>
      <c r="B2236" t="s">
        <v>327</v>
      </c>
      <c r="C2236">
        <v>11.9</v>
      </c>
      <c r="D2236">
        <f t="shared" si="68"/>
        <v>117</v>
      </c>
      <c r="E2236" t="str">
        <f t="shared" si="69"/>
        <v>117. Uzbekistan</v>
      </c>
    </row>
    <row r="2237" spans="1:5" x14ac:dyDescent="0.25">
      <c r="A2237" t="s">
        <v>189</v>
      </c>
      <c r="B2237" t="s">
        <v>327</v>
      </c>
      <c r="C2237">
        <v>11.8</v>
      </c>
      <c r="D2237">
        <f t="shared" si="68"/>
        <v>118</v>
      </c>
      <c r="E2237" t="str">
        <f t="shared" si="69"/>
        <v>118. Eswatini</v>
      </c>
    </row>
    <row r="2238" spans="1:5" x14ac:dyDescent="0.25">
      <c r="A2238" t="s">
        <v>160</v>
      </c>
      <c r="B2238" t="s">
        <v>327</v>
      </c>
      <c r="C2238">
        <v>11.8</v>
      </c>
      <c r="D2238">
        <f t="shared" si="68"/>
        <v>119</v>
      </c>
      <c r="E2238" t="str">
        <f t="shared" si="69"/>
        <v>119. Philippines</v>
      </c>
    </row>
    <row r="2239" spans="1:5" x14ac:dyDescent="0.25">
      <c r="A2239" t="s">
        <v>104</v>
      </c>
      <c r="B2239" t="s">
        <v>327</v>
      </c>
      <c r="C2239">
        <v>11.7</v>
      </c>
      <c r="D2239">
        <f t="shared" si="68"/>
        <v>120</v>
      </c>
      <c r="E2239" t="str">
        <f t="shared" si="69"/>
        <v>120. Jamaica</v>
      </c>
    </row>
    <row r="2240" spans="1:5" x14ac:dyDescent="0.25">
      <c r="A2240" t="s">
        <v>146</v>
      </c>
      <c r="B2240" t="s">
        <v>327</v>
      </c>
      <c r="C2240">
        <v>11.7</v>
      </c>
      <c r="D2240">
        <f t="shared" si="68"/>
        <v>121</v>
      </c>
      <c r="E2240" t="str">
        <f t="shared" si="69"/>
        <v>121. Namibia</v>
      </c>
    </row>
    <row r="2241" spans="1:5" x14ac:dyDescent="0.25">
      <c r="A2241" t="s">
        <v>53</v>
      </c>
      <c r="B2241" t="s">
        <v>327</v>
      </c>
      <c r="C2241">
        <v>11.3</v>
      </c>
      <c r="D2241">
        <f t="shared" si="68"/>
        <v>122</v>
      </c>
      <c r="E2241" t="str">
        <f t="shared" si="69"/>
        <v>122. Cabo Verde</v>
      </c>
    </row>
    <row r="2242" spans="1:5" x14ac:dyDescent="0.25">
      <c r="A2242" t="s">
        <v>35</v>
      </c>
      <c r="B2242" t="s">
        <v>327</v>
      </c>
      <c r="C2242">
        <v>11.2</v>
      </c>
      <c r="D2242">
        <f t="shared" si="68"/>
        <v>123</v>
      </c>
      <c r="E2242" t="str">
        <f t="shared" si="69"/>
        <v>123. Bolivia</v>
      </c>
    </row>
    <row r="2243" spans="1:5" x14ac:dyDescent="0.25">
      <c r="A2243" t="s">
        <v>97</v>
      </c>
      <c r="B2243" t="s">
        <v>327</v>
      </c>
      <c r="C2243">
        <v>11.2</v>
      </c>
      <c r="D2243">
        <f t="shared" ref="D2243:D2306" si="70">IF(ROW() = 2, 1, IF(B2243 = B2242, D2242 + 1, 1))</f>
        <v>124</v>
      </c>
      <c r="E2243" t="str">
        <f t="shared" ref="E2243:E2306" si="71">_xlfn.CONCAT(D2243, ". ", A2243)</f>
        <v>124. India</v>
      </c>
    </row>
    <row r="2244" spans="1:5" x14ac:dyDescent="0.25">
      <c r="A2244" t="s">
        <v>105</v>
      </c>
      <c r="B2244" t="s">
        <v>327</v>
      </c>
      <c r="C2244">
        <v>10.8</v>
      </c>
      <c r="D2244">
        <f t="shared" si="70"/>
        <v>125</v>
      </c>
      <c r="E2244" t="str">
        <f t="shared" si="71"/>
        <v>125. Jordan</v>
      </c>
    </row>
    <row r="2245" spans="1:5" x14ac:dyDescent="0.25">
      <c r="A2245" t="s">
        <v>127</v>
      </c>
      <c r="B2245" t="s">
        <v>327</v>
      </c>
      <c r="C2245">
        <v>10.3</v>
      </c>
      <c r="D2245">
        <f t="shared" si="70"/>
        <v>126</v>
      </c>
      <c r="E2245" t="str">
        <f t="shared" si="71"/>
        <v>126. Morocco</v>
      </c>
    </row>
    <row r="2246" spans="1:5" x14ac:dyDescent="0.25">
      <c r="A2246" t="s">
        <v>115</v>
      </c>
      <c r="B2246" t="s">
        <v>327</v>
      </c>
      <c r="C2246">
        <v>9.8000000000000007</v>
      </c>
      <c r="D2246">
        <f t="shared" si="70"/>
        <v>127</v>
      </c>
      <c r="E2246" t="str">
        <f t="shared" si="71"/>
        <v>127. Lao PDR</v>
      </c>
    </row>
    <row r="2247" spans="1:5" x14ac:dyDescent="0.25">
      <c r="A2247" t="s">
        <v>27</v>
      </c>
      <c r="B2247" t="s">
        <v>327</v>
      </c>
      <c r="C2247">
        <v>9.6</v>
      </c>
      <c r="D2247">
        <f t="shared" si="70"/>
        <v>128</v>
      </c>
      <c r="E2247" t="str">
        <f t="shared" si="71"/>
        <v>128. Bangladesh</v>
      </c>
    </row>
    <row r="2248" spans="1:5" x14ac:dyDescent="0.25">
      <c r="A2248" t="s">
        <v>150</v>
      </c>
      <c r="B2248" t="s">
        <v>327</v>
      </c>
      <c r="C2248">
        <v>8.6999999999999993</v>
      </c>
      <c r="D2248">
        <f t="shared" si="70"/>
        <v>129</v>
      </c>
      <c r="E2248" t="str">
        <f t="shared" si="71"/>
        <v>129. Nicaragua</v>
      </c>
    </row>
    <row r="2249" spans="1:5" x14ac:dyDescent="0.25">
      <c r="A2249" t="s">
        <v>12</v>
      </c>
      <c r="B2249" t="s">
        <v>327</v>
      </c>
      <c r="C2249">
        <v>8.3000000000000007</v>
      </c>
      <c r="D2249">
        <f t="shared" si="70"/>
        <v>130</v>
      </c>
      <c r="E2249" t="str">
        <f t="shared" si="71"/>
        <v>130. Angola</v>
      </c>
    </row>
    <row r="2250" spans="1:5" x14ac:dyDescent="0.25">
      <c r="A2250" t="s">
        <v>133</v>
      </c>
      <c r="B2250" t="s">
        <v>327</v>
      </c>
      <c r="C2250">
        <v>8.1999999999999993</v>
      </c>
      <c r="D2250">
        <f t="shared" si="70"/>
        <v>131</v>
      </c>
      <c r="E2250" t="str">
        <f t="shared" si="71"/>
        <v>131. Marshall Islands</v>
      </c>
    </row>
    <row r="2251" spans="1:5" x14ac:dyDescent="0.25">
      <c r="A2251" t="s">
        <v>110</v>
      </c>
      <c r="B2251" t="s">
        <v>327</v>
      </c>
      <c r="C2251">
        <v>8</v>
      </c>
      <c r="D2251">
        <f t="shared" si="70"/>
        <v>132</v>
      </c>
      <c r="E2251" t="str">
        <f t="shared" si="71"/>
        <v>132. Cambodia</v>
      </c>
    </row>
    <row r="2252" spans="1:5" x14ac:dyDescent="0.25">
      <c r="A2252" t="s">
        <v>79</v>
      </c>
      <c r="B2252" t="s">
        <v>327</v>
      </c>
      <c r="C2252">
        <v>8</v>
      </c>
      <c r="D2252">
        <f t="shared" si="70"/>
        <v>133</v>
      </c>
      <c r="E2252" t="str">
        <f t="shared" si="71"/>
        <v>133. Ghana</v>
      </c>
    </row>
    <row r="2253" spans="1:5" x14ac:dyDescent="0.25">
      <c r="A2253" t="s">
        <v>109</v>
      </c>
      <c r="B2253" t="s">
        <v>327</v>
      </c>
      <c r="C2253">
        <v>8</v>
      </c>
      <c r="D2253">
        <f t="shared" si="70"/>
        <v>134</v>
      </c>
      <c r="E2253" t="str">
        <f t="shared" si="71"/>
        <v>134. Kyrgyz Republic</v>
      </c>
    </row>
    <row r="2254" spans="1:5" x14ac:dyDescent="0.25">
      <c r="A2254" t="s">
        <v>61</v>
      </c>
      <c r="B2254" t="s">
        <v>327</v>
      </c>
      <c r="C2254">
        <v>7.8</v>
      </c>
      <c r="D2254">
        <f t="shared" si="70"/>
        <v>135</v>
      </c>
      <c r="E2254" t="str">
        <f t="shared" si="71"/>
        <v>135. Djibouti</v>
      </c>
    </row>
    <row r="2255" spans="1:5" x14ac:dyDescent="0.25">
      <c r="A2255" t="s">
        <v>215</v>
      </c>
      <c r="B2255" t="s">
        <v>327</v>
      </c>
      <c r="C2255">
        <v>7.8</v>
      </c>
      <c r="D2255">
        <f t="shared" si="70"/>
        <v>136</v>
      </c>
      <c r="E2255" t="str">
        <f t="shared" si="71"/>
        <v>136. Samoa</v>
      </c>
    </row>
    <row r="2256" spans="1:5" x14ac:dyDescent="0.25">
      <c r="A2256" t="s">
        <v>47</v>
      </c>
      <c r="B2256" t="s">
        <v>327</v>
      </c>
      <c r="C2256">
        <v>7.7</v>
      </c>
      <c r="D2256">
        <f t="shared" si="70"/>
        <v>137</v>
      </c>
      <c r="E2256" t="str">
        <f t="shared" si="71"/>
        <v>137. Cote d'Ivoire</v>
      </c>
    </row>
    <row r="2257" spans="1:5" x14ac:dyDescent="0.25">
      <c r="A2257" t="s">
        <v>91</v>
      </c>
      <c r="B2257" t="s">
        <v>327</v>
      </c>
      <c r="C2257">
        <v>7.5</v>
      </c>
      <c r="D2257">
        <f t="shared" si="70"/>
        <v>138</v>
      </c>
      <c r="E2257" t="str">
        <f t="shared" si="71"/>
        <v>138. Honduras</v>
      </c>
    </row>
    <row r="2258" spans="1:5" x14ac:dyDescent="0.25">
      <c r="A2258" t="s">
        <v>142</v>
      </c>
      <c r="B2258" t="s">
        <v>327</v>
      </c>
      <c r="C2258">
        <v>7.3</v>
      </c>
      <c r="D2258">
        <f t="shared" si="70"/>
        <v>139</v>
      </c>
      <c r="E2258" t="str">
        <f t="shared" si="71"/>
        <v>139. Mauritania</v>
      </c>
    </row>
    <row r="2259" spans="1:5" x14ac:dyDescent="0.25">
      <c r="A2259" t="s">
        <v>50</v>
      </c>
      <c r="B2259" t="s">
        <v>327</v>
      </c>
      <c r="C2259">
        <v>7</v>
      </c>
      <c r="D2259">
        <f t="shared" si="70"/>
        <v>140</v>
      </c>
      <c r="E2259" t="str">
        <f t="shared" si="71"/>
        <v>140. Congo, Rep.</v>
      </c>
    </row>
    <row r="2260" spans="1:5" x14ac:dyDescent="0.25">
      <c r="A2260" t="s">
        <v>108</v>
      </c>
      <c r="B2260" t="s">
        <v>327</v>
      </c>
      <c r="C2260">
        <v>6.6</v>
      </c>
      <c r="D2260">
        <f t="shared" si="70"/>
        <v>141</v>
      </c>
      <c r="E2260" t="str">
        <f t="shared" si="71"/>
        <v>141. Kenya</v>
      </c>
    </row>
    <row r="2261" spans="1:5" x14ac:dyDescent="0.25">
      <c r="A2261" t="s">
        <v>149</v>
      </c>
      <c r="B2261" t="s">
        <v>327</v>
      </c>
      <c r="C2261">
        <v>6.4</v>
      </c>
      <c r="D2261">
        <f t="shared" si="70"/>
        <v>142</v>
      </c>
      <c r="E2261" t="str">
        <f t="shared" si="71"/>
        <v>142. Nigeria</v>
      </c>
    </row>
    <row r="2262" spans="1:5" x14ac:dyDescent="0.25">
      <c r="A2262" t="s">
        <v>157</v>
      </c>
      <c r="B2262" t="s">
        <v>327</v>
      </c>
      <c r="C2262">
        <v>6.3</v>
      </c>
      <c r="D2262">
        <f t="shared" si="70"/>
        <v>143</v>
      </c>
      <c r="E2262" t="str">
        <f t="shared" si="71"/>
        <v>143. Pakistan</v>
      </c>
    </row>
    <row r="2263" spans="1:5" x14ac:dyDescent="0.25">
      <c r="A2263" t="s">
        <v>184</v>
      </c>
      <c r="B2263" t="s">
        <v>327</v>
      </c>
      <c r="C2263">
        <v>6.2</v>
      </c>
      <c r="D2263">
        <f t="shared" si="70"/>
        <v>144</v>
      </c>
      <c r="E2263" t="str">
        <f t="shared" si="71"/>
        <v>144. Sao Tome and Principe</v>
      </c>
    </row>
    <row r="2264" spans="1:5" x14ac:dyDescent="0.25">
      <c r="A2264" t="s">
        <v>137</v>
      </c>
      <c r="B2264" t="s">
        <v>327</v>
      </c>
      <c r="C2264">
        <v>6</v>
      </c>
      <c r="D2264">
        <f t="shared" si="70"/>
        <v>145</v>
      </c>
      <c r="E2264" t="str">
        <f t="shared" si="71"/>
        <v>145. Myanmar</v>
      </c>
    </row>
    <row r="2265" spans="1:5" x14ac:dyDescent="0.25">
      <c r="A2265" t="s">
        <v>153</v>
      </c>
      <c r="B2265" t="s">
        <v>327</v>
      </c>
      <c r="C2265">
        <v>5.7</v>
      </c>
      <c r="D2265">
        <f t="shared" si="70"/>
        <v>146</v>
      </c>
      <c r="E2265" t="str">
        <f t="shared" si="71"/>
        <v>146. Nepal</v>
      </c>
    </row>
    <row r="2266" spans="1:5" x14ac:dyDescent="0.25">
      <c r="A2266" t="s">
        <v>48</v>
      </c>
      <c r="B2266" t="s">
        <v>327</v>
      </c>
      <c r="C2266">
        <v>5.6</v>
      </c>
      <c r="D2266">
        <f t="shared" si="70"/>
        <v>147</v>
      </c>
      <c r="E2266" t="str">
        <f t="shared" si="71"/>
        <v>147. Cameroon</v>
      </c>
    </row>
    <row r="2267" spans="1:5" x14ac:dyDescent="0.25">
      <c r="A2267" t="s">
        <v>197</v>
      </c>
      <c r="B2267" t="s">
        <v>327</v>
      </c>
      <c r="C2267">
        <v>5.4</v>
      </c>
      <c r="D2267">
        <f t="shared" si="70"/>
        <v>148</v>
      </c>
      <c r="E2267" t="str">
        <f t="shared" si="71"/>
        <v>148. Tajikistan</v>
      </c>
    </row>
    <row r="2268" spans="1:5" x14ac:dyDescent="0.25">
      <c r="A2268" t="s">
        <v>175</v>
      </c>
      <c r="B2268" t="s">
        <v>327</v>
      </c>
      <c r="C2268">
        <v>5.0999999999999996</v>
      </c>
      <c r="D2268">
        <f t="shared" si="70"/>
        <v>149</v>
      </c>
      <c r="E2268" t="str">
        <f t="shared" si="71"/>
        <v>149. Senegal</v>
      </c>
    </row>
    <row r="2269" spans="1:5" x14ac:dyDescent="0.25">
      <c r="A2269" t="s">
        <v>162</v>
      </c>
      <c r="B2269" t="s">
        <v>327</v>
      </c>
      <c r="C2269">
        <v>4.9000000000000004</v>
      </c>
      <c r="D2269">
        <f t="shared" si="70"/>
        <v>150</v>
      </c>
      <c r="E2269" t="str">
        <f t="shared" si="71"/>
        <v>150. Papua New Guinea</v>
      </c>
    </row>
    <row r="2270" spans="1:5" x14ac:dyDescent="0.25">
      <c r="A2270" t="s">
        <v>199</v>
      </c>
      <c r="B2270" t="s">
        <v>327</v>
      </c>
      <c r="C2270">
        <v>4.8</v>
      </c>
      <c r="D2270">
        <f t="shared" si="70"/>
        <v>151</v>
      </c>
      <c r="E2270" t="str">
        <f t="shared" si="71"/>
        <v>151. Timor-Leste</v>
      </c>
    </row>
    <row r="2271" spans="1:5" x14ac:dyDescent="0.25">
      <c r="A2271" t="s">
        <v>80</v>
      </c>
      <c r="B2271" t="s">
        <v>327</v>
      </c>
      <c r="C2271">
        <v>4.5999999999999996</v>
      </c>
      <c r="D2271">
        <f t="shared" si="70"/>
        <v>152</v>
      </c>
      <c r="E2271" t="str">
        <f t="shared" si="71"/>
        <v>152. Guinea</v>
      </c>
    </row>
    <row r="2272" spans="1:5" x14ac:dyDescent="0.25">
      <c r="A2272" t="s">
        <v>25</v>
      </c>
      <c r="B2272" t="s">
        <v>327</v>
      </c>
      <c r="C2272">
        <v>4.4000000000000004</v>
      </c>
      <c r="D2272">
        <f t="shared" si="70"/>
        <v>153</v>
      </c>
      <c r="E2272" t="str">
        <f t="shared" si="71"/>
        <v>153. Benin</v>
      </c>
    </row>
    <row r="2273" spans="1:5" x14ac:dyDescent="0.25">
      <c r="A2273" t="s">
        <v>167</v>
      </c>
      <c r="B2273" t="s">
        <v>327</v>
      </c>
      <c r="C2273">
        <v>4.4000000000000004</v>
      </c>
      <c r="D2273">
        <f t="shared" si="70"/>
        <v>154</v>
      </c>
      <c r="E2273" t="str">
        <f t="shared" si="71"/>
        <v>154. West Bank and Gaza</v>
      </c>
    </row>
    <row r="2274" spans="1:5" x14ac:dyDescent="0.25">
      <c r="A2274" t="s">
        <v>75</v>
      </c>
      <c r="B2274" t="s">
        <v>327</v>
      </c>
      <c r="C2274">
        <v>4.3</v>
      </c>
      <c r="D2274">
        <f t="shared" si="70"/>
        <v>155</v>
      </c>
      <c r="E2274" t="str">
        <f t="shared" si="71"/>
        <v>155. Micronesia, Fed. Sts.</v>
      </c>
    </row>
    <row r="2275" spans="1:5" x14ac:dyDescent="0.25">
      <c r="A2275" t="s">
        <v>205</v>
      </c>
      <c r="B2275" t="s">
        <v>327</v>
      </c>
      <c r="C2275">
        <v>4.2</v>
      </c>
      <c r="D2275">
        <f t="shared" si="70"/>
        <v>156</v>
      </c>
      <c r="E2275" t="str">
        <f t="shared" si="71"/>
        <v>156. Tanzania</v>
      </c>
    </row>
    <row r="2276" spans="1:5" x14ac:dyDescent="0.25">
      <c r="A2276" t="s">
        <v>219</v>
      </c>
      <c r="B2276" t="s">
        <v>327</v>
      </c>
      <c r="C2276">
        <v>4.2</v>
      </c>
      <c r="D2276">
        <f t="shared" si="70"/>
        <v>157</v>
      </c>
      <c r="E2276" t="str">
        <f t="shared" si="71"/>
        <v>157. Zambia</v>
      </c>
    </row>
    <row r="2277" spans="1:5" x14ac:dyDescent="0.25">
      <c r="A2277" t="s">
        <v>52</v>
      </c>
      <c r="B2277" t="s">
        <v>327</v>
      </c>
      <c r="C2277">
        <v>4.0999999999999996</v>
      </c>
      <c r="D2277">
        <f t="shared" si="70"/>
        <v>158</v>
      </c>
      <c r="E2277" t="str">
        <f t="shared" si="71"/>
        <v>158. Comoros</v>
      </c>
    </row>
    <row r="2278" spans="1:5" x14ac:dyDescent="0.25">
      <c r="A2278" t="s">
        <v>220</v>
      </c>
      <c r="B2278" t="s">
        <v>327</v>
      </c>
      <c r="C2278">
        <v>3.9</v>
      </c>
      <c r="D2278">
        <f t="shared" si="70"/>
        <v>159</v>
      </c>
      <c r="E2278" t="str">
        <f t="shared" si="71"/>
        <v>159. Zimbabwe</v>
      </c>
    </row>
    <row r="2279" spans="1:5" x14ac:dyDescent="0.25">
      <c r="A2279" t="s">
        <v>111</v>
      </c>
      <c r="B2279" t="s">
        <v>327</v>
      </c>
      <c r="C2279">
        <v>3.7</v>
      </c>
      <c r="D2279">
        <f t="shared" si="70"/>
        <v>160</v>
      </c>
      <c r="E2279" t="str">
        <f t="shared" si="71"/>
        <v>160. Kiribati</v>
      </c>
    </row>
    <row r="2280" spans="1:5" x14ac:dyDescent="0.25">
      <c r="A2280" t="s">
        <v>172</v>
      </c>
      <c r="B2280" t="s">
        <v>327</v>
      </c>
      <c r="C2280">
        <v>3.7</v>
      </c>
      <c r="D2280">
        <f t="shared" si="70"/>
        <v>161</v>
      </c>
      <c r="E2280" t="str">
        <f t="shared" si="71"/>
        <v>161. Rwanda</v>
      </c>
    </row>
    <row r="2281" spans="1:5" x14ac:dyDescent="0.25">
      <c r="A2281" t="s">
        <v>214</v>
      </c>
      <c r="B2281" t="s">
        <v>327</v>
      </c>
      <c r="C2281">
        <v>3.6</v>
      </c>
      <c r="D2281">
        <f t="shared" si="70"/>
        <v>162</v>
      </c>
      <c r="E2281" t="str">
        <f t="shared" si="71"/>
        <v>162. Vanuatu</v>
      </c>
    </row>
    <row r="2282" spans="1:5" x14ac:dyDescent="0.25">
      <c r="A2282" t="s">
        <v>178</v>
      </c>
      <c r="B2282" t="s">
        <v>327</v>
      </c>
      <c r="C2282">
        <v>3.5</v>
      </c>
      <c r="D2282">
        <f t="shared" si="70"/>
        <v>163</v>
      </c>
      <c r="E2282" t="str">
        <f t="shared" si="71"/>
        <v>163. Sierra Leone</v>
      </c>
    </row>
    <row r="2283" spans="1:5" x14ac:dyDescent="0.25">
      <c r="A2283" t="s">
        <v>81</v>
      </c>
      <c r="B2283" t="s">
        <v>327</v>
      </c>
      <c r="C2283">
        <v>3.4</v>
      </c>
      <c r="D2283">
        <f t="shared" si="70"/>
        <v>164</v>
      </c>
      <c r="E2283" t="str">
        <f t="shared" si="71"/>
        <v>164. Gambia, The</v>
      </c>
    </row>
    <row r="2284" spans="1:5" x14ac:dyDescent="0.25">
      <c r="A2284" t="s">
        <v>70</v>
      </c>
      <c r="B2284" t="s">
        <v>327</v>
      </c>
      <c r="C2284">
        <v>3.3</v>
      </c>
      <c r="D2284">
        <f t="shared" si="70"/>
        <v>165</v>
      </c>
      <c r="E2284" t="str">
        <f t="shared" si="71"/>
        <v>165. Ethiopia</v>
      </c>
    </row>
    <row r="2285" spans="1:5" x14ac:dyDescent="0.25">
      <c r="A2285" t="s">
        <v>135</v>
      </c>
      <c r="B2285" t="s">
        <v>327</v>
      </c>
      <c r="C2285">
        <v>3.3</v>
      </c>
      <c r="D2285">
        <f t="shared" si="70"/>
        <v>166</v>
      </c>
      <c r="E2285" t="str">
        <f t="shared" si="71"/>
        <v>166. Mali</v>
      </c>
    </row>
    <row r="2286" spans="1:5" x14ac:dyDescent="0.25">
      <c r="A2286" t="s">
        <v>206</v>
      </c>
      <c r="B2286" t="s">
        <v>327</v>
      </c>
      <c r="C2286">
        <v>3.3</v>
      </c>
      <c r="D2286">
        <f t="shared" si="70"/>
        <v>167</v>
      </c>
      <c r="E2286" t="str">
        <f t="shared" si="71"/>
        <v>167. Uganda</v>
      </c>
    </row>
    <row r="2287" spans="1:5" x14ac:dyDescent="0.25">
      <c r="A2287" t="s">
        <v>93</v>
      </c>
      <c r="B2287" t="s">
        <v>327</v>
      </c>
      <c r="C2287">
        <v>3.2</v>
      </c>
      <c r="D2287">
        <f t="shared" si="70"/>
        <v>168</v>
      </c>
      <c r="E2287" t="str">
        <f t="shared" si="71"/>
        <v>168. Haiti</v>
      </c>
    </row>
    <row r="2288" spans="1:5" x14ac:dyDescent="0.25">
      <c r="A2288" t="s">
        <v>195</v>
      </c>
      <c r="B2288" t="s">
        <v>327</v>
      </c>
      <c r="C2288">
        <v>3.2</v>
      </c>
      <c r="D2288">
        <f t="shared" si="70"/>
        <v>169</v>
      </c>
      <c r="E2288" t="str">
        <f t="shared" si="71"/>
        <v>169. Togo</v>
      </c>
    </row>
    <row r="2289" spans="1:5" x14ac:dyDescent="0.25">
      <c r="A2289" t="s">
        <v>82</v>
      </c>
      <c r="B2289" t="s">
        <v>327</v>
      </c>
      <c r="C2289">
        <v>3.1</v>
      </c>
      <c r="D2289">
        <f t="shared" si="70"/>
        <v>170</v>
      </c>
      <c r="E2289" t="str">
        <f t="shared" si="71"/>
        <v>170. Guinea-Bissau</v>
      </c>
    </row>
    <row r="2290" spans="1:5" x14ac:dyDescent="0.25">
      <c r="A2290" t="s">
        <v>194</v>
      </c>
      <c r="B2290" t="s">
        <v>327</v>
      </c>
      <c r="C2290">
        <v>3</v>
      </c>
      <c r="D2290">
        <f t="shared" si="70"/>
        <v>171</v>
      </c>
      <c r="E2290" t="str">
        <f t="shared" si="71"/>
        <v>171. Chad</v>
      </c>
    </row>
    <row r="2291" spans="1:5" x14ac:dyDescent="0.25">
      <c r="A2291" t="s">
        <v>122</v>
      </c>
      <c r="B2291" t="s">
        <v>327</v>
      </c>
      <c r="C2291">
        <v>3</v>
      </c>
      <c r="D2291">
        <f t="shared" si="70"/>
        <v>172</v>
      </c>
      <c r="E2291" t="str">
        <f t="shared" si="71"/>
        <v>172. Lesotho</v>
      </c>
    </row>
    <row r="2292" spans="1:5" x14ac:dyDescent="0.25">
      <c r="A2292" t="s">
        <v>26</v>
      </c>
      <c r="B2292" t="s">
        <v>327</v>
      </c>
      <c r="C2292">
        <v>2.9</v>
      </c>
      <c r="D2292">
        <f t="shared" si="70"/>
        <v>173</v>
      </c>
      <c r="E2292" t="str">
        <f t="shared" si="71"/>
        <v>173. Burkina Faso</v>
      </c>
    </row>
    <row r="2293" spans="1:5" x14ac:dyDescent="0.25">
      <c r="A2293" t="s">
        <v>177</v>
      </c>
      <c r="B2293" t="s">
        <v>327</v>
      </c>
      <c r="C2293">
        <v>2.9</v>
      </c>
      <c r="D2293">
        <f t="shared" si="70"/>
        <v>174</v>
      </c>
      <c r="E2293" t="str">
        <f t="shared" si="71"/>
        <v>174. Solomon Islands</v>
      </c>
    </row>
    <row r="2294" spans="1:5" x14ac:dyDescent="0.25">
      <c r="A2294" t="s">
        <v>174</v>
      </c>
      <c r="B2294" t="s">
        <v>327</v>
      </c>
      <c r="C2294">
        <v>2.1</v>
      </c>
      <c r="D2294">
        <f t="shared" si="70"/>
        <v>175</v>
      </c>
      <c r="E2294" t="str">
        <f t="shared" si="71"/>
        <v>175. Sudan</v>
      </c>
    </row>
    <row r="2295" spans="1:5" x14ac:dyDescent="0.25">
      <c r="A2295" t="s">
        <v>148</v>
      </c>
      <c r="B2295" t="s">
        <v>327</v>
      </c>
      <c r="C2295">
        <v>2</v>
      </c>
      <c r="D2295">
        <f t="shared" si="70"/>
        <v>176</v>
      </c>
      <c r="E2295" t="str">
        <f t="shared" si="71"/>
        <v>176. Niger</v>
      </c>
    </row>
    <row r="2296" spans="1:5" x14ac:dyDescent="0.25">
      <c r="A2296" t="s">
        <v>117</v>
      </c>
      <c r="B2296" t="s">
        <v>327</v>
      </c>
      <c r="C2296">
        <v>1.9</v>
      </c>
      <c r="D2296">
        <f t="shared" si="70"/>
        <v>177</v>
      </c>
      <c r="E2296" t="str">
        <f t="shared" si="71"/>
        <v>177. Liberia</v>
      </c>
    </row>
    <row r="2297" spans="1:5" x14ac:dyDescent="0.25">
      <c r="A2297" t="s">
        <v>130</v>
      </c>
      <c r="B2297" t="s">
        <v>327</v>
      </c>
      <c r="C2297">
        <v>1.9</v>
      </c>
      <c r="D2297">
        <f t="shared" si="70"/>
        <v>178</v>
      </c>
      <c r="E2297" t="str">
        <f t="shared" si="71"/>
        <v>178. Madagascar</v>
      </c>
    </row>
    <row r="2298" spans="1:5" x14ac:dyDescent="0.25">
      <c r="A2298" t="s">
        <v>144</v>
      </c>
      <c r="B2298" t="s">
        <v>327</v>
      </c>
      <c r="C2298">
        <v>1.9</v>
      </c>
      <c r="D2298">
        <f t="shared" si="70"/>
        <v>179</v>
      </c>
      <c r="E2298" t="str">
        <f t="shared" si="71"/>
        <v>179. Malawi</v>
      </c>
    </row>
    <row r="2299" spans="1:5" x14ac:dyDescent="0.25">
      <c r="A2299" t="s">
        <v>49</v>
      </c>
      <c r="B2299" t="s">
        <v>327</v>
      </c>
      <c r="C2299">
        <v>1.7</v>
      </c>
      <c r="D2299">
        <f t="shared" si="70"/>
        <v>180</v>
      </c>
      <c r="E2299" t="str">
        <f t="shared" si="71"/>
        <v>180. Congo, Dem. Rep.</v>
      </c>
    </row>
    <row r="2300" spans="1:5" x14ac:dyDescent="0.25">
      <c r="A2300" t="s">
        <v>141</v>
      </c>
      <c r="B2300" t="s">
        <v>327</v>
      </c>
      <c r="C2300">
        <v>1.7</v>
      </c>
      <c r="D2300">
        <f t="shared" si="70"/>
        <v>181</v>
      </c>
      <c r="E2300" t="str">
        <f t="shared" si="71"/>
        <v>181. Mozambique</v>
      </c>
    </row>
    <row r="2301" spans="1:5" x14ac:dyDescent="0.25">
      <c r="A2301" t="s">
        <v>181</v>
      </c>
      <c r="B2301" t="s">
        <v>327</v>
      </c>
      <c r="C2301">
        <v>1.6</v>
      </c>
      <c r="D2301">
        <f t="shared" si="70"/>
        <v>182</v>
      </c>
      <c r="E2301" t="str">
        <f t="shared" si="71"/>
        <v>182. Somalia</v>
      </c>
    </row>
    <row r="2302" spans="1:5" x14ac:dyDescent="0.25">
      <c r="A2302" t="s">
        <v>41</v>
      </c>
      <c r="B2302" t="s">
        <v>327</v>
      </c>
      <c r="C2302">
        <v>1.3</v>
      </c>
      <c r="D2302">
        <f t="shared" si="70"/>
        <v>183</v>
      </c>
      <c r="E2302" t="str">
        <f t="shared" si="71"/>
        <v>183. Central African Republic</v>
      </c>
    </row>
    <row r="2303" spans="1:5" x14ac:dyDescent="0.25">
      <c r="A2303" t="s">
        <v>23</v>
      </c>
      <c r="B2303" t="s">
        <v>327</v>
      </c>
      <c r="C2303">
        <v>0.9</v>
      </c>
      <c r="D2303">
        <f t="shared" si="70"/>
        <v>184</v>
      </c>
      <c r="E2303" t="str">
        <f t="shared" si="71"/>
        <v>184. Burundi</v>
      </c>
    </row>
    <row r="2304" spans="1:5" x14ac:dyDescent="0.25">
      <c r="A2304" t="s">
        <v>46</v>
      </c>
      <c r="B2304" t="s">
        <v>326</v>
      </c>
      <c r="C2304">
        <v>38190.1</v>
      </c>
      <c r="D2304">
        <f t="shared" si="70"/>
        <v>1</v>
      </c>
      <c r="E2304" t="str">
        <f t="shared" si="71"/>
        <v>1. China</v>
      </c>
    </row>
    <row r="2305" spans="1:5" x14ac:dyDescent="0.25">
      <c r="A2305" t="s">
        <v>209</v>
      </c>
      <c r="B2305" t="s">
        <v>326</v>
      </c>
      <c r="C2305">
        <v>29184.9</v>
      </c>
      <c r="D2305">
        <f t="shared" si="70"/>
        <v>2</v>
      </c>
      <c r="E2305" t="str">
        <f t="shared" si="71"/>
        <v>2. United States</v>
      </c>
    </row>
    <row r="2306" spans="1:5" x14ac:dyDescent="0.25">
      <c r="A2306" t="s">
        <v>97</v>
      </c>
      <c r="B2306" t="s">
        <v>326</v>
      </c>
      <c r="C2306">
        <v>16190.8</v>
      </c>
      <c r="D2306">
        <f t="shared" si="70"/>
        <v>3</v>
      </c>
      <c r="E2306" t="str">
        <f t="shared" si="71"/>
        <v>3. India</v>
      </c>
    </row>
    <row r="2307" spans="1:5" x14ac:dyDescent="0.25">
      <c r="A2307" t="s">
        <v>171</v>
      </c>
      <c r="B2307" t="s">
        <v>326</v>
      </c>
      <c r="C2307">
        <v>6921.2</v>
      </c>
      <c r="D2307">
        <f t="shared" ref="D2307:D2370" si="72">IF(ROW() = 2, 1, IF(B2307 = B2306, D2306 + 1, 1))</f>
        <v>4</v>
      </c>
      <c r="E2307" t="str">
        <f t="shared" ref="E2307:E2370" si="73">_xlfn.CONCAT(D2307, ". ", A2307)</f>
        <v>4. Russian Federation</v>
      </c>
    </row>
    <row r="2308" spans="1:5" x14ac:dyDescent="0.25">
      <c r="A2308" t="s">
        <v>106</v>
      </c>
      <c r="B2308" t="s">
        <v>326</v>
      </c>
      <c r="C2308">
        <v>6407.7</v>
      </c>
      <c r="D2308">
        <f t="shared" si="72"/>
        <v>5</v>
      </c>
      <c r="E2308" t="str">
        <f t="shared" si="73"/>
        <v>5. Japan</v>
      </c>
    </row>
    <row r="2309" spans="1:5" x14ac:dyDescent="0.25">
      <c r="A2309" t="s">
        <v>60</v>
      </c>
      <c r="B2309" t="s">
        <v>326</v>
      </c>
      <c r="C2309">
        <v>6037.9</v>
      </c>
      <c r="D2309">
        <f t="shared" si="72"/>
        <v>6</v>
      </c>
      <c r="E2309" t="str">
        <f t="shared" si="73"/>
        <v>6. Germany</v>
      </c>
    </row>
    <row r="2310" spans="1:5" x14ac:dyDescent="0.25">
      <c r="A2310" t="s">
        <v>36</v>
      </c>
      <c r="B2310" t="s">
        <v>326</v>
      </c>
      <c r="C2310">
        <v>4734.7</v>
      </c>
      <c r="D2310">
        <f t="shared" si="72"/>
        <v>7</v>
      </c>
      <c r="E2310" t="str">
        <f t="shared" si="73"/>
        <v>7. Brazil</v>
      </c>
    </row>
    <row r="2311" spans="1:5" x14ac:dyDescent="0.25">
      <c r="A2311" t="s">
        <v>95</v>
      </c>
      <c r="B2311" t="s">
        <v>326</v>
      </c>
      <c r="C2311">
        <v>4662.8999999999996</v>
      </c>
      <c r="D2311">
        <f t="shared" si="72"/>
        <v>8</v>
      </c>
      <c r="E2311" t="str">
        <f t="shared" si="73"/>
        <v>8. Indonesia</v>
      </c>
    </row>
    <row r="2312" spans="1:5" x14ac:dyDescent="0.25">
      <c r="A2312" t="s">
        <v>73</v>
      </c>
      <c r="B2312" t="s">
        <v>326</v>
      </c>
      <c r="C2312">
        <v>4201.6000000000004</v>
      </c>
      <c r="D2312">
        <f t="shared" si="72"/>
        <v>9</v>
      </c>
      <c r="E2312" t="str">
        <f t="shared" si="73"/>
        <v>9. France</v>
      </c>
    </row>
    <row r="2313" spans="1:5" x14ac:dyDescent="0.25">
      <c r="A2313" t="s">
        <v>77</v>
      </c>
      <c r="B2313" t="s">
        <v>326</v>
      </c>
      <c r="C2313">
        <v>4196.5</v>
      </c>
      <c r="D2313">
        <f t="shared" si="72"/>
        <v>10</v>
      </c>
      <c r="E2313" t="str">
        <f t="shared" si="73"/>
        <v>10. United Kingdom</v>
      </c>
    </row>
    <row r="2314" spans="1:5" x14ac:dyDescent="0.25">
      <c r="A2314" t="s">
        <v>203</v>
      </c>
      <c r="B2314" t="s">
        <v>326</v>
      </c>
      <c r="C2314">
        <v>3757</v>
      </c>
      <c r="D2314">
        <f t="shared" si="72"/>
        <v>11</v>
      </c>
      <c r="E2314" t="str">
        <f t="shared" si="73"/>
        <v>11. Turkiye</v>
      </c>
    </row>
    <row r="2315" spans="1:5" x14ac:dyDescent="0.25">
      <c r="A2315" t="s">
        <v>103</v>
      </c>
      <c r="B2315" t="s">
        <v>326</v>
      </c>
      <c r="C2315">
        <v>3589.1</v>
      </c>
      <c r="D2315">
        <f t="shared" si="72"/>
        <v>12</v>
      </c>
      <c r="E2315" t="str">
        <f t="shared" si="73"/>
        <v>12. Italy</v>
      </c>
    </row>
    <row r="2316" spans="1:5" x14ac:dyDescent="0.25">
      <c r="A2316" t="s">
        <v>132</v>
      </c>
      <c r="B2316" t="s">
        <v>326</v>
      </c>
      <c r="C2316">
        <v>3361.6</v>
      </c>
      <c r="D2316">
        <f t="shared" si="72"/>
        <v>13</v>
      </c>
      <c r="E2316" t="str">
        <f t="shared" si="73"/>
        <v>13. Mexico</v>
      </c>
    </row>
    <row r="2317" spans="1:5" x14ac:dyDescent="0.25">
      <c r="A2317" t="s">
        <v>68</v>
      </c>
      <c r="B2317" t="s">
        <v>326</v>
      </c>
      <c r="C2317">
        <v>2778.4</v>
      </c>
      <c r="D2317">
        <f t="shared" si="72"/>
        <v>14</v>
      </c>
      <c r="E2317" t="str">
        <f t="shared" si="73"/>
        <v>14. Spain</v>
      </c>
    </row>
    <row r="2318" spans="1:5" x14ac:dyDescent="0.25">
      <c r="A2318" t="s">
        <v>42</v>
      </c>
      <c r="B2318" t="s">
        <v>326</v>
      </c>
      <c r="C2318">
        <v>2702.9</v>
      </c>
      <c r="D2318">
        <f t="shared" si="72"/>
        <v>15</v>
      </c>
      <c r="E2318" t="str">
        <f t="shared" si="73"/>
        <v>15. Canada</v>
      </c>
    </row>
    <row r="2319" spans="1:5" x14ac:dyDescent="0.25">
      <c r="A2319" t="s">
        <v>173</v>
      </c>
      <c r="B2319" t="s">
        <v>326</v>
      </c>
      <c r="C2319">
        <v>2514.9</v>
      </c>
      <c r="D2319">
        <f t="shared" si="72"/>
        <v>16</v>
      </c>
      <c r="E2319" t="str">
        <f t="shared" si="73"/>
        <v>16. Saudi Arabia</v>
      </c>
    </row>
    <row r="2320" spans="1:5" x14ac:dyDescent="0.25">
      <c r="A2320" t="s">
        <v>67</v>
      </c>
      <c r="B2320" t="s">
        <v>326</v>
      </c>
      <c r="C2320">
        <v>2225.1999999999998</v>
      </c>
      <c r="D2320">
        <f t="shared" si="72"/>
        <v>17</v>
      </c>
      <c r="E2320" t="str">
        <f t="shared" si="73"/>
        <v>17. Egypt, Arab Rep.</v>
      </c>
    </row>
    <row r="2321" spans="1:5" x14ac:dyDescent="0.25">
      <c r="A2321" t="s">
        <v>20</v>
      </c>
      <c r="B2321" t="s">
        <v>326</v>
      </c>
      <c r="C2321">
        <v>1936.8</v>
      </c>
      <c r="D2321">
        <f t="shared" si="72"/>
        <v>18</v>
      </c>
      <c r="E2321" t="str">
        <f t="shared" si="73"/>
        <v>18. Australia</v>
      </c>
    </row>
    <row r="2322" spans="1:5" x14ac:dyDescent="0.25">
      <c r="A2322" t="s">
        <v>163</v>
      </c>
      <c r="B2322" t="s">
        <v>326</v>
      </c>
      <c r="C2322">
        <v>1841.6</v>
      </c>
      <c r="D2322">
        <f t="shared" si="72"/>
        <v>19</v>
      </c>
      <c r="E2322" t="str">
        <f t="shared" si="73"/>
        <v>19. Poland</v>
      </c>
    </row>
    <row r="2323" spans="1:5" x14ac:dyDescent="0.25">
      <c r="A2323" t="s">
        <v>196</v>
      </c>
      <c r="B2323" t="s">
        <v>326</v>
      </c>
      <c r="C2323">
        <v>1770.8</v>
      </c>
      <c r="D2323">
        <f t="shared" si="72"/>
        <v>20</v>
      </c>
      <c r="E2323" t="str">
        <f t="shared" si="73"/>
        <v>20. Thailand</v>
      </c>
    </row>
    <row r="2324" spans="1:5" x14ac:dyDescent="0.25">
      <c r="A2324" t="s">
        <v>99</v>
      </c>
      <c r="B2324" t="s">
        <v>326</v>
      </c>
      <c r="C2324">
        <v>1688.7</v>
      </c>
      <c r="D2324">
        <f t="shared" si="72"/>
        <v>21</v>
      </c>
      <c r="E2324" t="str">
        <f t="shared" si="73"/>
        <v>21. Iran, Islamic Rep.</v>
      </c>
    </row>
    <row r="2325" spans="1:5" x14ac:dyDescent="0.25">
      <c r="A2325" t="s">
        <v>27</v>
      </c>
      <c r="B2325" t="s">
        <v>326</v>
      </c>
      <c r="C2325">
        <v>1674.3</v>
      </c>
      <c r="D2325">
        <f t="shared" si="72"/>
        <v>22</v>
      </c>
      <c r="E2325" t="str">
        <f t="shared" si="73"/>
        <v>22. Bangladesh</v>
      </c>
    </row>
    <row r="2326" spans="1:5" x14ac:dyDescent="0.25">
      <c r="A2326" t="s">
        <v>213</v>
      </c>
      <c r="B2326" t="s">
        <v>326</v>
      </c>
      <c r="C2326">
        <v>1654.7</v>
      </c>
      <c r="D2326">
        <f t="shared" si="72"/>
        <v>23</v>
      </c>
      <c r="E2326" t="str">
        <f t="shared" si="73"/>
        <v>23. Viet Nam</v>
      </c>
    </row>
    <row r="2327" spans="1:5" x14ac:dyDescent="0.25">
      <c r="A2327" t="s">
        <v>157</v>
      </c>
      <c r="B2327" t="s">
        <v>326</v>
      </c>
      <c r="C2327">
        <v>1579.7</v>
      </c>
      <c r="D2327">
        <f t="shared" si="72"/>
        <v>24</v>
      </c>
      <c r="E2327" t="str">
        <f t="shared" si="73"/>
        <v>24. Pakistan</v>
      </c>
    </row>
    <row r="2328" spans="1:5" x14ac:dyDescent="0.25">
      <c r="A2328" t="s">
        <v>151</v>
      </c>
      <c r="B2328" t="s">
        <v>326</v>
      </c>
      <c r="C2328">
        <v>1515.4</v>
      </c>
      <c r="D2328">
        <f t="shared" si="72"/>
        <v>25</v>
      </c>
      <c r="E2328" t="str">
        <f t="shared" si="73"/>
        <v>25. Netherlands</v>
      </c>
    </row>
    <row r="2329" spans="1:5" x14ac:dyDescent="0.25">
      <c r="A2329" t="s">
        <v>149</v>
      </c>
      <c r="B2329" t="s">
        <v>326</v>
      </c>
      <c r="C2329">
        <v>1498.4</v>
      </c>
      <c r="D2329">
        <f t="shared" si="72"/>
        <v>26</v>
      </c>
      <c r="E2329" t="str">
        <f t="shared" si="73"/>
        <v>26. Nigeria</v>
      </c>
    </row>
    <row r="2330" spans="1:5" x14ac:dyDescent="0.25">
      <c r="A2330" t="s">
        <v>16</v>
      </c>
      <c r="B2330" t="s">
        <v>326</v>
      </c>
      <c r="C2330">
        <v>1378.9</v>
      </c>
      <c r="D2330">
        <f t="shared" si="72"/>
        <v>27</v>
      </c>
      <c r="E2330" t="str">
        <f t="shared" si="73"/>
        <v>27. Argentina</v>
      </c>
    </row>
    <row r="2331" spans="1:5" x14ac:dyDescent="0.25">
      <c r="A2331" t="s">
        <v>145</v>
      </c>
      <c r="B2331" t="s">
        <v>326</v>
      </c>
      <c r="C2331">
        <v>1377.1</v>
      </c>
      <c r="D2331">
        <f t="shared" si="72"/>
        <v>28</v>
      </c>
      <c r="E2331" t="str">
        <f t="shared" si="73"/>
        <v>28. Malaysia</v>
      </c>
    </row>
    <row r="2332" spans="1:5" x14ac:dyDescent="0.25">
      <c r="A2332" t="s">
        <v>160</v>
      </c>
      <c r="B2332" t="s">
        <v>326</v>
      </c>
      <c r="C2332">
        <v>1366.3</v>
      </c>
      <c r="D2332">
        <f t="shared" si="72"/>
        <v>29</v>
      </c>
      <c r="E2332" t="str">
        <f t="shared" si="73"/>
        <v>29. Philippines</v>
      </c>
    </row>
    <row r="2333" spans="1:5" x14ac:dyDescent="0.25">
      <c r="A2333" t="s">
        <v>51</v>
      </c>
      <c r="B2333" t="s">
        <v>326</v>
      </c>
      <c r="C2333">
        <v>1136.8</v>
      </c>
      <c r="D2333">
        <f t="shared" si="72"/>
        <v>30</v>
      </c>
      <c r="E2333" t="str">
        <f t="shared" si="73"/>
        <v>30. Colombia</v>
      </c>
    </row>
    <row r="2334" spans="1:5" x14ac:dyDescent="0.25">
      <c r="A2334" t="s">
        <v>218</v>
      </c>
      <c r="B2334" t="s">
        <v>326</v>
      </c>
      <c r="C2334">
        <v>989.4</v>
      </c>
      <c r="D2334">
        <f t="shared" si="72"/>
        <v>31</v>
      </c>
      <c r="E2334" t="str">
        <f t="shared" si="73"/>
        <v>31. South Africa</v>
      </c>
    </row>
    <row r="2335" spans="1:5" x14ac:dyDescent="0.25">
      <c r="A2335" t="s">
        <v>170</v>
      </c>
      <c r="B2335" t="s">
        <v>326</v>
      </c>
      <c r="C2335">
        <v>928.9</v>
      </c>
      <c r="D2335">
        <f t="shared" si="72"/>
        <v>32</v>
      </c>
      <c r="E2335" t="str">
        <f t="shared" si="73"/>
        <v>32. Romania</v>
      </c>
    </row>
    <row r="2336" spans="1:5" x14ac:dyDescent="0.25">
      <c r="A2336" t="s">
        <v>176</v>
      </c>
      <c r="B2336" t="s">
        <v>326</v>
      </c>
      <c r="C2336">
        <v>909.7</v>
      </c>
      <c r="D2336">
        <f t="shared" si="72"/>
        <v>33</v>
      </c>
      <c r="E2336" t="str">
        <f t="shared" si="73"/>
        <v>33. Singapore</v>
      </c>
    </row>
    <row r="2337" spans="1:5" x14ac:dyDescent="0.25">
      <c r="A2337" t="s">
        <v>24</v>
      </c>
      <c r="B2337" t="s">
        <v>326</v>
      </c>
      <c r="C2337">
        <v>856.6</v>
      </c>
      <c r="D2337">
        <f t="shared" si="72"/>
        <v>34</v>
      </c>
      <c r="E2337" t="str">
        <f t="shared" si="73"/>
        <v>34. Belgium</v>
      </c>
    </row>
    <row r="2338" spans="1:5" x14ac:dyDescent="0.25">
      <c r="A2338" t="s">
        <v>15</v>
      </c>
      <c r="B2338" t="s">
        <v>326</v>
      </c>
      <c r="C2338">
        <v>848</v>
      </c>
      <c r="D2338">
        <f t="shared" si="72"/>
        <v>35</v>
      </c>
      <c r="E2338" t="str">
        <f t="shared" si="73"/>
        <v>35. United Arab Emirates</v>
      </c>
    </row>
    <row r="2339" spans="1:5" x14ac:dyDescent="0.25">
      <c r="A2339" t="s">
        <v>43</v>
      </c>
      <c r="B2339" t="s">
        <v>326</v>
      </c>
      <c r="C2339">
        <v>847.6</v>
      </c>
      <c r="D2339">
        <f t="shared" si="72"/>
        <v>36</v>
      </c>
      <c r="E2339" t="str">
        <f t="shared" si="73"/>
        <v>36. Switzerland</v>
      </c>
    </row>
    <row r="2340" spans="1:5" x14ac:dyDescent="0.25">
      <c r="A2340" t="s">
        <v>107</v>
      </c>
      <c r="B2340" t="s">
        <v>326</v>
      </c>
      <c r="C2340">
        <v>840.4</v>
      </c>
      <c r="D2340">
        <f t="shared" si="72"/>
        <v>37</v>
      </c>
      <c r="E2340" t="str">
        <f t="shared" si="73"/>
        <v>37. Kazakhstan</v>
      </c>
    </row>
    <row r="2341" spans="1:5" x14ac:dyDescent="0.25">
      <c r="A2341" t="s">
        <v>65</v>
      </c>
      <c r="B2341" t="s">
        <v>326</v>
      </c>
      <c r="C2341">
        <v>821.7</v>
      </c>
      <c r="D2341">
        <f t="shared" si="72"/>
        <v>38</v>
      </c>
      <c r="E2341" t="str">
        <f t="shared" si="73"/>
        <v>38. Algeria</v>
      </c>
    </row>
    <row r="2342" spans="1:5" x14ac:dyDescent="0.25">
      <c r="A2342" t="s">
        <v>188</v>
      </c>
      <c r="B2342" t="s">
        <v>326</v>
      </c>
      <c r="C2342">
        <v>750.8</v>
      </c>
      <c r="D2342">
        <f t="shared" si="72"/>
        <v>39</v>
      </c>
      <c r="E2342" t="str">
        <f t="shared" si="73"/>
        <v>39. Sweden</v>
      </c>
    </row>
    <row r="2343" spans="1:5" x14ac:dyDescent="0.25">
      <c r="A2343" t="s">
        <v>98</v>
      </c>
      <c r="B2343" t="s">
        <v>326</v>
      </c>
      <c r="C2343">
        <v>705.8</v>
      </c>
      <c r="D2343">
        <f t="shared" si="72"/>
        <v>40</v>
      </c>
      <c r="E2343" t="str">
        <f t="shared" si="73"/>
        <v>40. Ireland</v>
      </c>
    </row>
    <row r="2344" spans="1:5" x14ac:dyDescent="0.25">
      <c r="A2344" t="s">
        <v>45</v>
      </c>
      <c r="B2344" t="s">
        <v>326</v>
      </c>
      <c r="C2344">
        <v>684.6</v>
      </c>
      <c r="D2344">
        <f t="shared" si="72"/>
        <v>41</v>
      </c>
      <c r="E2344" t="str">
        <f t="shared" si="73"/>
        <v>41. Chile</v>
      </c>
    </row>
    <row r="2345" spans="1:5" x14ac:dyDescent="0.25">
      <c r="A2345" t="s">
        <v>100</v>
      </c>
      <c r="B2345" t="s">
        <v>326</v>
      </c>
      <c r="C2345">
        <v>666</v>
      </c>
      <c r="D2345">
        <f t="shared" si="72"/>
        <v>42</v>
      </c>
      <c r="E2345" t="str">
        <f t="shared" si="73"/>
        <v>42. Iraq</v>
      </c>
    </row>
    <row r="2346" spans="1:5" x14ac:dyDescent="0.25">
      <c r="A2346" t="s">
        <v>21</v>
      </c>
      <c r="B2346" t="s">
        <v>326</v>
      </c>
      <c r="C2346">
        <v>657.3</v>
      </c>
      <c r="D2346">
        <f t="shared" si="72"/>
        <v>43</v>
      </c>
      <c r="E2346" t="str">
        <f t="shared" si="73"/>
        <v>43. Austria</v>
      </c>
    </row>
    <row r="2347" spans="1:5" x14ac:dyDescent="0.25">
      <c r="A2347" t="s">
        <v>207</v>
      </c>
      <c r="B2347" t="s">
        <v>326</v>
      </c>
      <c r="C2347">
        <v>656.5</v>
      </c>
      <c r="D2347">
        <f t="shared" si="72"/>
        <v>44</v>
      </c>
      <c r="E2347" t="str">
        <f t="shared" si="73"/>
        <v>44. Ukraine</v>
      </c>
    </row>
    <row r="2348" spans="1:5" x14ac:dyDescent="0.25">
      <c r="A2348" t="s">
        <v>59</v>
      </c>
      <c r="B2348" t="s">
        <v>326</v>
      </c>
      <c r="C2348">
        <v>618.20000000000005</v>
      </c>
      <c r="D2348">
        <f t="shared" si="72"/>
        <v>45</v>
      </c>
      <c r="E2348" t="str">
        <f t="shared" si="73"/>
        <v>45. Czechia</v>
      </c>
    </row>
    <row r="2349" spans="1:5" x14ac:dyDescent="0.25">
      <c r="A2349" t="s">
        <v>159</v>
      </c>
      <c r="B2349" t="s">
        <v>326</v>
      </c>
      <c r="C2349">
        <v>609.20000000000005</v>
      </c>
      <c r="D2349">
        <f t="shared" si="72"/>
        <v>46</v>
      </c>
      <c r="E2349" t="str">
        <f t="shared" si="73"/>
        <v>46. Peru</v>
      </c>
    </row>
    <row r="2350" spans="1:5" x14ac:dyDescent="0.25">
      <c r="A2350" t="s">
        <v>90</v>
      </c>
      <c r="B2350" t="s">
        <v>326</v>
      </c>
      <c r="C2350">
        <v>565.9</v>
      </c>
      <c r="D2350">
        <f t="shared" si="72"/>
        <v>47</v>
      </c>
      <c r="E2350" t="str">
        <f t="shared" si="73"/>
        <v>47. Hong Kong SAR, China</v>
      </c>
    </row>
    <row r="2351" spans="1:5" x14ac:dyDescent="0.25">
      <c r="A2351" t="s">
        <v>152</v>
      </c>
      <c r="B2351" t="s">
        <v>326</v>
      </c>
      <c r="C2351">
        <v>563</v>
      </c>
      <c r="D2351">
        <f t="shared" si="72"/>
        <v>48</v>
      </c>
      <c r="E2351" t="str">
        <f t="shared" si="73"/>
        <v>48. Norway</v>
      </c>
    </row>
    <row r="2352" spans="1:5" x14ac:dyDescent="0.25">
      <c r="A2352" t="s">
        <v>102</v>
      </c>
      <c r="B2352" t="s">
        <v>326</v>
      </c>
      <c r="C2352">
        <v>555.5</v>
      </c>
      <c r="D2352">
        <f t="shared" si="72"/>
        <v>49</v>
      </c>
      <c r="E2352" t="str">
        <f t="shared" si="73"/>
        <v>49. Israel</v>
      </c>
    </row>
    <row r="2353" spans="1:5" x14ac:dyDescent="0.25">
      <c r="A2353" t="s">
        <v>165</v>
      </c>
      <c r="B2353" t="s">
        <v>326</v>
      </c>
      <c r="C2353">
        <v>541.70000000000005</v>
      </c>
      <c r="D2353">
        <f t="shared" si="72"/>
        <v>50</v>
      </c>
      <c r="E2353" t="str">
        <f t="shared" si="73"/>
        <v>50. Portugal</v>
      </c>
    </row>
    <row r="2354" spans="1:5" x14ac:dyDescent="0.25">
      <c r="A2354" t="s">
        <v>63</v>
      </c>
      <c r="B2354" t="s">
        <v>326</v>
      </c>
      <c r="C2354">
        <v>475.3</v>
      </c>
      <c r="D2354">
        <f t="shared" si="72"/>
        <v>51</v>
      </c>
      <c r="E2354" t="str">
        <f t="shared" si="73"/>
        <v>51. Denmark</v>
      </c>
    </row>
    <row r="2355" spans="1:5" x14ac:dyDescent="0.25">
      <c r="A2355" t="s">
        <v>84</v>
      </c>
      <c r="B2355" t="s">
        <v>326</v>
      </c>
      <c r="C2355">
        <v>457.9</v>
      </c>
      <c r="D2355">
        <f t="shared" si="72"/>
        <v>52</v>
      </c>
      <c r="E2355" t="str">
        <f t="shared" si="73"/>
        <v>52. Greece</v>
      </c>
    </row>
    <row r="2356" spans="1:5" x14ac:dyDescent="0.25">
      <c r="A2356" t="s">
        <v>94</v>
      </c>
      <c r="B2356" t="s">
        <v>326</v>
      </c>
      <c r="C2356">
        <v>455.5</v>
      </c>
      <c r="D2356">
        <f t="shared" si="72"/>
        <v>53</v>
      </c>
      <c r="E2356" t="str">
        <f t="shared" si="73"/>
        <v>53. Hungary</v>
      </c>
    </row>
    <row r="2357" spans="1:5" x14ac:dyDescent="0.25">
      <c r="A2357" t="s">
        <v>70</v>
      </c>
      <c r="B2357" t="s">
        <v>326</v>
      </c>
      <c r="C2357">
        <v>433</v>
      </c>
      <c r="D2357">
        <f t="shared" si="72"/>
        <v>54</v>
      </c>
      <c r="E2357" t="str">
        <f t="shared" si="73"/>
        <v>54. Ethiopia</v>
      </c>
    </row>
    <row r="2358" spans="1:5" x14ac:dyDescent="0.25">
      <c r="A2358" t="s">
        <v>210</v>
      </c>
      <c r="B2358" t="s">
        <v>326</v>
      </c>
      <c r="C2358">
        <v>431.9</v>
      </c>
      <c r="D2358">
        <f t="shared" si="72"/>
        <v>55</v>
      </c>
      <c r="E2358" t="str">
        <f t="shared" si="73"/>
        <v>55. Uzbekistan</v>
      </c>
    </row>
    <row r="2359" spans="1:5" x14ac:dyDescent="0.25">
      <c r="A2359" t="s">
        <v>127</v>
      </c>
      <c r="B2359" t="s">
        <v>326</v>
      </c>
      <c r="C2359">
        <v>398.5</v>
      </c>
      <c r="D2359">
        <f t="shared" si="72"/>
        <v>56</v>
      </c>
      <c r="E2359" t="str">
        <f t="shared" si="73"/>
        <v>56. Morocco</v>
      </c>
    </row>
    <row r="2360" spans="1:5" x14ac:dyDescent="0.25">
      <c r="A2360" t="s">
        <v>108</v>
      </c>
      <c r="B2360" t="s">
        <v>326</v>
      </c>
      <c r="C2360">
        <v>373.5</v>
      </c>
      <c r="D2360">
        <f t="shared" si="72"/>
        <v>57</v>
      </c>
      <c r="E2360" t="str">
        <f t="shared" si="73"/>
        <v>57. Kenya</v>
      </c>
    </row>
    <row r="2361" spans="1:5" x14ac:dyDescent="0.25">
      <c r="A2361" t="s">
        <v>71</v>
      </c>
      <c r="B2361" t="s">
        <v>326</v>
      </c>
      <c r="C2361">
        <v>361.3</v>
      </c>
      <c r="D2361">
        <f t="shared" si="72"/>
        <v>58</v>
      </c>
      <c r="E2361" t="str">
        <f t="shared" si="73"/>
        <v>58. Finland</v>
      </c>
    </row>
    <row r="2362" spans="1:5" x14ac:dyDescent="0.25">
      <c r="A2362" t="s">
        <v>169</v>
      </c>
      <c r="B2362" t="s">
        <v>326</v>
      </c>
      <c r="C2362">
        <v>360.4</v>
      </c>
      <c r="D2362">
        <f t="shared" si="72"/>
        <v>59</v>
      </c>
      <c r="E2362" t="str">
        <f t="shared" si="73"/>
        <v>59. Qatar</v>
      </c>
    </row>
    <row r="2363" spans="1:5" x14ac:dyDescent="0.25">
      <c r="A2363" t="s">
        <v>121</v>
      </c>
      <c r="B2363" t="s">
        <v>326</v>
      </c>
      <c r="C2363">
        <v>342.6</v>
      </c>
      <c r="D2363">
        <f t="shared" si="72"/>
        <v>60</v>
      </c>
      <c r="E2363" t="str">
        <f t="shared" si="73"/>
        <v>60. Sri Lanka</v>
      </c>
    </row>
    <row r="2364" spans="1:5" x14ac:dyDescent="0.25">
      <c r="A2364" t="s">
        <v>137</v>
      </c>
      <c r="B2364" t="s">
        <v>326</v>
      </c>
      <c r="C2364">
        <v>326.89999999999998</v>
      </c>
      <c r="D2364">
        <f t="shared" si="72"/>
        <v>61</v>
      </c>
      <c r="E2364" t="str">
        <f t="shared" si="73"/>
        <v>61. Myanmar</v>
      </c>
    </row>
    <row r="2365" spans="1:5" x14ac:dyDescent="0.25">
      <c r="A2365" t="s">
        <v>12</v>
      </c>
      <c r="B2365" t="s">
        <v>326</v>
      </c>
      <c r="C2365">
        <v>316.3</v>
      </c>
      <c r="D2365">
        <f t="shared" si="72"/>
        <v>62</v>
      </c>
      <c r="E2365" t="str">
        <f t="shared" si="73"/>
        <v>62. Angola</v>
      </c>
    </row>
    <row r="2366" spans="1:5" x14ac:dyDescent="0.25">
      <c r="A2366" t="s">
        <v>64</v>
      </c>
      <c r="B2366" t="s">
        <v>326</v>
      </c>
      <c r="C2366">
        <v>314.7</v>
      </c>
      <c r="D2366">
        <f t="shared" si="72"/>
        <v>63</v>
      </c>
      <c r="E2366" t="str">
        <f t="shared" si="73"/>
        <v>63. Dominican Republic</v>
      </c>
    </row>
    <row r="2367" spans="1:5" x14ac:dyDescent="0.25">
      <c r="A2367" t="s">
        <v>32</v>
      </c>
      <c r="B2367" t="s">
        <v>326</v>
      </c>
      <c r="C2367">
        <v>301.5</v>
      </c>
      <c r="D2367">
        <f t="shared" si="72"/>
        <v>64</v>
      </c>
      <c r="E2367" t="str">
        <f t="shared" si="73"/>
        <v>64. Belarus</v>
      </c>
    </row>
    <row r="2368" spans="1:5" x14ac:dyDescent="0.25">
      <c r="A2368" t="s">
        <v>155</v>
      </c>
      <c r="B2368" t="s">
        <v>326</v>
      </c>
      <c r="C2368">
        <v>294.10000000000002</v>
      </c>
      <c r="D2368">
        <f t="shared" si="72"/>
        <v>65</v>
      </c>
      <c r="E2368" t="str">
        <f t="shared" si="73"/>
        <v>65. New Zealand</v>
      </c>
    </row>
    <row r="2369" spans="1:5" x14ac:dyDescent="0.25">
      <c r="A2369" t="s">
        <v>66</v>
      </c>
      <c r="B2369" t="s">
        <v>326</v>
      </c>
      <c r="C2369">
        <v>287.3</v>
      </c>
      <c r="D2369">
        <f t="shared" si="72"/>
        <v>66</v>
      </c>
      <c r="E2369" t="str">
        <f t="shared" si="73"/>
        <v>66. Ecuador</v>
      </c>
    </row>
    <row r="2370" spans="1:5" x14ac:dyDescent="0.25">
      <c r="A2370" t="s">
        <v>205</v>
      </c>
      <c r="B2370" t="s">
        <v>326</v>
      </c>
      <c r="C2370">
        <v>280.39999999999998</v>
      </c>
      <c r="D2370">
        <f t="shared" si="72"/>
        <v>67</v>
      </c>
      <c r="E2370" t="str">
        <f t="shared" si="73"/>
        <v>67. Tanzania</v>
      </c>
    </row>
    <row r="2371" spans="1:5" x14ac:dyDescent="0.25">
      <c r="A2371" t="s">
        <v>79</v>
      </c>
      <c r="B2371" t="s">
        <v>326</v>
      </c>
      <c r="C2371">
        <v>276.39999999999998</v>
      </c>
      <c r="D2371">
        <f t="shared" ref="D2371:D2434" si="74">IF(ROW() = 2, 1, IF(B2371 = B2370, D2370 + 1, 1))</f>
        <v>68</v>
      </c>
      <c r="E2371" t="str">
        <f t="shared" ref="E2371:E2434" si="75">_xlfn.CONCAT(D2371, ". ", A2371)</f>
        <v>68. Ghana</v>
      </c>
    </row>
    <row r="2372" spans="1:5" x14ac:dyDescent="0.25">
      <c r="A2372" t="s">
        <v>28</v>
      </c>
      <c r="B2372" t="s">
        <v>326</v>
      </c>
      <c r="C2372">
        <v>264.8</v>
      </c>
      <c r="D2372">
        <f t="shared" si="74"/>
        <v>69</v>
      </c>
      <c r="E2372" t="str">
        <f t="shared" si="75"/>
        <v>69. Bulgaria</v>
      </c>
    </row>
    <row r="2373" spans="1:5" x14ac:dyDescent="0.25">
      <c r="A2373" t="s">
        <v>87</v>
      </c>
      <c r="B2373" t="s">
        <v>326</v>
      </c>
      <c r="C2373">
        <v>264.5</v>
      </c>
      <c r="D2373">
        <f t="shared" si="74"/>
        <v>70</v>
      </c>
      <c r="E2373" t="str">
        <f t="shared" si="75"/>
        <v>70. Guatemala</v>
      </c>
    </row>
    <row r="2374" spans="1:5" x14ac:dyDescent="0.25">
      <c r="A2374" t="s">
        <v>114</v>
      </c>
      <c r="B2374" t="s">
        <v>326</v>
      </c>
      <c r="C2374">
        <v>256.8</v>
      </c>
      <c r="D2374">
        <f t="shared" si="74"/>
        <v>71</v>
      </c>
      <c r="E2374" t="str">
        <f t="shared" si="75"/>
        <v>71. Kuwait</v>
      </c>
    </row>
    <row r="2375" spans="1:5" x14ac:dyDescent="0.25">
      <c r="A2375" t="s">
        <v>22</v>
      </c>
      <c r="B2375" t="s">
        <v>326</v>
      </c>
      <c r="C2375">
        <v>256</v>
      </c>
      <c r="D2375">
        <f t="shared" si="74"/>
        <v>72</v>
      </c>
      <c r="E2375" t="str">
        <f t="shared" si="75"/>
        <v>72. Azerbaijan</v>
      </c>
    </row>
    <row r="2376" spans="1:5" x14ac:dyDescent="0.25">
      <c r="A2376" t="s">
        <v>186</v>
      </c>
      <c r="B2376" t="s">
        <v>326</v>
      </c>
      <c r="C2376">
        <v>255.8</v>
      </c>
      <c r="D2376">
        <f t="shared" si="74"/>
        <v>73</v>
      </c>
      <c r="E2376" t="str">
        <f t="shared" si="75"/>
        <v>73. Slovak Republic</v>
      </c>
    </row>
    <row r="2377" spans="1:5" x14ac:dyDescent="0.25">
      <c r="A2377" t="s">
        <v>47</v>
      </c>
      <c r="B2377" t="s">
        <v>326</v>
      </c>
      <c r="C2377">
        <v>244.4</v>
      </c>
      <c r="D2377">
        <f t="shared" si="74"/>
        <v>74</v>
      </c>
      <c r="E2377" t="str">
        <f t="shared" si="75"/>
        <v>74. Cote d'Ivoire</v>
      </c>
    </row>
    <row r="2378" spans="1:5" x14ac:dyDescent="0.25">
      <c r="A2378" t="s">
        <v>156</v>
      </c>
      <c r="B2378" t="s">
        <v>326</v>
      </c>
      <c r="C2378">
        <v>220.1</v>
      </c>
      <c r="D2378">
        <f t="shared" si="74"/>
        <v>75</v>
      </c>
      <c r="E2378" t="str">
        <f t="shared" si="75"/>
        <v>75. Oman</v>
      </c>
    </row>
    <row r="2379" spans="1:5" x14ac:dyDescent="0.25">
      <c r="A2379" t="s">
        <v>182</v>
      </c>
      <c r="B2379" t="s">
        <v>326</v>
      </c>
      <c r="C2379">
        <v>209.9</v>
      </c>
      <c r="D2379">
        <f t="shared" si="74"/>
        <v>76</v>
      </c>
      <c r="E2379" t="str">
        <f t="shared" si="75"/>
        <v>76. Serbia</v>
      </c>
    </row>
    <row r="2380" spans="1:5" x14ac:dyDescent="0.25">
      <c r="A2380" t="s">
        <v>92</v>
      </c>
      <c r="B2380" t="s">
        <v>326</v>
      </c>
      <c r="C2380">
        <v>187.8</v>
      </c>
      <c r="D2380">
        <f t="shared" si="74"/>
        <v>77</v>
      </c>
      <c r="E2380" t="str">
        <f t="shared" si="75"/>
        <v>77. Croatia</v>
      </c>
    </row>
    <row r="2381" spans="1:5" x14ac:dyDescent="0.25">
      <c r="A2381" t="s">
        <v>158</v>
      </c>
      <c r="B2381" t="s">
        <v>326</v>
      </c>
      <c r="C2381">
        <v>187</v>
      </c>
      <c r="D2381">
        <f t="shared" si="74"/>
        <v>78</v>
      </c>
      <c r="E2381" t="str">
        <f t="shared" si="75"/>
        <v>78. Panama</v>
      </c>
    </row>
    <row r="2382" spans="1:5" x14ac:dyDescent="0.25">
      <c r="A2382" t="s">
        <v>49</v>
      </c>
      <c r="B2382" t="s">
        <v>326</v>
      </c>
      <c r="C2382">
        <v>186.8</v>
      </c>
      <c r="D2382">
        <f t="shared" si="74"/>
        <v>79</v>
      </c>
      <c r="E2382" t="str">
        <f t="shared" si="75"/>
        <v>79. Congo, Dem. Rep.</v>
      </c>
    </row>
    <row r="2383" spans="1:5" x14ac:dyDescent="0.25">
      <c r="A2383" t="s">
        <v>202</v>
      </c>
      <c r="B2383" t="s">
        <v>326</v>
      </c>
      <c r="C2383">
        <v>177.4</v>
      </c>
      <c r="D2383">
        <f t="shared" si="74"/>
        <v>80</v>
      </c>
      <c r="E2383" t="str">
        <f t="shared" si="75"/>
        <v>80. Tunisia</v>
      </c>
    </row>
    <row r="2384" spans="1:5" x14ac:dyDescent="0.25">
      <c r="A2384" t="s">
        <v>153</v>
      </c>
      <c r="B2384" t="s">
        <v>326</v>
      </c>
      <c r="C2384">
        <v>170.1</v>
      </c>
      <c r="D2384">
        <f t="shared" si="74"/>
        <v>81</v>
      </c>
      <c r="E2384" t="str">
        <f t="shared" si="75"/>
        <v>81. Nepal</v>
      </c>
    </row>
    <row r="2385" spans="1:5" x14ac:dyDescent="0.25">
      <c r="A2385" t="s">
        <v>206</v>
      </c>
      <c r="B2385" t="s">
        <v>326</v>
      </c>
      <c r="C2385">
        <v>163.80000000000001</v>
      </c>
      <c r="D2385">
        <f t="shared" si="74"/>
        <v>82</v>
      </c>
      <c r="E2385" t="str">
        <f t="shared" si="75"/>
        <v>82. Uganda</v>
      </c>
    </row>
    <row r="2386" spans="1:5" x14ac:dyDescent="0.25">
      <c r="A2386" t="s">
        <v>48</v>
      </c>
      <c r="B2386" t="s">
        <v>326</v>
      </c>
      <c r="C2386">
        <v>162.80000000000001</v>
      </c>
      <c r="D2386">
        <f t="shared" si="74"/>
        <v>83</v>
      </c>
      <c r="E2386" t="str">
        <f t="shared" si="75"/>
        <v>83. Cameroon</v>
      </c>
    </row>
    <row r="2387" spans="1:5" x14ac:dyDescent="0.25">
      <c r="A2387" t="s">
        <v>164</v>
      </c>
      <c r="B2387" t="s">
        <v>326</v>
      </c>
      <c r="C2387">
        <v>160.69999999999999</v>
      </c>
      <c r="D2387">
        <f t="shared" si="74"/>
        <v>84</v>
      </c>
      <c r="E2387" t="str">
        <f t="shared" si="75"/>
        <v>84. Puerto Rico (US)</v>
      </c>
    </row>
    <row r="2388" spans="1:5" x14ac:dyDescent="0.25">
      <c r="A2388" t="s">
        <v>123</v>
      </c>
      <c r="B2388" t="s">
        <v>326</v>
      </c>
      <c r="C2388">
        <v>157.19999999999999</v>
      </c>
      <c r="D2388">
        <f t="shared" si="74"/>
        <v>85</v>
      </c>
      <c r="E2388" t="str">
        <f t="shared" si="75"/>
        <v>85. Lithuania</v>
      </c>
    </row>
    <row r="2389" spans="1:5" x14ac:dyDescent="0.25">
      <c r="A2389" t="s">
        <v>54</v>
      </c>
      <c r="B2389" t="s">
        <v>326</v>
      </c>
      <c r="C2389">
        <v>154.19999999999999</v>
      </c>
      <c r="D2389">
        <f t="shared" si="74"/>
        <v>86</v>
      </c>
      <c r="E2389" t="str">
        <f t="shared" si="75"/>
        <v>86. Costa Rica</v>
      </c>
    </row>
    <row r="2390" spans="1:5" x14ac:dyDescent="0.25">
      <c r="A2390" t="s">
        <v>198</v>
      </c>
      <c r="B2390" t="s">
        <v>326</v>
      </c>
      <c r="C2390">
        <v>152.9</v>
      </c>
      <c r="D2390">
        <f t="shared" si="74"/>
        <v>87</v>
      </c>
      <c r="E2390" t="str">
        <f t="shared" si="75"/>
        <v>87. Turkmenistan</v>
      </c>
    </row>
    <row r="2391" spans="1:5" x14ac:dyDescent="0.25">
      <c r="A2391" t="s">
        <v>110</v>
      </c>
      <c r="B2391" t="s">
        <v>326</v>
      </c>
      <c r="C2391">
        <v>140.6</v>
      </c>
      <c r="D2391">
        <f t="shared" si="74"/>
        <v>88</v>
      </c>
      <c r="E2391" t="str">
        <f t="shared" si="75"/>
        <v>88. Cambodia</v>
      </c>
    </row>
    <row r="2392" spans="1:5" x14ac:dyDescent="0.25">
      <c r="A2392" t="s">
        <v>35</v>
      </c>
      <c r="B2392" t="s">
        <v>326</v>
      </c>
      <c r="C2392">
        <v>138.9</v>
      </c>
      <c r="D2392">
        <f t="shared" si="74"/>
        <v>89</v>
      </c>
      <c r="E2392" t="str">
        <f t="shared" si="75"/>
        <v>89. Bolivia</v>
      </c>
    </row>
    <row r="2393" spans="1:5" x14ac:dyDescent="0.25">
      <c r="A2393" t="s">
        <v>166</v>
      </c>
      <c r="B2393" t="s">
        <v>326</v>
      </c>
      <c r="C2393">
        <v>128.4</v>
      </c>
      <c r="D2393">
        <f t="shared" si="74"/>
        <v>90</v>
      </c>
      <c r="E2393" t="str">
        <f t="shared" si="75"/>
        <v>90. Paraguay</v>
      </c>
    </row>
    <row r="2394" spans="1:5" x14ac:dyDescent="0.25">
      <c r="A2394" t="s">
        <v>105</v>
      </c>
      <c r="B2394" t="s">
        <v>326</v>
      </c>
      <c r="C2394">
        <v>125</v>
      </c>
      <c r="D2394">
        <f t="shared" si="74"/>
        <v>91</v>
      </c>
      <c r="E2394" t="str">
        <f t="shared" si="75"/>
        <v>91. Jordan</v>
      </c>
    </row>
    <row r="2395" spans="1:5" x14ac:dyDescent="0.25">
      <c r="A2395" t="s">
        <v>208</v>
      </c>
      <c r="B2395" t="s">
        <v>326</v>
      </c>
      <c r="C2395">
        <v>123.3</v>
      </c>
      <c r="D2395">
        <f t="shared" si="74"/>
        <v>92</v>
      </c>
      <c r="E2395" t="str">
        <f t="shared" si="75"/>
        <v>92. Uruguay</v>
      </c>
    </row>
    <row r="2396" spans="1:5" x14ac:dyDescent="0.25">
      <c r="A2396" t="s">
        <v>187</v>
      </c>
      <c r="B2396" t="s">
        <v>326</v>
      </c>
      <c r="C2396">
        <v>120.2</v>
      </c>
      <c r="D2396">
        <f t="shared" si="74"/>
        <v>93</v>
      </c>
      <c r="E2396" t="str">
        <f t="shared" si="75"/>
        <v>93. Slovenia</v>
      </c>
    </row>
    <row r="2397" spans="1:5" x14ac:dyDescent="0.25">
      <c r="A2397" t="s">
        <v>174</v>
      </c>
      <c r="B2397" t="s">
        <v>326</v>
      </c>
      <c r="C2397">
        <v>107.3</v>
      </c>
      <c r="D2397">
        <f t="shared" si="74"/>
        <v>94</v>
      </c>
      <c r="E2397" t="str">
        <f t="shared" si="75"/>
        <v>94. Sudan</v>
      </c>
    </row>
    <row r="2398" spans="1:5" x14ac:dyDescent="0.25">
      <c r="A2398" t="s">
        <v>29</v>
      </c>
      <c r="B2398" t="s">
        <v>326</v>
      </c>
      <c r="C2398">
        <v>106.8</v>
      </c>
      <c r="D2398">
        <f t="shared" si="74"/>
        <v>95</v>
      </c>
      <c r="E2398" t="str">
        <f t="shared" si="75"/>
        <v>95. Bahrain</v>
      </c>
    </row>
    <row r="2399" spans="1:5" x14ac:dyDescent="0.25">
      <c r="A2399" t="s">
        <v>78</v>
      </c>
      <c r="B2399" t="s">
        <v>326</v>
      </c>
      <c r="C2399">
        <v>104.4</v>
      </c>
      <c r="D2399">
        <f t="shared" si="74"/>
        <v>96</v>
      </c>
      <c r="E2399" t="str">
        <f t="shared" si="75"/>
        <v>96. Georgia</v>
      </c>
    </row>
    <row r="2400" spans="1:5" x14ac:dyDescent="0.25">
      <c r="A2400" t="s">
        <v>118</v>
      </c>
      <c r="B2400" t="s">
        <v>326</v>
      </c>
      <c r="C2400">
        <v>103</v>
      </c>
      <c r="D2400">
        <f t="shared" si="74"/>
        <v>97</v>
      </c>
      <c r="E2400" t="str">
        <f t="shared" si="75"/>
        <v>97. Libya</v>
      </c>
    </row>
    <row r="2401" spans="1:5" x14ac:dyDescent="0.25">
      <c r="A2401" t="s">
        <v>124</v>
      </c>
      <c r="B2401" t="s">
        <v>326</v>
      </c>
      <c r="C2401">
        <v>102.2</v>
      </c>
      <c r="D2401">
        <f t="shared" si="74"/>
        <v>98</v>
      </c>
      <c r="E2401" t="str">
        <f t="shared" si="75"/>
        <v>98. Luxembourg</v>
      </c>
    </row>
    <row r="2402" spans="1:5" x14ac:dyDescent="0.25">
      <c r="A2402" t="s">
        <v>175</v>
      </c>
      <c r="B2402" t="s">
        <v>326</v>
      </c>
      <c r="C2402">
        <v>94.6</v>
      </c>
      <c r="D2402">
        <f t="shared" si="74"/>
        <v>99</v>
      </c>
      <c r="E2402" t="str">
        <f t="shared" si="75"/>
        <v>99. Senegal</v>
      </c>
    </row>
    <row r="2403" spans="1:5" x14ac:dyDescent="0.25">
      <c r="A2403" t="s">
        <v>219</v>
      </c>
      <c r="B2403" t="s">
        <v>326</v>
      </c>
      <c r="C2403">
        <v>90</v>
      </c>
      <c r="D2403">
        <f t="shared" si="74"/>
        <v>100</v>
      </c>
      <c r="E2403" t="str">
        <f t="shared" si="75"/>
        <v>100. Zambia</v>
      </c>
    </row>
    <row r="2404" spans="1:5" x14ac:dyDescent="0.25">
      <c r="A2404" t="s">
        <v>126</v>
      </c>
      <c r="B2404" t="s">
        <v>326</v>
      </c>
      <c r="C2404">
        <v>88.1</v>
      </c>
      <c r="D2404">
        <f t="shared" si="74"/>
        <v>101</v>
      </c>
      <c r="E2404" t="str">
        <f t="shared" si="75"/>
        <v>101. Macao SAR, China</v>
      </c>
    </row>
    <row r="2405" spans="1:5" x14ac:dyDescent="0.25">
      <c r="A2405" t="s">
        <v>179</v>
      </c>
      <c r="B2405" t="s">
        <v>326</v>
      </c>
      <c r="C2405">
        <v>84.1</v>
      </c>
      <c r="D2405">
        <f t="shared" si="74"/>
        <v>102</v>
      </c>
      <c r="E2405" t="str">
        <f t="shared" si="75"/>
        <v>102. El Salvador</v>
      </c>
    </row>
    <row r="2406" spans="1:5" x14ac:dyDescent="0.25">
      <c r="A2406" t="s">
        <v>125</v>
      </c>
      <c r="B2406" t="s">
        <v>326</v>
      </c>
      <c r="C2406">
        <v>81.7</v>
      </c>
      <c r="D2406">
        <f t="shared" si="74"/>
        <v>103</v>
      </c>
      <c r="E2406" t="str">
        <f t="shared" si="75"/>
        <v>103. Latvia</v>
      </c>
    </row>
    <row r="2407" spans="1:5" x14ac:dyDescent="0.25">
      <c r="A2407" t="s">
        <v>91</v>
      </c>
      <c r="B2407" t="s">
        <v>326</v>
      </c>
      <c r="C2407">
        <v>81</v>
      </c>
      <c r="D2407">
        <f t="shared" si="74"/>
        <v>104</v>
      </c>
      <c r="E2407" t="str">
        <f t="shared" si="75"/>
        <v>104. Honduras</v>
      </c>
    </row>
    <row r="2408" spans="1:5" x14ac:dyDescent="0.25">
      <c r="A2408" t="s">
        <v>135</v>
      </c>
      <c r="B2408" t="s">
        <v>326</v>
      </c>
      <c r="C2408">
        <v>81</v>
      </c>
      <c r="D2408">
        <f t="shared" si="74"/>
        <v>105</v>
      </c>
      <c r="E2408" t="str">
        <f t="shared" si="75"/>
        <v>105. Mali</v>
      </c>
    </row>
    <row r="2409" spans="1:5" x14ac:dyDescent="0.25">
      <c r="A2409" t="s">
        <v>115</v>
      </c>
      <c r="B2409" t="s">
        <v>326</v>
      </c>
      <c r="C2409">
        <v>76</v>
      </c>
      <c r="D2409">
        <f t="shared" si="74"/>
        <v>106</v>
      </c>
      <c r="E2409" t="str">
        <f t="shared" si="75"/>
        <v>106. Lao PDR</v>
      </c>
    </row>
    <row r="2410" spans="1:5" x14ac:dyDescent="0.25">
      <c r="A2410" t="s">
        <v>31</v>
      </c>
      <c r="B2410" t="s">
        <v>326</v>
      </c>
      <c r="C2410">
        <v>69.5</v>
      </c>
      <c r="D2410">
        <f t="shared" si="74"/>
        <v>107</v>
      </c>
      <c r="E2410" t="str">
        <f t="shared" si="75"/>
        <v>107. Bosnia and Herzegovina</v>
      </c>
    </row>
    <row r="2411" spans="1:5" x14ac:dyDescent="0.25">
      <c r="A2411" t="s">
        <v>17</v>
      </c>
      <c r="B2411" t="s">
        <v>326</v>
      </c>
      <c r="C2411">
        <v>69.2</v>
      </c>
      <c r="D2411">
        <f t="shared" si="74"/>
        <v>108</v>
      </c>
      <c r="E2411" t="str">
        <f t="shared" si="75"/>
        <v>108. Armenia</v>
      </c>
    </row>
    <row r="2412" spans="1:5" x14ac:dyDescent="0.25">
      <c r="A2412" t="s">
        <v>26</v>
      </c>
      <c r="B2412" t="s">
        <v>326</v>
      </c>
      <c r="C2412">
        <v>68.2</v>
      </c>
      <c r="D2412">
        <f t="shared" si="74"/>
        <v>109</v>
      </c>
      <c r="E2412" t="str">
        <f t="shared" si="75"/>
        <v>109. Burkina Faso</v>
      </c>
    </row>
    <row r="2413" spans="1:5" x14ac:dyDescent="0.25">
      <c r="A2413" t="s">
        <v>69</v>
      </c>
      <c r="B2413" t="s">
        <v>326</v>
      </c>
      <c r="C2413">
        <v>67.7</v>
      </c>
      <c r="D2413">
        <f t="shared" si="74"/>
        <v>110</v>
      </c>
      <c r="E2413" t="str">
        <f t="shared" si="75"/>
        <v>110. Estonia</v>
      </c>
    </row>
    <row r="2414" spans="1:5" x14ac:dyDescent="0.25">
      <c r="A2414" t="s">
        <v>80</v>
      </c>
      <c r="B2414" t="s">
        <v>326</v>
      </c>
      <c r="C2414">
        <v>67.599999999999994</v>
      </c>
      <c r="D2414">
        <f t="shared" si="74"/>
        <v>111</v>
      </c>
      <c r="E2414" t="str">
        <f t="shared" si="75"/>
        <v>111. Guinea</v>
      </c>
    </row>
    <row r="2415" spans="1:5" x14ac:dyDescent="0.25">
      <c r="A2415" t="s">
        <v>139</v>
      </c>
      <c r="B2415" t="s">
        <v>326</v>
      </c>
      <c r="C2415">
        <v>67.3</v>
      </c>
      <c r="D2415">
        <f t="shared" si="74"/>
        <v>112</v>
      </c>
      <c r="E2415" t="str">
        <f t="shared" si="75"/>
        <v>112. Mongolia</v>
      </c>
    </row>
    <row r="2416" spans="1:5" x14ac:dyDescent="0.25">
      <c r="A2416" t="s">
        <v>89</v>
      </c>
      <c r="B2416" t="s">
        <v>326</v>
      </c>
      <c r="C2416">
        <v>66.400000000000006</v>
      </c>
      <c r="D2416">
        <f t="shared" si="74"/>
        <v>113</v>
      </c>
      <c r="E2416" t="str">
        <f t="shared" si="75"/>
        <v>113. Guyana</v>
      </c>
    </row>
    <row r="2417" spans="1:5" x14ac:dyDescent="0.25">
      <c r="A2417" t="s">
        <v>220</v>
      </c>
      <c r="B2417" t="s">
        <v>326</v>
      </c>
      <c r="C2417">
        <v>65.2</v>
      </c>
      <c r="D2417">
        <f t="shared" si="74"/>
        <v>114</v>
      </c>
      <c r="E2417" t="str">
        <f t="shared" si="75"/>
        <v>114. Zimbabwe</v>
      </c>
    </row>
    <row r="2418" spans="1:5" x14ac:dyDescent="0.25">
      <c r="A2418" t="s">
        <v>25</v>
      </c>
      <c r="B2418" t="s">
        <v>326</v>
      </c>
      <c r="C2418">
        <v>64.099999999999994</v>
      </c>
      <c r="D2418">
        <f t="shared" si="74"/>
        <v>115</v>
      </c>
      <c r="E2418" t="str">
        <f t="shared" si="75"/>
        <v>115. Benin</v>
      </c>
    </row>
    <row r="2419" spans="1:5" x14ac:dyDescent="0.25">
      <c r="A2419" t="s">
        <v>13</v>
      </c>
      <c r="B2419" t="s">
        <v>326</v>
      </c>
      <c r="C2419">
        <v>63.8</v>
      </c>
      <c r="D2419">
        <f t="shared" si="74"/>
        <v>116</v>
      </c>
      <c r="E2419" t="str">
        <f t="shared" si="75"/>
        <v>116. Albania</v>
      </c>
    </row>
    <row r="2420" spans="1:5" x14ac:dyDescent="0.25">
      <c r="A2420" t="s">
        <v>130</v>
      </c>
      <c r="B2420" t="s">
        <v>326</v>
      </c>
      <c r="C2420">
        <v>60.2</v>
      </c>
      <c r="D2420">
        <f t="shared" si="74"/>
        <v>117</v>
      </c>
      <c r="E2420" t="str">
        <f t="shared" si="75"/>
        <v>117. Madagascar</v>
      </c>
    </row>
    <row r="2421" spans="1:5" x14ac:dyDescent="0.25">
      <c r="A2421" t="s">
        <v>150</v>
      </c>
      <c r="B2421" t="s">
        <v>326</v>
      </c>
      <c r="C2421">
        <v>60.2</v>
      </c>
      <c r="D2421">
        <f t="shared" si="74"/>
        <v>118</v>
      </c>
      <c r="E2421" t="str">
        <f t="shared" si="75"/>
        <v>118. Nicaragua</v>
      </c>
    </row>
    <row r="2422" spans="1:5" x14ac:dyDescent="0.25">
      <c r="A2422" t="s">
        <v>194</v>
      </c>
      <c r="B2422" t="s">
        <v>326</v>
      </c>
      <c r="C2422">
        <v>60.1</v>
      </c>
      <c r="D2422">
        <f t="shared" si="74"/>
        <v>119</v>
      </c>
      <c r="E2422" t="str">
        <f t="shared" si="75"/>
        <v>119. Chad</v>
      </c>
    </row>
    <row r="2423" spans="1:5" x14ac:dyDescent="0.25">
      <c r="A2423" t="s">
        <v>141</v>
      </c>
      <c r="B2423" t="s">
        <v>326</v>
      </c>
      <c r="C2423">
        <v>58.9</v>
      </c>
      <c r="D2423">
        <f t="shared" si="74"/>
        <v>120</v>
      </c>
      <c r="E2423" t="str">
        <f t="shared" si="75"/>
        <v>120. Mozambique</v>
      </c>
    </row>
    <row r="2424" spans="1:5" x14ac:dyDescent="0.25">
      <c r="A2424" t="s">
        <v>109</v>
      </c>
      <c r="B2424" t="s">
        <v>326</v>
      </c>
      <c r="C2424">
        <v>57.9</v>
      </c>
      <c r="D2424">
        <f t="shared" si="74"/>
        <v>121</v>
      </c>
      <c r="E2424" t="str">
        <f t="shared" si="75"/>
        <v>121. Kyrgyz Republic</v>
      </c>
    </row>
    <row r="2425" spans="1:5" x14ac:dyDescent="0.25">
      <c r="A2425" t="s">
        <v>58</v>
      </c>
      <c r="B2425" t="s">
        <v>326</v>
      </c>
      <c r="C2425">
        <v>57.6</v>
      </c>
      <c r="D2425">
        <f t="shared" si="74"/>
        <v>122</v>
      </c>
      <c r="E2425" t="str">
        <f t="shared" si="75"/>
        <v>122. Cyprus</v>
      </c>
    </row>
    <row r="2426" spans="1:5" x14ac:dyDescent="0.25">
      <c r="A2426" t="s">
        <v>197</v>
      </c>
      <c r="B2426" t="s">
        <v>326</v>
      </c>
      <c r="C2426">
        <v>57.3</v>
      </c>
      <c r="D2426">
        <f t="shared" si="74"/>
        <v>123</v>
      </c>
      <c r="E2426" t="str">
        <f t="shared" si="75"/>
        <v>123. Tajikistan</v>
      </c>
    </row>
    <row r="2427" spans="1:5" x14ac:dyDescent="0.25">
      <c r="A2427" t="s">
        <v>76</v>
      </c>
      <c r="B2427" t="s">
        <v>326</v>
      </c>
      <c r="C2427">
        <v>54.6</v>
      </c>
      <c r="D2427">
        <f t="shared" si="74"/>
        <v>124</v>
      </c>
      <c r="E2427" t="str">
        <f t="shared" si="75"/>
        <v>124. Gabon</v>
      </c>
    </row>
    <row r="2428" spans="1:5" x14ac:dyDescent="0.25">
      <c r="A2428" t="s">
        <v>148</v>
      </c>
      <c r="B2428" t="s">
        <v>326</v>
      </c>
      <c r="C2428">
        <v>54.5</v>
      </c>
      <c r="D2428">
        <f t="shared" si="74"/>
        <v>125</v>
      </c>
      <c r="E2428" t="str">
        <f t="shared" si="75"/>
        <v>125. Niger</v>
      </c>
    </row>
    <row r="2429" spans="1:5" x14ac:dyDescent="0.25">
      <c r="A2429" t="s">
        <v>172</v>
      </c>
      <c r="B2429" t="s">
        <v>326</v>
      </c>
      <c r="C2429">
        <v>52.9</v>
      </c>
      <c r="D2429">
        <f t="shared" si="74"/>
        <v>126</v>
      </c>
      <c r="E2429" t="str">
        <f t="shared" si="75"/>
        <v>126. Rwanda</v>
      </c>
    </row>
    <row r="2430" spans="1:5" x14ac:dyDescent="0.25">
      <c r="A2430" t="s">
        <v>40</v>
      </c>
      <c r="B2430" t="s">
        <v>326</v>
      </c>
      <c r="C2430">
        <v>51.8</v>
      </c>
      <c r="D2430">
        <f t="shared" si="74"/>
        <v>127</v>
      </c>
      <c r="E2430" t="str">
        <f t="shared" si="75"/>
        <v>127. Botswana</v>
      </c>
    </row>
    <row r="2431" spans="1:5" x14ac:dyDescent="0.25">
      <c r="A2431" t="s">
        <v>162</v>
      </c>
      <c r="B2431" t="s">
        <v>326</v>
      </c>
      <c r="C2431">
        <v>51.7</v>
      </c>
      <c r="D2431">
        <f t="shared" si="74"/>
        <v>128</v>
      </c>
      <c r="E2431" t="str">
        <f t="shared" si="75"/>
        <v>128. Papua New Guinea</v>
      </c>
    </row>
    <row r="2432" spans="1:5" x14ac:dyDescent="0.25">
      <c r="A2432" t="s">
        <v>201</v>
      </c>
      <c r="B2432" t="s">
        <v>326</v>
      </c>
      <c r="C2432">
        <v>49.3</v>
      </c>
      <c r="D2432">
        <f t="shared" si="74"/>
        <v>129</v>
      </c>
      <c r="E2432" t="str">
        <f t="shared" si="75"/>
        <v>129. Trinidad and Tobago</v>
      </c>
    </row>
    <row r="2433" spans="1:5" x14ac:dyDescent="0.25">
      <c r="A2433" t="s">
        <v>134</v>
      </c>
      <c r="B2433" t="s">
        <v>326</v>
      </c>
      <c r="C2433">
        <v>47.6</v>
      </c>
      <c r="D2433">
        <f t="shared" si="74"/>
        <v>130</v>
      </c>
      <c r="E2433" t="str">
        <f t="shared" si="75"/>
        <v>130. North Macedonia</v>
      </c>
    </row>
    <row r="2434" spans="1:5" x14ac:dyDescent="0.25">
      <c r="A2434" t="s">
        <v>129</v>
      </c>
      <c r="B2434" t="s">
        <v>326</v>
      </c>
      <c r="C2434">
        <v>44.7</v>
      </c>
      <c r="D2434">
        <f t="shared" si="74"/>
        <v>131</v>
      </c>
      <c r="E2434" t="str">
        <f t="shared" si="75"/>
        <v>131. Moldova</v>
      </c>
    </row>
    <row r="2435" spans="1:5" x14ac:dyDescent="0.25">
      <c r="A2435" t="s">
        <v>50</v>
      </c>
      <c r="B2435" t="s">
        <v>326</v>
      </c>
      <c r="C2435">
        <v>44.5</v>
      </c>
      <c r="D2435">
        <f t="shared" ref="D2435:D2498" si="76">IF(ROW() = 2, 1, IF(B2435 = B2434, D2434 + 1, 1))</f>
        <v>132</v>
      </c>
      <c r="E2435" t="str">
        <f t="shared" ref="E2435:E2498" si="77">_xlfn.CONCAT(D2435, ". ", A2435)</f>
        <v>132. Congo, Rep.</v>
      </c>
    </row>
    <row r="2436" spans="1:5" x14ac:dyDescent="0.25">
      <c r="A2436" t="s">
        <v>38</v>
      </c>
      <c r="B2436" t="s">
        <v>326</v>
      </c>
      <c r="C2436">
        <v>41.6</v>
      </c>
      <c r="D2436">
        <f t="shared" si="76"/>
        <v>133</v>
      </c>
      <c r="E2436" t="str">
        <f t="shared" si="77"/>
        <v>133. Brunei Darussalam</v>
      </c>
    </row>
    <row r="2437" spans="1:5" x14ac:dyDescent="0.25">
      <c r="A2437" t="s">
        <v>144</v>
      </c>
      <c r="B2437" t="s">
        <v>326</v>
      </c>
      <c r="C2437">
        <v>40.299999999999997</v>
      </c>
      <c r="D2437">
        <f t="shared" si="76"/>
        <v>134</v>
      </c>
      <c r="E2437" t="str">
        <f t="shared" si="77"/>
        <v>134. Malawi</v>
      </c>
    </row>
    <row r="2438" spans="1:5" x14ac:dyDescent="0.25">
      <c r="A2438" t="s">
        <v>143</v>
      </c>
      <c r="B2438" t="s">
        <v>326</v>
      </c>
      <c r="C2438">
        <v>39.1</v>
      </c>
      <c r="D2438">
        <f t="shared" si="76"/>
        <v>135</v>
      </c>
      <c r="E2438" t="str">
        <f t="shared" si="77"/>
        <v>135. Mauritius</v>
      </c>
    </row>
    <row r="2439" spans="1:5" x14ac:dyDescent="0.25">
      <c r="A2439" t="s">
        <v>136</v>
      </c>
      <c r="B2439" t="s">
        <v>326</v>
      </c>
      <c r="C2439">
        <v>38.700000000000003</v>
      </c>
      <c r="D2439">
        <f t="shared" si="76"/>
        <v>136</v>
      </c>
      <c r="E2439" t="str">
        <f t="shared" si="77"/>
        <v>136. Malta</v>
      </c>
    </row>
    <row r="2440" spans="1:5" x14ac:dyDescent="0.25">
      <c r="A2440" t="s">
        <v>142</v>
      </c>
      <c r="B2440" t="s">
        <v>326</v>
      </c>
      <c r="C2440">
        <v>37.6</v>
      </c>
      <c r="D2440">
        <f t="shared" si="76"/>
        <v>137</v>
      </c>
      <c r="E2440" t="str">
        <f t="shared" si="77"/>
        <v>137. Mauritania</v>
      </c>
    </row>
    <row r="2441" spans="1:5" x14ac:dyDescent="0.25">
      <c r="A2441" t="s">
        <v>93</v>
      </c>
      <c r="B2441" t="s">
        <v>326</v>
      </c>
      <c r="C2441">
        <v>37.5</v>
      </c>
      <c r="D2441">
        <f t="shared" si="76"/>
        <v>138</v>
      </c>
      <c r="E2441" t="str">
        <f t="shared" si="77"/>
        <v>138. Haiti</v>
      </c>
    </row>
    <row r="2442" spans="1:5" x14ac:dyDescent="0.25">
      <c r="A2442" t="s">
        <v>146</v>
      </c>
      <c r="B2442" t="s">
        <v>326</v>
      </c>
      <c r="C2442">
        <v>35.4</v>
      </c>
      <c r="D2442">
        <f t="shared" si="76"/>
        <v>139</v>
      </c>
      <c r="E2442" t="str">
        <f t="shared" si="77"/>
        <v>139. Namibia</v>
      </c>
    </row>
    <row r="2443" spans="1:5" x14ac:dyDescent="0.25">
      <c r="A2443" t="s">
        <v>83</v>
      </c>
      <c r="B2443" t="s">
        <v>326</v>
      </c>
      <c r="C2443">
        <v>33.200000000000003</v>
      </c>
      <c r="D2443">
        <f t="shared" si="76"/>
        <v>140</v>
      </c>
      <c r="E2443" t="str">
        <f t="shared" si="77"/>
        <v>140. Equatorial Guinea</v>
      </c>
    </row>
    <row r="2444" spans="1:5" x14ac:dyDescent="0.25">
      <c r="A2444" t="s">
        <v>104</v>
      </c>
      <c r="B2444" t="s">
        <v>326</v>
      </c>
      <c r="C2444">
        <v>33.1</v>
      </c>
      <c r="D2444">
        <f t="shared" si="76"/>
        <v>141</v>
      </c>
      <c r="E2444" t="str">
        <f t="shared" si="77"/>
        <v>141. Jamaica</v>
      </c>
    </row>
    <row r="2445" spans="1:5" x14ac:dyDescent="0.25">
      <c r="A2445" t="s">
        <v>101</v>
      </c>
      <c r="B2445" t="s">
        <v>326</v>
      </c>
      <c r="C2445">
        <v>31.7</v>
      </c>
      <c r="D2445">
        <f t="shared" si="76"/>
        <v>142</v>
      </c>
      <c r="E2445" t="str">
        <f t="shared" si="77"/>
        <v>142. Iceland</v>
      </c>
    </row>
    <row r="2446" spans="1:5" x14ac:dyDescent="0.25">
      <c r="A2446" t="s">
        <v>195</v>
      </c>
      <c r="B2446" t="s">
        <v>326</v>
      </c>
      <c r="C2446">
        <v>30.8</v>
      </c>
      <c r="D2446">
        <f t="shared" si="76"/>
        <v>143</v>
      </c>
      <c r="E2446" t="str">
        <f t="shared" si="77"/>
        <v>143. Togo</v>
      </c>
    </row>
    <row r="2447" spans="1:5" x14ac:dyDescent="0.25">
      <c r="A2447" t="s">
        <v>178</v>
      </c>
      <c r="B2447" t="s">
        <v>326</v>
      </c>
      <c r="C2447">
        <v>30.4</v>
      </c>
      <c r="D2447">
        <f t="shared" si="76"/>
        <v>144</v>
      </c>
      <c r="E2447" t="str">
        <f t="shared" si="77"/>
        <v>144. Sierra Leone</v>
      </c>
    </row>
    <row r="2448" spans="1:5" x14ac:dyDescent="0.25">
      <c r="A2448" t="s">
        <v>181</v>
      </c>
      <c r="B2448" t="s">
        <v>326</v>
      </c>
      <c r="C2448">
        <v>30.4</v>
      </c>
      <c r="D2448">
        <f t="shared" si="76"/>
        <v>145</v>
      </c>
      <c r="E2448" t="str">
        <f t="shared" si="77"/>
        <v>145. Somalia</v>
      </c>
    </row>
    <row r="2449" spans="1:5" x14ac:dyDescent="0.25">
      <c r="A2449" t="s">
        <v>216</v>
      </c>
      <c r="B2449" t="s">
        <v>326</v>
      </c>
      <c r="C2449">
        <v>28.4</v>
      </c>
      <c r="D2449">
        <f t="shared" si="76"/>
        <v>146</v>
      </c>
      <c r="E2449" t="str">
        <f t="shared" si="77"/>
        <v>146. Kosovo</v>
      </c>
    </row>
    <row r="2450" spans="1:5" x14ac:dyDescent="0.25">
      <c r="A2450" t="s">
        <v>167</v>
      </c>
      <c r="B2450" t="s">
        <v>326</v>
      </c>
      <c r="C2450">
        <v>23.1</v>
      </c>
      <c r="D2450">
        <f t="shared" si="76"/>
        <v>147</v>
      </c>
      <c r="E2450" t="str">
        <f t="shared" si="77"/>
        <v>147. West Bank and Gaza</v>
      </c>
    </row>
    <row r="2451" spans="1:5" x14ac:dyDescent="0.25">
      <c r="A2451" t="s">
        <v>138</v>
      </c>
      <c r="B2451" t="s">
        <v>326</v>
      </c>
      <c r="C2451">
        <v>20.8</v>
      </c>
      <c r="D2451">
        <f t="shared" si="76"/>
        <v>148</v>
      </c>
      <c r="E2451" t="str">
        <f t="shared" si="77"/>
        <v>148. Montenegro</v>
      </c>
    </row>
    <row r="2452" spans="1:5" x14ac:dyDescent="0.25">
      <c r="A2452" t="s">
        <v>30</v>
      </c>
      <c r="B2452" t="s">
        <v>326</v>
      </c>
      <c r="C2452">
        <v>16.5</v>
      </c>
      <c r="D2452">
        <f t="shared" si="76"/>
        <v>149</v>
      </c>
      <c r="E2452" t="str">
        <f t="shared" si="77"/>
        <v>149. Bahamas, The</v>
      </c>
    </row>
    <row r="2453" spans="1:5" x14ac:dyDescent="0.25">
      <c r="A2453" t="s">
        <v>72</v>
      </c>
      <c r="B2453" t="s">
        <v>326</v>
      </c>
      <c r="C2453">
        <v>14.9</v>
      </c>
      <c r="D2453">
        <f t="shared" si="76"/>
        <v>150</v>
      </c>
      <c r="E2453" t="str">
        <f t="shared" si="77"/>
        <v>150. Fiji</v>
      </c>
    </row>
    <row r="2454" spans="1:5" x14ac:dyDescent="0.25">
      <c r="A2454" t="s">
        <v>189</v>
      </c>
      <c r="B2454" t="s">
        <v>326</v>
      </c>
      <c r="C2454">
        <v>14.6</v>
      </c>
      <c r="D2454">
        <f t="shared" si="76"/>
        <v>151</v>
      </c>
      <c r="E2454" t="str">
        <f t="shared" si="77"/>
        <v>151. Eswatini</v>
      </c>
    </row>
    <row r="2455" spans="1:5" x14ac:dyDescent="0.25">
      <c r="A2455" t="s">
        <v>131</v>
      </c>
      <c r="B2455" t="s">
        <v>326</v>
      </c>
      <c r="C2455">
        <v>14</v>
      </c>
      <c r="D2455">
        <f t="shared" si="76"/>
        <v>152</v>
      </c>
      <c r="E2455" t="str">
        <f t="shared" si="77"/>
        <v>152. Maldives</v>
      </c>
    </row>
    <row r="2456" spans="1:5" x14ac:dyDescent="0.25">
      <c r="A2456" t="s">
        <v>185</v>
      </c>
      <c r="B2456" t="s">
        <v>326</v>
      </c>
      <c r="C2456">
        <v>14</v>
      </c>
      <c r="D2456">
        <f t="shared" si="76"/>
        <v>153</v>
      </c>
      <c r="E2456" t="str">
        <f t="shared" si="77"/>
        <v>153. Suriname</v>
      </c>
    </row>
    <row r="2457" spans="1:5" x14ac:dyDescent="0.25">
      <c r="A2457" t="s">
        <v>23</v>
      </c>
      <c r="B2457" t="s">
        <v>326</v>
      </c>
      <c r="C2457">
        <v>13.3</v>
      </c>
      <c r="D2457">
        <f t="shared" si="76"/>
        <v>154</v>
      </c>
      <c r="E2457" t="str">
        <f t="shared" si="77"/>
        <v>154. Burundi</v>
      </c>
    </row>
    <row r="2458" spans="1:5" x14ac:dyDescent="0.25">
      <c r="A2458" t="s">
        <v>117</v>
      </c>
      <c r="B2458" t="s">
        <v>326</v>
      </c>
      <c r="C2458">
        <v>10.6</v>
      </c>
      <c r="D2458">
        <f t="shared" si="76"/>
        <v>155</v>
      </c>
      <c r="E2458" t="str">
        <f t="shared" si="77"/>
        <v>155. Liberia</v>
      </c>
    </row>
    <row r="2459" spans="1:5" x14ac:dyDescent="0.25">
      <c r="A2459" t="s">
        <v>81</v>
      </c>
      <c r="B2459" t="s">
        <v>326</v>
      </c>
      <c r="C2459">
        <v>9.5</v>
      </c>
      <c r="D2459">
        <f t="shared" si="76"/>
        <v>156</v>
      </c>
      <c r="E2459" t="str">
        <f t="shared" si="77"/>
        <v>156. Gambia, The</v>
      </c>
    </row>
    <row r="2460" spans="1:5" x14ac:dyDescent="0.25">
      <c r="A2460" t="s">
        <v>61</v>
      </c>
      <c r="B2460" t="s">
        <v>326</v>
      </c>
      <c r="C2460">
        <v>9.1</v>
      </c>
      <c r="D2460">
        <f t="shared" si="76"/>
        <v>157</v>
      </c>
      <c r="E2460" t="str">
        <f t="shared" si="77"/>
        <v>157. Djibouti</v>
      </c>
    </row>
    <row r="2461" spans="1:5" x14ac:dyDescent="0.25">
      <c r="A2461" t="s">
        <v>34</v>
      </c>
      <c r="B2461" t="s">
        <v>326</v>
      </c>
      <c r="C2461">
        <v>7.7</v>
      </c>
      <c r="D2461">
        <f t="shared" si="76"/>
        <v>158</v>
      </c>
      <c r="E2461" t="str">
        <f t="shared" si="77"/>
        <v>158. Bermuda</v>
      </c>
    </row>
    <row r="2462" spans="1:5" x14ac:dyDescent="0.25">
      <c r="A2462" t="s">
        <v>122</v>
      </c>
      <c r="B2462" t="s">
        <v>326</v>
      </c>
      <c r="C2462">
        <v>7</v>
      </c>
      <c r="D2462">
        <f t="shared" si="76"/>
        <v>159</v>
      </c>
      <c r="E2462" t="str">
        <f t="shared" si="77"/>
        <v>159. Lesotho</v>
      </c>
    </row>
    <row r="2463" spans="1:5" x14ac:dyDescent="0.25">
      <c r="A2463" t="s">
        <v>41</v>
      </c>
      <c r="B2463" t="s">
        <v>326</v>
      </c>
      <c r="C2463">
        <v>6.7</v>
      </c>
      <c r="D2463">
        <f t="shared" si="76"/>
        <v>160</v>
      </c>
      <c r="E2463" t="str">
        <f t="shared" si="77"/>
        <v>160. Central African Republic</v>
      </c>
    </row>
    <row r="2464" spans="1:5" x14ac:dyDescent="0.25">
      <c r="A2464" t="s">
        <v>82</v>
      </c>
      <c r="B2464" t="s">
        <v>326</v>
      </c>
      <c r="C2464">
        <v>6.7</v>
      </c>
      <c r="D2464">
        <f t="shared" si="76"/>
        <v>161</v>
      </c>
      <c r="E2464" t="str">
        <f t="shared" si="77"/>
        <v>161. Guinea-Bissau</v>
      </c>
    </row>
    <row r="2465" spans="1:5" x14ac:dyDescent="0.25">
      <c r="A2465" t="s">
        <v>199</v>
      </c>
      <c r="B2465" t="s">
        <v>326</v>
      </c>
      <c r="C2465">
        <v>6.7</v>
      </c>
      <c r="D2465">
        <f t="shared" si="76"/>
        <v>162</v>
      </c>
      <c r="E2465" t="str">
        <f t="shared" si="77"/>
        <v>162. Timor-Leste</v>
      </c>
    </row>
    <row r="2466" spans="1:5" x14ac:dyDescent="0.25">
      <c r="A2466" t="s">
        <v>37</v>
      </c>
      <c r="B2466" t="s">
        <v>326</v>
      </c>
      <c r="C2466">
        <v>6.4</v>
      </c>
      <c r="D2466">
        <f t="shared" si="76"/>
        <v>163</v>
      </c>
      <c r="E2466" t="str">
        <f t="shared" si="77"/>
        <v>163. Barbados</v>
      </c>
    </row>
    <row r="2467" spans="1:5" x14ac:dyDescent="0.25">
      <c r="A2467" t="s">
        <v>33</v>
      </c>
      <c r="B2467" t="s">
        <v>326</v>
      </c>
      <c r="C2467">
        <v>6.3</v>
      </c>
      <c r="D2467">
        <f t="shared" si="76"/>
        <v>164</v>
      </c>
      <c r="E2467" t="str">
        <f t="shared" si="77"/>
        <v>164. Belize</v>
      </c>
    </row>
    <row r="2468" spans="1:5" x14ac:dyDescent="0.25">
      <c r="A2468" t="s">
        <v>14</v>
      </c>
      <c r="B2468" t="s">
        <v>326</v>
      </c>
      <c r="C2468">
        <v>6.1</v>
      </c>
      <c r="D2468">
        <f t="shared" si="76"/>
        <v>165</v>
      </c>
      <c r="E2468" t="str">
        <f t="shared" si="77"/>
        <v>165. Andorra</v>
      </c>
    </row>
    <row r="2469" spans="1:5" x14ac:dyDescent="0.25">
      <c r="A2469" t="s">
        <v>53</v>
      </c>
      <c r="B2469" t="s">
        <v>326</v>
      </c>
      <c r="C2469">
        <v>5.9</v>
      </c>
      <c r="D2469">
        <f t="shared" si="76"/>
        <v>166</v>
      </c>
      <c r="E2469" t="str">
        <f t="shared" si="77"/>
        <v>166. Cabo Verde</v>
      </c>
    </row>
    <row r="2470" spans="1:5" x14ac:dyDescent="0.25">
      <c r="A2470" t="s">
        <v>119</v>
      </c>
      <c r="B2470" t="s">
        <v>326</v>
      </c>
      <c r="C2470">
        <v>5</v>
      </c>
      <c r="D2470">
        <f t="shared" si="76"/>
        <v>167</v>
      </c>
      <c r="E2470" t="str">
        <f t="shared" si="77"/>
        <v>167. St. Lucia</v>
      </c>
    </row>
    <row r="2471" spans="1:5" x14ac:dyDescent="0.25">
      <c r="A2471" t="s">
        <v>191</v>
      </c>
      <c r="B2471" t="s">
        <v>326</v>
      </c>
      <c r="C2471">
        <v>4</v>
      </c>
      <c r="D2471">
        <f t="shared" si="76"/>
        <v>168</v>
      </c>
      <c r="E2471" t="str">
        <f t="shared" si="77"/>
        <v>168. Seychelles</v>
      </c>
    </row>
    <row r="2472" spans="1:5" x14ac:dyDescent="0.25">
      <c r="A2472" t="s">
        <v>52</v>
      </c>
      <c r="B2472" t="s">
        <v>326</v>
      </c>
      <c r="C2472">
        <v>3.5</v>
      </c>
      <c r="D2472">
        <f t="shared" si="76"/>
        <v>169</v>
      </c>
      <c r="E2472" t="str">
        <f t="shared" si="77"/>
        <v>169. Comoros</v>
      </c>
    </row>
    <row r="2473" spans="1:5" x14ac:dyDescent="0.25">
      <c r="A2473" t="s">
        <v>19</v>
      </c>
      <c r="B2473" t="s">
        <v>326</v>
      </c>
      <c r="C2473">
        <v>3.2</v>
      </c>
      <c r="D2473">
        <f t="shared" si="76"/>
        <v>170</v>
      </c>
      <c r="E2473" t="str">
        <f t="shared" si="77"/>
        <v>170. Antigua and Barbuda</v>
      </c>
    </row>
    <row r="2474" spans="1:5" x14ac:dyDescent="0.25">
      <c r="A2474" t="s">
        <v>85</v>
      </c>
      <c r="B2474" t="s">
        <v>326</v>
      </c>
      <c r="C2474">
        <v>2.4</v>
      </c>
      <c r="D2474">
        <f t="shared" si="76"/>
        <v>171</v>
      </c>
      <c r="E2474" t="str">
        <f t="shared" si="77"/>
        <v>171. Grenada</v>
      </c>
    </row>
    <row r="2475" spans="1:5" x14ac:dyDescent="0.25">
      <c r="A2475" t="s">
        <v>177</v>
      </c>
      <c r="B2475" t="s">
        <v>326</v>
      </c>
      <c r="C2475">
        <v>2.4</v>
      </c>
      <c r="D2475">
        <f t="shared" si="76"/>
        <v>172</v>
      </c>
      <c r="E2475" t="str">
        <f t="shared" si="77"/>
        <v>172. Solomon Islands</v>
      </c>
    </row>
    <row r="2476" spans="1:5" x14ac:dyDescent="0.25">
      <c r="A2476" t="s">
        <v>190</v>
      </c>
      <c r="B2476" t="s">
        <v>326</v>
      </c>
      <c r="C2476">
        <v>2.2999999999999998</v>
      </c>
      <c r="D2476">
        <f t="shared" si="76"/>
        <v>173</v>
      </c>
      <c r="E2476" t="str">
        <f t="shared" si="77"/>
        <v>173. Sint Maarten (Dutch part)</v>
      </c>
    </row>
    <row r="2477" spans="1:5" x14ac:dyDescent="0.25">
      <c r="A2477" t="s">
        <v>211</v>
      </c>
      <c r="B2477" t="s">
        <v>326</v>
      </c>
      <c r="C2477">
        <v>2.1</v>
      </c>
      <c r="D2477">
        <f t="shared" si="76"/>
        <v>174</v>
      </c>
      <c r="E2477" t="str">
        <f t="shared" si="77"/>
        <v>174. St. Vincent and the Grenadines</v>
      </c>
    </row>
    <row r="2478" spans="1:5" x14ac:dyDescent="0.25">
      <c r="A2478" t="s">
        <v>193</v>
      </c>
      <c r="B2478" t="s">
        <v>326</v>
      </c>
      <c r="C2478">
        <v>1.8</v>
      </c>
      <c r="D2478">
        <f t="shared" si="76"/>
        <v>175</v>
      </c>
      <c r="E2478" t="str">
        <f t="shared" si="77"/>
        <v>175. Turks and Caicos Islands</v>
      </c>
    </row>
    <row r="2479" spans="1:5" x14ac:dyDescent="0.25">
      <c r="A2479" t="s">
        <v>215</v>
      </c>
      <c r="B2479" t="s">
        <v>326</v>
      </c>
      <c r="C2479">
        <v>1.7</v>
      </c>
      <c r="D2479">
        <f t="shared" si="76"/>
        <v>176</v>
      </c>
      <c r="E2479" t="str">
        <f t="shared" si="77"/>
        <v>176. Samoa</v>
      </c>
    </row>
    <row r="2480" spans="1:5" x14ac:dyDescent="0.25">
      <c r="A2480" t="s">
        <v>112</v>
      </c>
      <c r="B2480" t="s">
        <v>326</v>
      </c>
      <c r="C2480">
        <v>1.7</v>
      </c>
      <c r="D2480">
        <f t="shared" si="76"/>
        <v>177</v>
      </c>
      <c r="E2480" t="str">
        <f t="shared" si="77"/>
        <v>177. St. Kitts and Nevis</v>
      </c>
    </row>
    <row r="2481" spans="1:5" x14ac:dyDescent="0.25">
      <c r="A2481" t="s">
        <v>184</v>
      </c>
      <c r="B2481" t="s">
        <v>326</v>
      </c>
      <c r="C2481">
        <v>1.5</v>
      </c>
      <c r="D2481">
        <f t="shared" si="76"/>
        <v>178</v>
      </c>
      <c r="E2481" t="str">
        <f t="shared" si="77"/>
        <v>178. Sao Tome and Principe</v>
      </c>
    </row>
    <row r="2482" spans="1:5" x14ac:dyDescent="0.25">
      <c r="A2482" t="s">
        <v>62</v>
      </c>
      <c r="B2482" t="s">
        <v>326</v>
      </c>
      <c r="C2482">
        <v>1.4</v>
      </c>
      <c r="D2482">
        <f t="shared" si="76"/>
        <v>179</v>
      </c>
      <c r="E2482" t="str">
        <f t="shared" si="77"/>
        <v>179. Dominica</v>
      </c>
    </row>
    <row r="2483" spans="1:5" x14ac:dyDescent="0.25">
      <c r="A2483" t="s">
        <v>214</v>
      </c>
      <c r="B2483" t="s">
        <v>326</v>
      </c>
      <c r="C2483">
        <v>1.2</v>
      </c>
      <c r="D2483">
        <f t="shared" si="76"/>
        <v>180</v>
      </c>
      <c r="E2483" t="str">
        <f t="shared" si="77"/>
        <v>180. Vanuatu</v>
      </c>
    </row>
    <row r="2484" spans="1:5" x14ac:dyDescent="0.25">
      <c r="A2484" t="s">
        <v>111</v>
      </c>
      <c r="B2484" t="s">
        <v>326</v>
      </c>
      <c r="C2484">
        <v>0.5</v>
      </c>
      <c r="D2484">
        <f t="shared" si="76"/>
        <v>181</v>
      </c>
      <c r="E2484" t="str">
        <f t="shared" si="77"/>
        <v>181. Kiribati</v>
      </c>
    </row>
    <row r="2485" spans="1:5" x14ac:dyDescent="0.25">
      <c r="A2485" t="s">
        <v>75</v>
      </c>
      <c r="B2485" t="s">
        <v>326</v>
      </c>
      <c r="C2485">
        <v>0.5</v>
      </c>
      <c r="D2485">
        <f t="shared" si="76"/>
        <v>182</v>
      </c>
      <c r="E2485" t="str">
        <f t="shared" si="77"/>
        <v>182. Micronesia, Fed. Sts.</v>
      </c>
    </row>
    <row r="2486" spans="1:5" x14ac:dyDescent="0.25">
      <c r="A2486" t="s">
        <v>133</v>
      </c>
      <c r="B2486" t="s">
        <v>326</v>
      </c>
      <c r="C2486">
        <v>0.3</v>
      </c>
      <c r="D2486">
        <f t="shared" si="76"/>
        <v>183</v>
      </c>
      <c r="E2486" t="str">
        <f t="shared" si="77"/>
        <v>183. Marshall Islands</v>
      </c>
    </row>
    <row r="2487" spans="1:5" x14ac:dyDescent="0.25">
      <c r="A2487" t="s">
        <v>154</v>
      </c>
      <c r="B2487" t="s">
        <v>326</v>
      </c>
      <c r="C2487">
        <v>0.2</v>
      </c>
      <c r="D2487">
        <f t="shared" si="76"/>
        <v>184</v>
      </c>
      <c r="E2487" t="str">
        <f t="shared" si="77"/>
        <v>184. Nauru</v>
      </c>
    </row>
    <row r="2488" spans="1:5" x14ac:dyDescent="0.25">
      <c r="A2488" t="s">
        <v>46</v>
      </c>
      <c r="B2488" t="s">
        <v>409</v>
      </c>
      <c r="C2488" s="56">
        <v>825</v>
      </c>
      <c r="D2488">
        <f t="shared" si="76"/>
        <v>1</v>
      </c>
      <c r="E2488" t="str">
        <f t="shared" si="77"/>
        <v>1. China</v>
      </c>
    </row>
    <row r="2489" spans="1:5" x14ac:dyDescent="0.25">
      <c r="A2489" t="s">
        <v>90</v>
      </c>
      <c r="B2489" t="s">
        <v>409</v>
      </c>
      <c r="C2489" s="56">
        <v>369.2</v>
      </c>
      <c r="D2489">
        <f t="shared" si="76"/>
        <v>2</v>
      </c>
      <c r="E2489" t="str">
        <f t="shared" si="77"/>
        <v>2. Hong Kong SAR, China</v>
      </c>
    </row>
    <row r="2490" spans="1:5" x14ac:dyDescent="0.25">
      <c r="A2490" t="s">
        <v>60</v>
      </c>
      <c r="B2490" t="s">
        <v>409</v>
      </c>
      <c r="C2490" s="56">
        <v>255.7</v>
      </c>
      <c r="D2490">
        <f t="shared" si="76"/>
        <v>3</v>
      </c>
      <c r="E2490" t="str">
        <f t="shared" si="77"/>
        <v>3. Germany</v>
      </c>
    </row>
    <row r="2491" spans="1:5" x14ac:dyDescent="0.25">
      <c r="A2491" t="s">
        <v>209</v>
      </c>
      <c r="B2491" t="s">
        <v>409</v>
      </c>
      <c r="C2491" s="56">
        <v>208.5</v>
      </c>
      <c r="D2491">
        <f t="shared" si="76"/>
        <v>4</v>
      </c>
      <c r="E2491" t="str">
        <f t="shared" si="77"/>
        <v>4. United States</v>
      </c>
    </row>
    <row r="2492" spans="1:5" x14ac:dyDescent="0.25">
      <c r="A2492" t="s">
        <v>176</v>
      </c>
      <c r="B2492" t="s">
        <v>409</v>
      </c>
      <c r="C2492" s="56">
        <v>197.4</v>
      </c>
      <c r="D2492">
        <f t="shared" si="76"/>
        <v>5</v>
      </c>
      <c r="E2492" t="str">
        <f t="shared" si="77"/>
        <v>5. Singapore</v>
      </c>
    </row>
    <row r="2493" spans="1:5" x14ac:dyDescent="0.25">
      <c r="A2493" t="s">
        <v>113</v>
      </c>
      <c r="B2493" t="s">
        <v>409</v>
      </c>
      <c r="C2493" s="56">
        <v>163</v>
      </c>
      <c r="D2493">
        <f t="shared" si="76"/>
        <v>6</v>
      </c>
      <c r="E2493" t="str">
        <f t="shared" si="77"/>
        <v>6. Korea, Rep.</v>
      </c>
    </row>
    <row r="2494" spans="1:5" x14ac:dyDescent="0.25">
      <c r="A2494" t="s">
        <v>145</v>
      </c>
      <c r="B2494" t="s">
        <v>409</v>
      </c>
      <c r="C2494" s="56">
        <v>127</v>
      </c>
      <c r="D2494">
        <f t="shared" si="76"/>
        <v>7</v>
      </c>
      <c r="E2494" t="str">
        <f t="shared" si="77"/>
        <v>7. Malaysia</v>
      </c>
    </row>
    <row r="2495" spans="1:5" x14ac:dyDescent="0.25">
      <c r="A2495" t="s">
        <v>73</v>
      </c>
      <c r="B2495" t="s">
        <v>409</v>
      </c>
      <c r="C2495" s="56">
        <v>115.3</v>
      </c>
      <c r="D2495">
        <f t="shared" si="76"/>
        <v>8</v>
      </c>
      <c r="E2495" t="str">
        <f t="shared" si="77"/>
        <v>8. France</v>
      </c>
    </row>
    <row r="2496" spans="1:5" x14ac:dyDescent="0.25">
      <c r="A2496" t="s">
        <v>151</v>
      </c>
      <c r="B2496" t="s">
        <v>409</v>
      </c>
      <c r="C2496" s="56">
        <v>111</v>
      </c>
      <c r="D2496">
        <f t="shared" si="76"/>
        <v>9</v>
      </c>
      <c r="E2496" t="str">
        <f t="shared" si="77"/>
        <v>9. Netherlands</v>
      </c>
    </row>
    <row r="2497" spans="1:5" x14ac:dyDescent="0.25">
      <c r="A2497" t="s">
        <v>106</v>
      </c>
      <c r="B2497" t="s">
        <v>409</v>
      </c>
      <c r="C2497" s="56">
        <v>102.6</v>
      </c>
      <c r="D2497">
        <f t="shared" si="76"/>
        <v>10</v>
      </c>
      <c r="E2497" t="str">
        <f t="shared" si="77"/>
        <v>10. Japan</v>
      </c>
    </row>
    <row r="2498" spans="1:5" x14ac:dyDescent="0.25">
      <c r="A2498" t="s">
        <v>98</v>
      </c>
      <c r="B2498" t="s">
        <v>409</v>
      </c>
      <c r="C2498" s="56">
        <v>91.4</v>
      </c>
      <c r="D2498">
        <f t="shared" si="76"/>
        <v>11</v>
      </c>
      <c r="E2498" t="str">
        <f t="shared" si="77"/>
        <v>11. Ireland</v>
      </c>
    </row>
    <row r="2499" spans="1:5" x14ac:dyDescent="0.25">
      <c r="A2499" t="s">
        <v>43</v>
      </c>
      <c r="B2499" t="s">
        <v>409</v>
      </c>
      <c r="C2499" s="56">
        <v>84.4</v>
      </c>
      <c r="D2499">
        <f t="shared" ref="D2499:D2562" si="78">IF(ROW() = 2, 1, IF(B2499 = B2498, D2498 + 1, 1))</f>
        <v>12</v>
      </c>
      <c r="E2499" t="str">
        <f t="shared" ref="E2499:E2562" si="79">_xlfn.CONCAT(D2499, ". ", A2499)</f>
        <v>12. Switzerland</v>
      </c>
    </row>
    <row r="2500" spans="1:5" x14ac:dyDescent="0.25">
      <c r="A2500" t="s">
        <v>77</v>
      </c>
      <c r="B2500" t="s">
        <v>409</v>
      </c>
      <c r="C2500" s="56">
        <v>82.4</v>
      </c>
      <c r="D2500">
        <f t="shared" si="78"/>
        <v>13</v>
      </c>
      <c r="E2500" t="str">
        <f t="shared" si="79"/>
        <v>13. United Kingdom</v>
      </c>
    </row>
    <row r="2501" spans="1:5" x14ac:dyDescent="0.25">
      <c r="A2501" t="s">
        <v>132</v>
      </c>
      <c r="B2501" t="s">
        <v>409</v>
      </c>
      <c r="C2501" s="56">
        <v>81.5</v>
      </c>
      <c r="D2501">
        <f t="shared" si="78"/>
        <v>14</v>
      </c>
      <c r="E2501" t="str">
        <f t="shared" si="79"/>
        <v>14. Mexico</v>
      </c>
    </row>
    <row r="2502" spans="1:5" x14ac:dyDescent="0.25">
      <c r="A2502" t="s">
        <v>196</v>
      </c>
      <c r="B2502" t="s">
        <v>409</v>
      </c>
      <c r="C2502" s="56">
        <v>54.1</v>
      </c>
      <c r="D2502">
        <f t="shared" si="78"/>
        <v>15</v>
      </c>
      <c r="E2502" t="str">
        <f t="shared" si="79"/>
        <v>15. Thailand</v>
      </c>
    </row>
    <row r="2503" spans="1:5" x14ac:dyDescent="0.25">
      <c r="A2503" t="s">
        <v>103</v>
      </c>
      <c r="B2503" t="s">
        <v>409</v>
      </c>
      <c r="C2503" s="56">
        <v>52.2</v>
      </c>
      <c r="D2503">
        <f t="shared" si="78"/>
        <v>16</v>
      </c>
      <c r="E2503" t="str">
        <f t="shared" si="79"/>
        <v>16. Italy</v>
      </c>
    </row>
    <row r="2504" spans="1:5" x14ac:dyDescent="0.25">
      <c r="A2504" t="s">
        <v>24</v>
      </c>
      <c r="B2504" t="s">
        <v>409</v>
      </c>
      <c r="C2504" s="56">
        <v>50.6</v>
      </c>
      <c r="D2504">
        <f t="shared" si="78"/>
        <v>17</v>
      </c>
      <c r="E2504" t="str">
        <f t="shared" si="79"/>
        <v>17. Belgium</v>
      </c>
    </row>
    <row r="2505" spans="1:5" x14ac:dyDescent="0.25">
      <c r="A2505" t="s">
        <v>59</v>
      </c>
      <c r="B2505" t="s">
        <v>409</v>
      </c>
      <c r="C2505" s="56">
        <v>46.3</v>
      </c>
      <c r="D2505">
        <f t="shared" si="78"/>
        <v>18</v>
      </c>
      <c r="E2505" t="str">
        <f t="shared" si="79"/>
        <v>18. Czechia</v>
      </c>
    </row>
    <row r="2506" spans="1:5" x14ac:dyDescent="0.25">
      <c r="A2506" t="s">
        <v>97</v>
      </c>
      <c r="B2506" t="s">
        <v>409</v>
      </c>
      <c r="C2506" s="56">
        <v>40.9</v>
      </c>
      <c r="D2506">
        <f t="shared" si="78"/>
        <v>19</v>
      </c>
      <c r="E2506" t="str">
        <f t="shared" si="79"/>
        <v>19. India</v>
      </c>
    </row>
    <row r="2507" spans="1:5" x14ac:dyDescent="0.25">
      <c r="A2507" t="s">
        <v>160</v>
      </c>
      <c r="B2507" t="s">
        <v>409</v>
      </c>
      <c r="C2507" s="56">
        <v>37.1</v>
      </c>
      <c r="D2507">
        <f t="shared" si="78"/>
        <v>20</v>
      </c>
      <c r="E2507" t="str">
        <f t="shared" si="79"/>
        <v>20. Philippines</v>
      </c>
    </row>
    <row r="2508" spans="1:5" x14ac:dyDescent="0.25">
      <c r="A2508" t="s">
        <v>42</v>
      </c>
      <c r="B2508" t="s">
        <v>409</v>
      </c>
      <c r="C2508" s="56">
        <v>35.200000000000003</v>
      </c>
      <c r="D2508">
        <f t="shared" si="78"/>
        <v>21</v>
      </c>
      <c r="E2508" t="str">
        <f t="shared" si="79"/>
        <v>21. Canada</v>
      </c>
    </row>
    <row r="2509" spans="1:5" x14ac:dyDescent="0.25">
      <c r="A2509" t="s">
        <v>163</v>
      </c>
      <c r="B2509" t="s">
        <v>409</v>
      </c>
      <c r="C2509" s="56">
        <v>29.6</v>
      </c>
      <c r="D2509">
        <f t="shared" si="78"/>
        <v>22</v>
      </c>
      <c r="E2509" t="str">
        <f t="shared" si="79"/>
        <v>22. Poland</v>
      </c>
    </row>
    <row r="2510" spans="1:5" x14ac:dyDescent="0.25">
      <c r="A2510" t="s">
        <v>21</v>
      </c>
      <c r="B2510" t="s">
        <v>409</v>
      </c>
      <c r="C2510" s="56">
        <v>27.3</v>
      </c>
      <c r="D2510">
        <f t="shared" si="78"/>
        <v>23</v>
      </c>
      <c r="E2510" t="str">
        <f t="shared" si="79"/>
        <v>23. Austria</v>
      </c>
    </row>
    <row r="2511" spans="1:5" x14ac:dyDescent="0.25">
      <c r="A2511" t="s">
        <v>68</v>
      </c>
      <c r="B2511" t="s">
        <v>409</v>
      </c>
      <c r="C2511" s="56">
        <v>25.8</v>
      </c>
      <c r="D2511">
        <f t="shared" si="78"/>
        <v>24</v>
      </c>
      <c r="E2511" t="str">
        <f t="shared" si="79"/>
        <v>24. Spain</v>
      </c>
    </row>
    <row r="2512" spans="1:5" x14ac:dyDescent="0.25">
      <c r="A2512" t="s">
        <v>188</v>
      </c>
      <c r="B2512" t="s">
        <v>409</v>
      </c>
      <c r="C2512" s="56">
        <v>25.2</v>
      </c>
      <c r="D2512">
        <f t="shared" si="78"/>
        <v>25</v>
      </c>
      <c r="E2512" t="str">
        <f t="shared" si="79"/>
        <v>25. Sweden</v>
      </c>
    </row>
    <row r="2513" spans="1:5" x14ac:dyDescent="0.25">
      <c r="A2513" t="s">
        <v>94</v>
      </c>
      <c r="B2513" t="s">
        <v>409</v>
      </c>
      <c r="C2513" s="56">
        <v>24.4</v>
      </c>
      <c r="D2513">
        <f t="shared" si="78"/>
        <v>26</v>
      </c>
      <c r="E2513" t="str">
        <f t="shared" si="79"/>
        <v>26. Hungary</v>
      </c>
    </row>
    <row r="2514" spans="1:5" x14ac:dyDescent="0.25">
      <c r="A2514" t="s">
        <v>102</v>
      </c>
      <c r="B2514" t="s">
        <v>409</v>
      </c>
      <c r="C2514" s="56">
        <v>18.2</v>
      </c>
      <c r="D2514">
        <f t="shared" si="78"/>
        <v>27</v>
      </c>
      <c r="E2514" t="str">
        <f t="shared" si="79"/>
        <v>27. Israel</v>
      </c>
    </row>
    <row r="2515" spans="1:5" x14ac:dyDescent="0.25">
      <c r="A2515" t="s">
        <v>63</v>
      </c>
      <c r="B2515" t="s">
        <v>409</v>
      </c>
      <c r="C2515" s="56">
        <v>16.100000000000001</v>
      </c>
      <c r="D2515">
        <f t="shared" si="78"/>
        <v>28</v>
      </c>
      <c r="E2515" t="str">
        <f t="shared" si="79"/>
        <v>28. Denmark</v>
      </c>
    </row>
    <row r="2516" spans="1:5" x14ac:dyDescent="0.25">
      <c r="A2516" t="s">
        <v>95</v>
      </c>
      <c r="B2516" t="s">
        <v>409</v>
      </c>
      <c r="C2516" s="56">
        <v>10.5</v>
      </c>
      <c r="D2516">
        <f t="shared" si="78"/>
        <v>29</v>
      </c>
      <c r="E2516" t="str">
        <f t="shared" si="79"/>
        <v>29. Indonesia</v>
      </c>
    </row>
    <row r="2517" spans="1:5" x14ac:dyDescent="0.25">
      <c r="A2517" t="s">
        <v>186</v>
      </c>
      <c r="B2517" t="s">
        <v>409</v>
      </c>
      <c r="C2517" s="56">
        <v>10.1</v>
      </c>
      <c r="D2517">
        <f t="shared" si="78"/>
        <v>30</v>
      </c>
      <c r="E2517" t="str">
        <f t="shared" si="79"/>
        <v>30. Slovak Republic</v>
      </c>
    </row>
    <row r="2518" spans="1:5" x14ac:dyDescent="0.25">
      <c r="A2518" t="s">
        <v>170</v>
      </c>
      <c r="B2518" t="s">
        <v>409</v>
      </c>
      <c r="C2518" s="56">
        <v>9.6999999999999993</v>
      </c>
      <c r="D2518">
        <f t="shared" si="78"/>
        <v>31</v>
      </c>
      <c r="E2518" t="str">
        <f t="shared" si="79"/>
        <v>31. Romania</v>
      </c>
    </row>
    <row r="2519" spans="1:5" x14ac:dyDescent="0.25">
      <c r="A2519" t="s">
        <v>203</v>
      </c>
      <c r="B2519" t="s">
        <v>409</v>
      </c>
      <c r="C2519" s="56">
        <v>8.5</v>
      </c>
      <c r="D2519">
        <f t="shared" si="78"/>
        <v>32</v>
      </c>
      <c r="E2519" t="str">
        <f t="shared" si="79"/>
        <v>32. Turkiye</v>
      </c>
    </row>
    <row r="2520" spans="1:5" x14ac:dyDescent="0.25">
      <c r="A2520" t="s">
        <v>36</v>
      </c>
      <c r="B2520" t="s">
        <v>409</v>
      </c>
      <c r="C2520" s="56">
        <v>8.1</v>
      </c>
      <c r="D2520">
        <f t="shared" si="78"/>
        <v>33</v>
      </c>
      <c r="E2520" t="str">
        <f t="shared" si="79"/>
        <v>33. Brazil</v>
      </c>
    </row>
    <row r="2521" spans="1:5" x14ac:dyDescent="0.25">
      <c r="A2521" t="s">
        <v>20</v>
      </c>
      <c r="B2521" t="s">
        <v>409</v>
      </c>
      <c r="C2521" s="56">
        <v>7.8</v>
      </c>
      <c r="D2521">
        <f t="shared" si="78"/>
        <v>34</v>
      </c>
      <c r="E2521" t="str">
        <f t="shared" si="79"/>
        <v>34. Australia</v>
      </c>
    </row>
    <row r="2522" spans="1:5" x14ac:dyDescent="0.25">
      <c r="A2522" t="s">
        <v>152</v>
      </c>
      <c r="B2522" t="s">
        <v>409</v>
      </c>
      <c r="C2522" s="56">
        <v>6</v>
      </c>
      <c r="D2522">
        <f t="shared" si="78"/>
        <v>35</v>
      </c>
      <c r="E2522" t="str">
        <f t="shared" si="79"/>
        <v>35. Norway</v>
      </c>
    </row>
    <row r="2523" spans="1:5" x14ac:dyDescent="0.25">
      <c r="A2523" t="s">
        <v>71</v>
      </c>
      <c r="B2523" t="s">
        <v>409</v>
      </c>
      <c r="C2523" s="56">
        <v>5.3</v>
      </c>
      <c r="D2523">
        <f t="shared" si="78"/>
        <v>36</v>
      </c>
      <c r="E2523" t="str">
        <f t="shared" si="79"/>
        <v>36. Finland</v>
      </c>
    </row>
    <row r="2524" spans="1:5" x14ac:dyDescent="0.25">
      <c r="A2524" t="s">
        <v>107</v>
      </c>
      <c r="B2524" t="s">
        <v>409</v>
      </c>
      <c r="C2524" s="56">
        <v>5.0999999999999996</v>
      </c>
      <c r="D2524">
        <f t="shared" si="78"/>
        <v>37</v>
      </c>
      <c r="E2524" t="str">
        <f t="shared" si="79"/>
        <v>37. Kazakhstan</v>
      </c>
    </row>
    <row r="2525" spans="1:5" x14ac:dyDescent="0.25">
      <c r="A2525" t="s">
        <v>165</v>
      </c>
      <c r="B2525" t="s">
        <v>409</v>
      </c>
      <c r="C2525" s="56">
        <v>4.2</v>
      </c>
      <c r="D2525">
        <f t="shared" si="78"/>
        <v>38</v>
      </c>
      <c r="E2525" t="str">
        <f t="shared" si="79"/>
        <v>38. Portugal</v>
      </c>
    </row>
    <row r="2526" spans="1:5" x14ac:dyDescent="0.25">
      <c r="A2526" t="s">
        <v>187</v>
      </c>
      <c r="B2526" t="s">
        <v>409</v>
      </c>
      <c r="C2526" s="56">
        <v>4.2</v>
      </c>
      <c r="D2526">
        <f t="shared" si="78"/>
        <v>39</v>
      </c>
      <c r="E2526" t="str">
        <f t="shared" si="79"/>
        <v>39. Slovenia</v>
      </c>
    </row>
    <row r="2527" spans="1:5" x14ac:dyDescent="0.25">
      <c r="A2527" t="s">
        <v>123</v>
      </c>
      <c r="B2527" t="s">
        <v>409</v>
      </c>
      <c r="C2527" s="56">
        <v>3.7</v>
      </c>
      <c r="D2527">
        <f t="shared" si="78"/>
        <v>40</v>
      </c>
      <c r="E2527" t="str">
        <f t="shared" si="79"/>
        <v>40. Lithuania</v>
      </c>
    </row>
    <row r="2528" spans="1:5" x14ac:dyDescent="0.25">
      <c r="A2528" t="s">
        <v>15</v>
      </c>
      <c r="B2528" t="s">
        <v>409</v>
      </c>
      <c r="C2528" s="56">
        <v>3.4</v>
      </c>
      <c r="D2528">
        <f t="shared" si="78"/>
        <v>41</v>
      </c>
      <c r="E2528" t="str">
        <f t="shared" si="79"/>
        <v>41. United Arab Emirates</v>
      </c>
    </row>
    <row r="2529" spans="1:5" x14ac:dyDescent="0.25">
      <c r="A2529" t="s">
        <v>28</v>
      </c>
      <c r="B2529" t="s">
        <v>409</v>
      </c>
      <c r="C2529" s="56">
        <v>3.2</v>
      </c>
      <c r="D2529">
        <f t="shared" si="78"/>
        <v>42</v>
      </c>
      <c r="E2529" t="str">
        <f t="shared" si="79"/>
        <v>42. Bulgaria</v>
      </c>
    </row>
    <row r="2530" spans="1:5" x14ac:dyDescent="0.25">
      <c r="A2530" t="s">
        <v>84</v>
      </c>
      <c r="B2530" t="s">
        <v>409</v>
      </c>
      <c r="C2530" s="56">
        <v>3</v>
      </c>
      <c r="D2530">
        <f t="shared" si="78"/>
        <v>43</v>
      </c>
      <c r="E2530" t="str">
        <f t="shared" si="79"/>
        <v>43. Greece</v>
      </c>
    </row>
    <row r="2531" spans="1:5" x14ac:dyDescent="0.25">
      <c r="A2531" t="s">
        <v>54</v>
      </c>
      <c r="B2531" t="s">
        <v>409</v>
      </c>
      <c r="C2531" s="56">
        <v>2.8</v>
      </c>
      <c r="D2531">
        <f t="shared" si="78"/>
        <v>44</v>
      </c>
      <c r="E2531" t="str">
        <f t="shared" si="79"/>
        <v>44. Costa Rica</v>
      </c>
    </row>
    <row r="2532" spans="1:5" x14ac:dyDescent="0.25">
      <c r="A2532" t="s">
        <v>110</v>
      </c>
      <c r="B2532" t="s">
        <v>409</v>
      </c>
      <c r="C2532" s="56">
        <v>2.2999999999999998</v>
      </c>
      <c r="D2532">
        <f t="shared" si="78"/>
        <v>45</v>
      </c>
      <c r="E2532" t="str">
        <f t="shared" si="79"/>
        <v>45. Cambodia</v>
      </c>
    </row>
    <row r="2533" spans="1:5" x14ac:dyDescent="0.25">
      <c r="A2533" t="s">
        <v>218</v>
      </c>
      <c r="B2533" t="s">
        <v>409</v>
      </c>
      <c r="C2533" s="56">
        <v>2.2000000000000002</v>
      </c>
      <c r="D2533">
        <f t="shared" si="78"/>
        <v>46</v>
      </c>
      <c r="E2533" t="str">
        <f t="shared" si="79"/>
        <v>46. South Africa</v>
      </c>
    </row>
    <row r="2534" spans="1:5" x14ac:dyDescent="0.25">
      <c r="A2534" t="s">
        <v>69</v>
      </c>
      <c r="B2534" t="s">
        <v>409</v>
      </c>
      <c r="C2534" s="56">
        <v>2.1</v>
      </c>
      <c r="D2534">
        <f t="shared" si="78"/>
        <v>47</v>
      </c>
      <c r="E2534" t="str">
        <f t="shared" si="79"/>
        <v>47. Estonia</v>
      </c>
    </row>
    <row r="2535" spans="1:5" x14ac:dyDescent="0.25">
      <c r="A2535" t="s">
        <v>125</v>
      </c>
      <c r="B2535" t="s">
        <v>409</v>
      </c>
      <c r="C2535" s="56">
        <v>2.1</v>
      </c>
      <c r="D2535">
        <f t="shared" si="78"/>
        <v>48</v>
      </c>
      <c r="E2535" t="str">
        <f t="shared" si="79"/>
        <v>48. Latvia</v>
      </c>
    </row>
    <row r="2536" spans="1:5" x14ac:dyDescent="0.25">
      <c r="A2536" t="s">
        <v>45</v>
      </c>
      <c r="B2536" t="s">
        <v>409</v>
      </c>
      <c r="C2536" s="56">
        <v>1.8</v>
      </c>
      <c r="D2536">
        <f t="shared" si="78"/>
        <v>49</v>
      </c>
      <c r="E2536" t="str">
        <f t="shared" si="79"/>
        <v>49. Chile</v>
      </c>
    </row>
    <row r="2537" spans="1:5" x14ac:dyDescent="0.25">
      <c r="A2537" t="s">
        <v>92</v>
      </c>
      <c r="B2537" t="s">
        <v>409</v>
      </c>
      <c r="C2537" s="56">
        <v>1.7</v>
      </c>
      <c r="D2537">
        <f t="shared" si="78"/>
        <v>50</v>
      </c>
      <c r="E2537" t="str">
        <f t="shared" si="79"/>
        <v>50. Croatia</v>
      </c>
    </row>
    <row r="2538" spans="1:5" x14ac:dyDescent="0.25">
      <c r="A2538" t="s">
        <v>127</v>
      </c>
      <c r="B2538" t="s">
        <v>409</v>
      </c>
      <c r="C2538" s="56">
        <v>1.7</v>
      </c>
      <c r="D2538">
        <f t="shared" si="78"/>
        <v>51</v>
      </c>
      <c r="E2538" t="str">
        <f t="shared" si="79"/>
        <v>51. Morocco</v>
      </c>
    </row>
    <row r="2539" spans="1:5" x14ac:dyDescent="0.25">
      <c r="A2539" t="s">
        <v>182</v>
      </c>
      <c r="B2539" t="s">
        <v>409</v>
      </c>
      <c r="C2539" s="56">
        <v>1.4</v>
      </c>
      <c r="D2539">
        <f t="shared" si="78"/>
        <v>52</v>
      </c>
      <c r="E2539" t="str">
        <f t="shared" si="79"/>
        <v>52. Serbia</v>
      </c>
    </row>
    <row r="2540" spans="1:5" x14ac:dyDescent="0.25">
      <c r="A2540" t="s">
        <v>136</v>
      </c>
      <c r="B2540" t="s">
        <v>409</v>
      </c>
      <c r="C2540" s="56">
        <v>1.2</v>
      </c>
      <c r="D2540">
        <f t="shared" si="78"/>
        <v>53</v>
      </c>
      <c r="E2540" t="str">
        <f t="shared" si="79"/>
        <v>53. Malta</v>
      </c>
    </row>
    <row r="2541" spans="1:5" x14ac:dyDescent="0.25">
      <c r="A2541" t="s">
        <v>202</v>
      </c>
      <c r="B2541" t="s">
        <v>409</v>
      </c>
      <c r="C2541" s="56">
        <v>1.2</v>
      </c>
      <c r="D2541">
        <f t="shared" si="78"/>
        <v>54</v>
      </c>
      <c r="E2541" t="str">
        <f t="shared" si="79"/>
        <v>54. Tunisia</v>
      </c>
    </row>
    <row r="2542" spans="1:5" x14ac:dyDescent="0.25">
      <c r="A2542" t="s">
        <v>51</v>
      </c>
      <c r="B2542" t="s">
        <v>409</v>
      </c>
      <c r="C2542" s="56">
        <v>0.9</v>
      </c>
      <c r="D2542">
        <f t="shared" si="78"/>
        <v>55</v>
      </c>
      <c r="E2542" t="str">
        <f t="shared" si="79"/>
        <v>55. Colombia</v>
      </c>
    </row>
    <row r="2543" spans="1:5" x14ac:dyDescent="0.25">
      <c r="A2543" t="s">
        <v>17</v>
      </c>
      <c r="B2543" t="s">
        <v>409</v>
      </c>
      <c r="C2543" s="56">
        <v>0.8</v>
      </c>
      <c r="D2543">
        <f t="shared" si="78"/>
        <v>56</v>
      </c>
      <c r="E2543" t="str">
        <f t="shared" si="79"/>
        <v>56. Armenia</v>
      </c>
    </row>
    <row r="2544" spans="1:5" x14ac:dyDescent="0.25">
      <c r="A2544" t="s">
        <v>124</v>
      </c>
      <c r="B2544" t="s">
        <v>409</v>
      </c>
      <c r="C2544" s="56">
        <v>0.8</v>
      </c>
      <c r="D2544">
        <f t="shared" si="78"/>
        <v>57</v>
      </c>
      <c r="E2544" t="str">
        <f t="shared" si="79"/>
        <v>57. Luxembourg</v>
      </c>
    </row>
    <row r="2545" spans="1:5" x14ac:dyDescent="0.25">
      <c r="A2545" t="s">
        <v>155</v>
      </c>
      <c r="B2545" t="s">
        <v>409</v>
      </c>
      <c r="C2545" s="56">
        <v>0.8</v>
      </c>
      <c r="D2545">
        <f t="shared" si="78"/>
        <v>58</v>
      </c>
      <c r="E2545" t="str">
        <f t="shared" si="79"/>
        <v>58. New Zealand</v>
      </c>
    </row>
    <row r="2546" spans="1:5" x14ac:dyDescent="0.25">
      <c r="A2546" t="s">
        <v>16</v>
      </c>
      <c r="B2546" t="s">
        <v>409</v>
      </c>
      <c r="C2546" s="56">
        <v>0.7</v>
      </c>
      <c r="D2546">
        <f t="shared" si="78"/>
        <v>59</v>
      </c>
      <c r="E2546" t="str">
        <f t="shared" si="79"/>
        <v>59. Argentina</v>
      </c>
    </row>
    <row r="2547" spans="1:5" x14ac:dyDescent="0.25">
      <c r="A2547" t="s">
        <v>67</v>
      </c>
      <c r="B2547" t="s">
        <v>409</v>
      </c>
      <c r="C2547" s="56">
        <v>0.7</v>
      </c>
      <c r="D2547">
        <f t="shared" si="78"/>
        <v>60</v>
      </c>
      <c r="E2547" t="str">
        <f t="shared" si="79"/>
        <v>60. Egypt, Arab Rep.</v>
      </c>
    </row>
    <row r="2548" spans="1:5" x14ac:dyDescent="0.25">
      <c r="A2548" t="s">
        <v>207</v>
      </c>
      <c r="B2548" t="s">
        <v>409</v>
      </c>
      <c r="C2548" s="56">
        <v>0.7</v>
      </c>
      <c r="D2548">
        <f t="shared" si="78"/>
        <v>61</v>
      </c>
      <c r="E2548" t="str">
        <f t="shared" si="79"/>
        <v>61. Ukraine</v>
      </c>
    </row>
    <row r="2549" spans="1:5" x14ac:dyDescent="0.25">
      <c r="A2549" t="s">
        <v>64</v>
      </c>
      <c r="B2549" t="s">
        <v>409</v>
      </c>
      <c r="C2549" s="56">
        <v>0.5</v>
      </c>
      <c r="D2549">
        <f t="shared" si="78"/>
        <v>62</v>
      </c>
      <c r="E2549" t="str">
        <f t="shared" si="79"/>
        <v>62. Dominican Republic</v>
      </c>
    </row>
    <row r="2550" spans="1:5" x14ac:dyDescent="0.25">
      <c r="A2550" t="s">
        <v>101</v>
      </c>
      <c r="B2550" t="s">
        <v>409</v>
      </c>
      <c r="C2550" s="56">
        <v>0.5</v>
      </c>
      <c r="D2550">
        <f t="shared" si="78"/>
        <v>63</v>
      </c>
      <c r="E2550" t="str">
        <f t="shared" si="79"/>
        <v>63. Iceland</v>
      </c>
    </row>
    <row r="2551" spans="1:5" x14ac:dyDescent="0.25">
      <c r="A2551" t="s">
        <v>87</v>
      </c>
      <c r="B2551" t="s">
        <v>409</v>
      </c>
      <c r="C2551" s="56">
        <v>0.4</v>
      </c>
      <c r="D2551">
        <f t="shared" si="78"/>
        <v>64</v>
      </c>
      <c r="E2551" t="str">
        <f t="shared" si="79"/>
        <v>64. Guatemala</v>
      </c>
    </row>
    <row r="2552" spans="1:5" x14ac:dyDescent="0.25">
      <c r="A2552" t="s">
        <v>134</v>
      </c>
      <c r="B2552" t="s">
        <v>409</v>
      </c>
      <c r="C2552" s="56">
        <v>0.4</v>
      </c>
      <c r="D2552">
        <f t="shared" si="78"/>
        <v>65</v>
      </c>
      <c r="E2552" t="str">
        <f t="shared" si="79"/>
        <v>65. North Macedonia</v>
      </c>
    </row>
    <row r="2553" spans="1:5" x14ac:dyDescent="0.25">
      <c r="A2553" t="s">
        <v>156</v>
      </c>
      <c r="B2553" t="s">
        <v>409</v>
      </c>
      <c r="C2553" s="56">
        <v>0.4</v>
      </c>
      <c r="D2553">
        <f t="shared" si="78"/>
        <v>66</v>
      </c>
      <c r="E2553" t="str">
        <f t="shared" si="79"/>
        <v>66. Oman</v>
      </c>
    </row>
    <row r="2554" spans="1:5" x14ac:dyDescent="0.25">
      <c r="A2554" t="s">
        <v>157</v>
      </c>
      <c r="B2554" t="s">
        <v>409</v>
      </c>
      <c r="C2554" s="56">
        <v>0.4</v>
      </c>
      <c r="D2554">
        <f t="shared" si="78"/>
        <v>67</v>
      </c>
      <c r="E2554" t="str">
        <f t="shared" si="79"/>
        <v>67. Pakistan</v>
      </c>
    </row>
    <row r="2555" spans="1:5" x14ac:dyDescent="0.25">
      <c r="A2555" t="s">
        <v>31</v>
      </c>
      <c r="B2555" t="s">
        <v>409</v>
      </c>
      <c r="C2555" s="56">
        <v>0.3</v>
      </c>
      <c r="D2555">
        <f t="shared" si="78"/>
        <v>68</v>
      </c>
      <c r="E2555" t="str">
        <f t="shared" si="79"/>
        <v>68. Bosnia and Herzegovina</v>
      </c>
    </row>
    <row r="2556" spans="1:5" x14ac:dyDescent="0.25">
      <c r="A2556" t="s">
        <v>179</v>
      </c>
      <c r="B2556" t="s">
        <v>409</v>
      </c>
      <c r="C2556" s="56">
        <v>0.3</v>
      </c>
      <c r="D2556">
        <f t="shared" si="78"/>
        <v>69</v>
      </c>
      <c r="E2556" t="str">
        <f t="shared" si="79"/>
        <v>69. El Salvador</v>
      </c>
    </row>
    <row r="2557" spans="1:5" x14ac:dyDescent="0.25">
      <c r="A2557" t="s">
        <v>159</v>
      </c>
      <c r="B2557" t="s">
        <v>409</v>
      </c>
      <c r="C2557" s="56">
        <v>0.3</v>
      </c>
      <c r="D2557">
        <f t="shared" si="78"/>
        <v>70</v>
      </c>
      <c r="E2557" t="str">
        <f t="shared" si="79"/>
        <v>70. Peru</v>
      </c>
    </row>
    <row r="2558" spans="1:5" x14ac:dyDescent="0.25">
      <c r="A2558" t="s">
        <v>173</v>
      </c>
      <c r="B2558" t="s">
        <v>409</v>
      </c>
      <c r="C2558" s="56">
        <v>0.3</v>
      </c>
      <c r="D2558">
        <f t="shared" si="78"/>
        <v>71</v>
      </c>
      <c r="E2558" t="str">
        <f t="shared" si="79"/>
        <v>71. Saudi Arabia</v>
      </c>
    </row>
    <row r="2559" spans="1:5" x14ac:dyDescent="0.25">
      <c r="A2559" t="s">
        <v>105</v>
      </c>
      <c r="B2559" t="s">
        <v>409</v>
      </c>
      <c r="C2559" s="56">
        <v>0.2</v>
      </c>
      <c r="D2559">
        <f t="shared" si="78"/>
        <v>72</v>
      </c>
      <c r="E2559" t="str">
        <f t="shared" si="79"/>
        <v>72. Jordan</v>
      </c>
    </row>
    <row r="2560" spans="1:5" x14ac:dyDescent="0.25">
      <c r="A2560" t="s">
        <v>109</v>
      </c>
      <c r="B2560" t="s">
        <v>409</v>
      </c>
      <c r="C2560" s="56">
        <v>0.2</v>
      </c>
      <c r="D2560">
        <f t="shared" si="78"/>
        <v>73</v>
      </c>
      <c r="E2560" t="str">
        <f t="shared" si="79"/>
        <v>73. Kyrgyz Republic</v>
      </c>
    </row>
    <row r="2561" spans="1:5" x14ac:dyDescent="0.25">
      <c r="A2561" t="s">
        <v>137</v>
      </c>
      <c r="B2561" t="s">
        <v>409</v>
      </c>
      <c r="C2561" s="56">
        <v>0.2</v>
      </c>
      <c r="D2561">
        <f t="shared" si="78"/>
        <v>74</v>
      </c>
      <c r="E2561" t="str">
        <f t="shared" si="79"/>
        <v>74. Myanmar</v>
      </c>
    </row>
    <row r="2562" spans="1:5" x14ac:dyDescent="0.25">
      <c r="A2562" t="s">
        <v>166</v>
      </c>
      <c r="B2562" t="s">
        <v>409</v>
      </c>
      <c r="C2562" s="56">
        <v>0.2</v>
      </c>
      <c r="D2562">
        <f t="shared" si="78"/>
        <v>75</v>
      </c>
      <c r="E2562" t="str">
        <f t="shared" si="79"/>
        <v>75. Paraguay</v>
      </c>
    </row>
    <row r="2563" spans="1:5" x14ac:dyDescent="0.25">
      <c r="A2563" t="s">
        <v>169</v>
      </c>
      <c r="B2563" t="s">
        <v>409</v>
      </c>
      <c r="C2563" s="56">
        <v>0.2</v>
      </c>
      <c r="D2563">
        <f t="shared" ref="D2563:D2626" si="80">IF(ROW() = 2, 1, IF(B2563 = B2562, D2562 + 1, 1))</f>
        <v>76</v>
      </c>
      <c r="E2563" t="str">
        <f t="shared" ref="E2563:E2626" si="81">_xlfn.CONCAT(D2563, ". ", A2563)</f>
        <v>76. Qatar</v>
      </c>
    </row>
    <row r="2564" spans="1:5" x14ac:dyDescent="0.25">
      <c r="A2564" t="s">
        <v>208</v>
      </c>
      <c r="B2564" t="s">
        <v>409</v>
      </c>
      <c r="C2564" s="56">
        <v>0.2</v>
      </c>
      <c r="D2564">
        <f t="shared" si="80"/>
        <v>77</v>
      </c>
      <c r="E2564" t="str">
        <f t="shared" si="81"/>
        <v>77. Uruguay</v>
      </c>
    </row>
    <row r="2565" spans="1:5" x14ac:dyDescent="0.25">
      <c r="A2565" t="s">
        <v>210</v>
      </c>
      <c r="B2565" t="s">
        <v>409</v>
      </c>
      <c r="C2565" s="56">
        <v>0.2</v>
      </c>
      <c r="D2565">
        <f t="shared" si="80"/>
        <v>78</v>
      </c>
      <c r="E2565" t="str">
        <f t="shared" si="81"/>
        <v>78. Uzbekistan</v>
      </c>
    </row>
    <row r="2566" spans="1:5" x14ac:dyDescent="0.25">
      <c r="A2566" t="s">
        <v>14</v>
      </c>
      <c r="B2566" t="s">
        <v>409</v>
      </c>
      <c r="C2566" s="56">
        <v>0.1</v>
      </c>
      <c r="D2566">
        <f t="shared" si="80"/>
        <v>79</v>
      </c>
      <c r="E2566" t="str">
        <f t="shared" si="81"/>
        <v>79. Andorra</v>
      </c>
    </row>
    <row r="2567" spans="1:5" x14ac:dyDescent="0.25">
      <c r="A2567" t="s">
        <v>12</v>
      </c>
      <c r="B2567" t="s">
        <v>409</v>
      </c>
      <c r="C2567" s="56">
        <v>0.1</v>
      </c>
      <c r="D2567">
        <f t="shared" si="80"/>
        <v>80</v>
      </c>
      <c r="E2567" t="str">
        <f t="shared" si="81"/>
        <v>80. Angola</v>
      </c>
    </row>
    <row r="2568" spans="1:5" x14ac:dyDescent="0.25">
      <c r="A2568" t="s">
        <v>22</v>
      </c>
      <c r="B2568" t="s">
        <v>409</v>
      </c>
      <c r="C2568" s="56">
        <v>0.1</v>
      </c>
      <c r="D2568">
        <f t="shared" si="80"/>
        <v>81</v>
      </c>
      <c r="E2568" t="str">
        <f t="shared" si="81"/>
        <v>81. Azerbaijan</v>
      </c>
    </row>
    <row r="2569" spans="1:5" x14ac:dyDescent="0.25">
      <c r="A2569" t="s">
        <v>47</v>
      </c>
      <c r="B2569" t="s">
        <v>409</v>
      </c>
      <c r="C2569" s="56">
        <v>0.1</v>
      </c>
      <c r="D2569">
        <f t="shared" si="80"/>
        <v>82</v>
      </c>
      <c r="E2569" t="str">
        <f t="shared" si="81"/>
        <v>82. Cote d'Ivoire</v>
      </c>
    </row>
    <row r="2570" spans="1:5" x14ac:dyDescent="0.25">
      <c r="A2570" t="s">
        <v>58</v>
      </c>
      <c r="B2570" t="s">
        <v>409</v>
      </c>
      <c r="C2570" s="56">
        <v>0.1</v>
      </c>
      <c r="D2570">
        <f t="shared" si="80"/>
        <v>83</v>
      </c>
      <c r="E2570" t="str">
        <f t="shared" si="81"/>
        <v>83. Cyprus</v>
      </c>
    </row>
    <row r="2571" spans="1:5" x14ac:dyDescent="0.25">
      <c r="A2571" t="s">
        <v>61</v>
      </c>
      <c r="B2571" t="s">
        <v>409</v>
      </c>
      <c r="C2571" s="56">
        <v>0.1</v>
      </c>
      <c r="D2571">
        <f t="shared" si="80"/>
        <v>84</v>
      </c>
      <c r="E2571" t="str">
        <f t="shared" si="81"/>
        <v>84. Djibouti</v>
      </c>
    </row>
    <row r="2572" spans="1:5" x14ac:dyDescent="0.25">
      <c r="A2572" t="s">
        <v>66</v>
      </c>
      <c r="B2572" t="s">
        <v>409</v>
      </c>
      <c r="C2572" s="56">
        <v>0.1</v>
      </c>
      <c r="D2572">
        <f t="shared" si="80"/>
        <v>85</v>
      </c>
      <c r="E2572" t="str">
        <f t="shared" si="81"/>
        <v>85. Ecuador</v>
      </c>
    </row>
    <row r="2573" spans="1:5" x14ac:dyDescent="0.25">
      <c r="A2573" t="s">
        <v>91</v>
      </c>
      <c r="B2573" t="s">
        <v>409</v>
      </c>
      <c r="C2573" s="56">
        <v>0.1</v>
      </c>
      <c r="D2573">
        <f t="shared" si="80"/>
        <v>86</v>
      </c>
      <c r="E2573" t="str">
        <f t="shared" si="81"/>
        <v>86. Honduras</v>
      </c>
    </row>
    <row r="2574" spans="1:5" x14ac:dyDescent="0.25">
      <c r="A2574" t="s">
        <v>108</v>
      </c>
      <c r="B2574" t="s">
        <v>409</v>
      </c>
      <c r="C2574" s="56">
        <v>0.1</v>
      </c>
      <c r="D2574">
        <f t="shared" si="80"/>
        <v>87</v>
      </c>
      <c r="E2574" t="str">
        <f t="shared" si="81"/>
        <v>87. Kenya</v>
      </c>
    </row>
    <row r="2575" spans="1:5" x14ac:dyDescent="0.25">
      <c r="A2575" t="s">
        <v>114</v>
      </c>
      <c r="B2575" t="s">
        <v>409</v>
      </c>
      <c r="C2575" s="56">
        <v>0.1</v>
      </c>
      <c r="D2575">
        <f t="shared" si="80"/>
        <v>88</v>
      </c>
      <c r="E2575" t="str">
        <f t="shared" si="81"/>
        <v>88. Kuwait</v>
      </c>
    </row>
    <row r="2576" spans="1:5" x14ac:dyDescent="0.25">
      <c r="A2576" t="s">
        <v>116</v>
      </c>
      <c r="B2576" t="s">
        <v>409</v>
      </c>
      <c r="C2576" s="56">
        <v>0.1</v>
      </c>
      <c r="D2576">
        <f t="shared" si="80"/>
        <v>89</v>
      </c>
      <c r="E2576" t="str">
        <f t="shared" si="81"/>
        <v>89. Lebanon</v>
      </c>
    </row>
    <row r="2577" spans="1:5" x14ac:dyDescent="0.25">
      <c r="A2577" t="s">
        <v>149</v>
      </c>
      <c r="B2577" t="s">
        <v>409</v>
      </c>
      <c r="C2577" s="56">
        <v>0.1</v>
      </c>
      <c r="D2577">
        <f t="shared" si="80"/>
        <v>90</v>
      </c>
      <c r="E2577" t="str">
        <f t="shared" si="81"/>
        <v>90. Nigeria</v>
      </c>
    </row>
    <row r="2578" spans="1:5" x14ac:dyDescent="0.25">
      <c r="A2578" t="s">
        <v>121</v>
      </c>
      <c r="B2578" t="s">
        <v>409</v>
      </c>
      <c r="C2578" s="56">
        <v>0.1</v>
      </c>
      <c r="D2578">
        <f t="shared" si="80"/>
        <v>91</v>
      </c>
      <c r="E2578" t="str">
        <f t="shared" si="81"/>
        <v>91. Sri Lanka</v>
      </c>
    </row>
    <row r="2579" spans="1:5" x14ac:dyDescent="0.25">
      <c r="A2579" t="s">
        <v>201</v>
      </c>
      <c r="B2579" t="s">
        <v>409</v>
      </c>
      <c r="C2579" s="56">
        <v>0.1</v>
      </c>
      <c r="D2579">
        <f t="shared" si="80"/>
        <v>92</v>
      </c>
      <c r="E2579" t="str">
        <f t="shared" si="81"/>
        <v>92. Trinidad and Tobago</v>
      </c>
    </row>
    <row r="2580" spans="1:5" x14ac:dyDescent="0.25">
      <c r="A2580" t="s">
        <v>13</v>
      </c>
      <c r="B2580" t="s">
        <v>409</v>
      </c>
      <c r="C2580" s="56">
        <v>0</v>
      </c>
      <c r="D2580">
        <f t="shared" si="80"/>
        <v>93</v>
      </c>
      <c r="E2580" t="str">
        <f t="shared" si="81"/>
        <v>93. Albania</v>
      </c>
    </row>
    <row r="2581" spans="1:5" x14ac:dyDescent="0.25">
      <c r="A2581" t="s">
        <v>10</v>
      </c>
      <c r="B2581" t="s">
        <v>409</v>
      </c>
      <c r="C2581" s="56">
        <v>0</v>
      </c>
      <c r="D2581">
        <f t="shared" si="80"/>
        <v>94</v>
      </c>
      <c r="E2581" t="str">
        <f t="shared" si="81"/>
        <v>94. Aruba</v>
      </c>
    </row>
    <row r="2582" spans="1:5" x14ac:dyDescent="0.25">
      <c r="A2582" t="s">
        <v>30</v>
      </c>
      <c r="B2582" t="s">
        <v>409</v>
      </c>
      <c r="C2582" s="56">
        <v>0</v>
      </c>
      <c r="D2582">
        <f t="shared" si="80"/>
        <v>95</v>
      </c>
      <c r="E2582" t="str">
        <f t="shared" si="81"/>
        <v>95. Bahamas, The</v>
      </c>
    </row>
    <row r="2583" spans="1:5" x14ac:dyDescent="0.25">
      <c r="A2583" t="s">
        <v>29</v>
      </c>
      <c r="B2583" t="s">
        <v>409</v>
      </c>
      <c r="C2583" s="56">
        <v>0</v>
      </c>
      <c r="D2583">
        <f t="shared" si="80"/>
        <v>96</v>
      </c>
      <c r="E2583" t="str">
        <f t="shared" si="81"/>
        <v>96. Bahrain</v>
      </c>
    </row>
    <row r="2584" spans="1:5" x14ac:dyDescent="0.25">
      <c r="A2584" t="s">
        <v>37</v>
      </c>
      <c r="B2584" t="s">
        <v>409</v>
      </c>
      <c r="C2584" s="56">
        <v>0</v>
      </c>
      <c r="D2584">
        <f t="shared" si="80"/>
        <v>97</v>
      </c>
      <c r="E2584" t="str">
        <f t="shared" si="81"/>
        <v>97. Barbados</v>
      </c>
    </row>
    <row r="2585" spans="1:5" x14ac:dyDescent="0.25">
      <c r="A2585" t="s">
        <v>25</v>
      </c>
      <c r="B2585" t="s">
        <v>409</v>
      </c>
      <c r="C2585" s="56">
        <v>0</v>
      </c>
      <c r="D2585">
        <f t="shared" si="80"/>
        <v>98</v>
      </c>
      <c r="E2585" t="str">
        <f t="shared" si="81"/>
        <v>98. Benin</v>
      </c>
    </row>
    <row r="2586" spans="1:5" x14ac:dyDescent="0.25">
      <c r="A2586" t="s">
        <v>34</v>
      </c>
      <c r="B2586" t="s">
        <v>409</v>
      </c>
      <c r="C2586" s="56">
        <v>0</v>
      </c>
      <c r="D2586">
        <f t="shared" si="80"/>
        <v>99</v>
      </c>
      <c r="E2586" t="str">
        <f t="shared" si="81"/>
        <v>99. Bermuda</v>
      </c>
    </row>
    <row r="2587" spans="1:5" x14ac:dyDescent="0.25">
      <c r="A2587" t="s">
        <v>35</v>
      </c>
      <c r="B2587" t="s">
        <v>409</v>
      </c>
      <c r="C2587" s="56">
        <v>0</v>
      </c>
      <c r="D2587">
        <f t="shared" si="80"/>
        <v>100</v>
      </c>
      <c r="E2587" t="str">
        <f t="shared" si="81"/>
        <v>100. Bolivia</v>
      </c>
    </row>
    <row r="2588" spans="1:5" x14ac:dyDescent="0.25">
      <c r="A2588" t="s">
        <v>40</v>
      </c>
      <c r="B2588" t="s">
        <v>409</v>
      </c>
      <c r="C2588" s="56">
        <v>0</v>
      </c>
      <c r="D2588">
        <f t="shared" si="80"/>
        <v>101</v>
      </c>
      <c r="E2588" t="str">
        <f t="shared" si="81"/>
        <v>101. Botswana</v>
      </c>
    </row>
    <row r="2589" spans="1:5" x14ac:dyDescent="0.25">
      <c r="A2589" t="s">
        <v>38</v>
      </c>
      <c r="B2589" t="s">
        <v>409</v>
      </c>
      <c r="C2589" s="56">
        <v>0</v>
      </c>
      <c r="D2589">
        <f t="shared" si="80"/>
        <v>102</v>
      </c>
      <c r="E2589" t="str">
        <f t="shared" si="81"/>
        <v>102. Brunei Darussalam</v>
      </c>
    </row>
    <row r="2590" spans="1:5" x14ac:dyDescent="0.25">
      <c r="A2590" t="s">
        <v>26</v>
      </c>
      <c r="B2590" t="s">
        <v>409</v>
      </c>
      <c r="C2590" s="56">
        <v>0</v>
      </c>
      <c r="D2590">
        <f t="shared" si="80"/>
        <v>103</v>
      </c>
      <c r="E2590" t="str">
        <f t="shared" si="81"/>
        <v>103. Burkina Faso</v>
      </c>
    </row>
    <row r="2591" spans="1:5" x14ac:dyDescent="0.25">
      <c r="A2591" t="s">
        <v>53</v>
      </c>
      <c r="B2591" t="s">
        <v>409</v>
      </c>
      <c r="C2591" s="56">
        <v>0</v>
      </c>
      <c r="D2591">
        <f t="shared" si="80"/>
        <v>104</v>
      </c>
      <c r="E2591" t="str">
        <f t="shared" si="81"/>
        <v>104. Cabo Verde</v>
      </c>
    </row>
    <row r="2592" spans="1:5" x14ac:dyDescent="0.25">
      <c r="A2592" t="s">
        <v>57</v>
      </c>
      <c r="B2592" t="s">
        <v>409</v>
      </c>
      <c r="C2592" s="56">
        <v>0</v>
      </c>
      <c r="D2592">
        <f t="shared" si="80"/>
        <v>105</v>
      </c>
      <c r="E2592" t="str">
        <f t="shared" si="81"/>
        <v>105. Cayman Islands</v>
      </c>
    </row>
    <row r="2593" spans="1:5" x14ac:dyDescent="0.25">
      <c r="A2593" t="s">
        <v>41</v>
      </c>
      <c r="B2593" t="s">
        <v>409</v>
      </c>
      <c r="C2593" s="56">
        <v>0</v>
      </c>
      <c r="D2593">
        <f t="shared" si="80"/>
        <v>106</v>
      </c>
      <c r="E2593" t="str">
        <f t="shared" si="81"/>
        <v>106. Central African Republic</v>
      </c>
    </row>
    <row r="2594" spans="1:5" x14ac:dyDescent="0.25">
      <c r="A2594" t="s">
        <v>49</v>
      </c>
      <c r="B2594" t="s">
        <v>409</v>
      </c>
      <c r="C2594" s="56">
        <v>0</v>
      </c>
      <c r="D2594">
        <f t="shared" si="80"/>
        <v>107</v>
      </c>
      <c r="E2594" t="str">
        <f t="shared" si="81"/>
        <v>107. Congo, Dem. Rep.</v>
      </c>
    </row>
    <row r="2595" spans="1:5" x14ac:dyDescent="0.25">
      <c r="A2595" t="s">
        <v>62</v>
      </c>
      <c r="B2595" t="s">
        <v>409</v>
      </c>
      <c r="C2595" s="56">
        <v>0</v>
      </c>
      <c r="D2595">
        <f t="shared" si="80"/>
        <v>108</v>
      </c>
      <c r="E2595" t="str">
        <f t="shared" si="81"/>
        <v>108. Dominica</v>
      </c>
    </row>
    <row r="2596" spans="1:5" x14ac:dyDescent="0.25">
      <c r="A2596" t="s">
        <v>189</v>
      </c>
      <c r="B2596" t="s">
        <v>409</v>
      </c>
      <c r="C2596" s="56">
        <v>0</v>
      </c>
      <c r="D2596">
        <f t="shared" si="80"/>
        <v>109</v>
      </c>
      <c r="E2596" t="str">
        <f t="shared" si="81"/>
        <v>109. Eswatini</v>
      </c>
    </row>
    <row r="2597" spans="1:5" x14ac:dyDescent="0.25">
      <c r="A2597" t="s">
        <v>70</v>
      </c>
      <c r="B2597" t="s">
        <v>409</v>
      </c>
      <c r="C2597" s="56">
        <v>0</v>
      </c>
      <c r="D2597">
        <f t="shared" si="80"/>
        <v>110</v>
      </c>
      <c r="E2597" t="str">
        <f t="shared" si="81"/>
        <v>110. Ethiopia</v>
      </c>
    </row>
    <row r="2598" spans="1:5" x14ac:dyDescent="0.25">
      <c r="A2598" t="s">
        <v>72</v>
      </c>
      <c r="B2598" t="s">
        <v>409</v>
      </c>
      <c r="C2598" s="56">
        <v>0</v>
      </c>
      <c r="D2598">
        <f t="shared" si="80"/>
        <v>111</v>
      </c>
      <c r="E2598" t="str">
        <f t="shared" si="81"/>
        <v>111. Fiji</v>
      </c>
    </row>
    <row r="2599" spans="1:5" x14ac:dyDescent="0.25">
      <c r="A2599" t="s">
        <v>168</v>
      </c>
      <c r="B2599" t="s">
        <v>409</v>
      </c>
      <c r="C2599" s="56">
        <v>0</v>
      </c>
      <c r="D2599">
        <f t="shared" si="80"/>
        <v>112</v>
      </c>
      <c r="E2599" t="str">
        <f t="shared" si="81"/>
        <v>112. French Polynesia</v>
      </c>
    </row>
    <row r="2600" spans="1:5" x14ac:dyDescent="0.25">
      <c r="A2600" t="s">
        <v>76</v>
      </c>
      <c r="B2600" t="s">
        <v>409</v>
      </c>
      <c r="C2600" s="56">
        <v>0</v>
      </c>
      <c r="D2600">
        <f t="shared" si="80"/>
        <v>113</v>
      </c>
      <c r="E2600" t="str">
        <f t="shared" si="81"/>
        <v>113. Gabon</v>
      </c>
    </row>
    <row r="2601" spans="1:5" x14ac:dyDescent="0.25">
      <c r="A2601" t="s">
        <v>81</v>
      </c>
      <c r="B2601" t="s">
        <v>409</v>
      </c>
      <c r="C2601" s="56">
        <v>0</v>
      </c>
      <c r="D2601">
        <f t="shared" si="80"/>
        <v>114</v>
      </c>
      <c r="E2601" t="str">
        <f t="shared" si="81"/>
        <v>114. Gambia, The</v>
      </c>
    </row>
    <row r="2602" spans="1:5" x14ac:dyDescent="0.25">
      <c r="A2602" t="s">
        <v>78</v>
      </c>
      <c r="B2602" t="s">
        <v>409</v>
      </c>
      <c r="C2602" s="56">
        <v>0</v>
      </c>
      <c r="D2602">
        <f t="shared" si="80"/>
        <v>115</v>
      </c>
      <c r="E2602" t="str">
        <f t="shared" si="81"/>
        <v>115. Georgia</v>
      </c>
    </row>
    <row r="2603" spans="1:5" x14ac:dyDescent="0.25">
      <c r="A2603" t="s">
        <v>79</v>
      </c>
      <c r="B2603" t="s">
        <v>409</v>
      </c>
      <c r="C2603" s="56">
        <v>0</v>
      </c>
      <c r="D2603">
        <f t="shared" si="80"/>
        <v>116</v>
      </c>
      <c r="E2603" t="str">
        <f t="shared" si="81"/>
        <v>116. Ghana</v>
      </c>
    </row>
    <row r="2604" spans="1:5" x14ac:dyDescent="0.25">
      <c r="A2604" t="s">
        <v>85</v>
      </c>
      <c r="B2604" t="s">
        <v>409</v>
      </c>
      <c r="C2604" s="56">
        <v>0</v>
      </c>
      <c r="D2604">
        <f t="shared" si="80"/>
        <v>117</v>
      </c>
      <c r="E2604" t="str">
        <f t="shared" si="81"/>
        <v>117. Grenada</v>
      </c>
    </row>
    <row r="2605" spans="1:5" x14ac:dyDescent="0.25">
      <c r="A2605" t="s">
        <v>89</v>
      </c>
      <c r="B2605" t="s">
        <v>409</v>
      </c>
      <c r="C2605" s="56">
        <v>0</v>
      </c>
      <c r="D2605">
        <f t="shared" si="80"/>
        <v>118</v>
      </c>
      <c r="E2605" t="str">
        <f t="shared" si="81"/>
        <v>118. Guyana</v>
      </c>
    </row>
    <row r="2606" spans="1:5" x14ac:dyDescent="0.25">
      <c r="A2606" t="s">
        <v>104</v>
      </c>
      <c r="B2606" t="s">
        <v>409</v>
      </c>
      <c r="C2606" s="56">
        <v>0</v>
      </c>
      <c r="D2606">
        <f t="shared" si="80"/>
        <v>119</v>
      </c>
      <c r="E2606" t="str">
        <f t="shared" si="81"/>
        <v>119. Jamaica</v>
      </c>
    </row>
    <row r="2607" spans="1:5" x14ac:dyDescent="0.25">
      <c r="A2607" t="s">
        <v>122</v>
      </c>
      <c r="B2607" t="s">
        <v>409</v>
      </c>
      <c r="C2607" s="56">
        <v>0</v>
      </c>
      <c r="D2607">
        <f t="shared" si="80"/>
        <v>120</v>
      </c>
      <c r="E2607" t="str">
        <f t="shared" si="81"/>
        <v>120. Lesotho</v>
      </c>
    </row>
    <row r="2608" spans="1:5" x14ac:dyDescent="0.25">
      <c r="A2608" t="s">
        <v>117</v>
      </c>
      <c r="B2608" t="s">
        <v>409</v>
      </c>
      <c r="C2608" s="56">
        <v>0</v>
      </c>
      <c r="D2608">
        <f t="shared" si="80"/>
        <v>121</v>
      </c>
      <c r="E2608" t="str">
        <f t="shared" si="81"/>
        <v>121. Liberia</v>
      </c>
    </row>
    <row r="2609" spans="1:5" x14ac:dyDescent="0.25">
      <c r="A2609" t="s">
        <v>130</v>
      </c>
      <c r="B2609" t="s">
        <v>409</v>
      </c>
      <c r="C2609" s="56">
        <v>0</v>
      </c>
      <c r="D2609">
        <f t="shared" si="80"/>
        <v>122</v>
      </c>
      <c r="E2609" t="str">
        <f t="shared" si="81"/>
        <v>122. Madagascar</v>
      </c>
    </row>
    <row r="2610" spans="1:5" x14ac:dyDescent="0.25">
      <c r="A2610" t="s">
        <v>144</v>
      </c>
      <c r="B2610" t="s">
        <v>409</v>
      </c>
      <c r="C2610" s="56">
        <v>0</v>
      </c>
      <c r="D2610">
        <f t="shared" si="80"/>
        <v>123</v>
      </c>
      <c r="E2610" t="str">
        <f t="shared" si="81"/>
        <v>123. Malawi</v>
      </c>
    </row>
    <row r="2611" spans="1:5" x14ac:dyDescent="0.25">
      <c r="A2611" t="s">
        <v>131</v>
      </c>
      <c r="B2611" t="s">
        <v>409</v>
      </c>
      <c r="C2611" s="56">
        <v>0</v>
      </c>
      <c r="D2611">
        <f t="shared" si="80"/>
        <v>124</v>
      </c>
      <c r="E2611" t="str">
        <f t="shared" si="81"/>
        <v>124. Maldives</v>
      </c>
    </row>
    <row r="2612" spans="1:5" x14ac:dyDescent="0.25">
      <c r="A2612" t="s">
        <v>142</v>
      </c>
      <c r="B2612" t="s">
        <v>409</v>
      </c>
      <c r="C2612" s="56">
        <v>0</v>
      </c>
      <c r="D2612">
        <f t="shared" si="80"/>
        <v>125</v>
      </c>
      <c r="E2612" t="str">
        <f t="shared" si="81"/>
        <v>125. Mauritania</v>
      </c>
    </row>
    <row r="2613" spans="1:5" x14ac:dyDescent="0.25">
      <c r="A2613" t="s">
        <v>143</v>
      </c>
      <c r="B2613" t="s">
        <v>409</v>
      </c>
      <c r="C2613" s="56">
        <v>0</v>
      </c>
      <c r="D2613">
        <f t="shared" si="80"/>
        <v>126</v>
      </c>
      <c r="E2613" t="str">
        <f t="shared" si="81"/>
        <v>126. Mauritius</v>
      </c>
    </row>
    <row r="2614" spans="1:5" x14ac:dyDescent="0.25">
      <c r="A2614" t="s">
        <v>129</v>
      </c>
      <c r="B2614" t="s">
        <v>409</v>
      </c>
      <c r="C2614" s="56">
        <v>0</v>
      </c>
      <c r="D2614">
        <f t="shared" si="80"/>
        <v>127</v>
      </c>
      <c r="E2614" t="str">
        <f t="shared" si="81"/>
        <v>127. Moldova</v>
      </c>
    </row>
    <row r="2615" spans="1:5" x14ac:dyDescent="0.25">
      <c r="A2615" t="s">
        <v>138</v>
      </c>
      <c r="B2615" t="s">
        <v>409</v>
      </c>
      <c r="C2615" s="56">
        <v>0</v>
      </c>
      <c r="D2615">
        <f t="shared" si="80"/>
        <v>128</v>
      </c>
      <c r="E2615" t="str">
        <f t="shared" si="81"/>
        <v>128. Montenegro</v>
      </c>
    </row>
    <row r="2616" spans="1:5" x14ac:dyDescent="0.25">
      <c r="A2616" t="s">
        <v>141</v>
      </c>
      <c r="B2616" t="s">
        <v>409</v>
      </c>
      <c r="C2616" s="56">
        <v>0</v>
      </c>
      <c r="D2616">
        <f t="shared" si="80"/>
        <v>129</v>
      </c>
      <c r="E2616" t="str">
        <f t="shared" si="81"/>
        <v>129. Mozambique</v>
      </c>
    </row>
    <row r="2617" spans="1:5" x14ac:dyDescent="0.25">
      <c r="A2617" t="s">
        <v>146</v>
      </c>
      <c r="B2617" t="s">
        <v>409</v>
      </c>
      <c r="C2617" s="56">
        <v>0</v>
      </c>
      <c r="D2617">
        <f t="shared" si="80"/>
        <v>130</v>
      </c>
      <c r="E2617" t="str">
        <f t="shared" si="81"/>
        <v>130. Namibia</v>
      </c>
    </row>
    <row r="2618" spans="1:5" x14ac:dyDescent="0.25">
      <c r="A2618" t="s">
        <v>150</v>
      </c>
      <c r="B2618" t="s">
        <v>409</v>
      </c>
      <c r="C2618" s="56">
        <v>0</v>
      </c>
      <c r="D2618">
        <f t="shared" si="80"/>
        <v>131</v>
      </c>
      <c r="E2618" t="str">
        <f t="shared" si="81"/>
        <v>131. Nicaragua</v>
      </c>
    </row>
    <row r="2619" spans="1:5" x14ac:dyDescent="0.25">
      <c r="A2619" t="s">
        <v>148</v>
      </c>
      <c r="B2619" t="s">
        <v>409</v>
      </c>
      <c r="C2619" s="56">
        <v>0</v>
      </c>
      <c r="D2619">
        <f t="shared" si="80"/>
        <v>132</v>
      </c>
      <c r="E2619" t="str">
        <f t="shared" si="81"/>
        <v>132. Niger</v>
      </c>
    </row>
    <row r="2620" spans="1:5" x14ac:dyDescent="0.25">
      <c r="A2620" t="s">
        <v>158</v>
      </c>
      <c r="B2620" t="s">
        <v>409</v>
      </c>
      <c r="C2620" s="56">
        <v>0</v>
      </c>
      <c r="D2620">
        <f t="shared" si="80"/>
        <v>133</v>
      </c>
      <c r="E2620" t="str">
        <f t="shared" si="81"/>
        <v>133. Panama</v>
      </c>
    </row>
    <row r="2621" spans="1:5" x14ac:dyDescent="0.25">
      <c r="A2621" t="s">
        <v>215</v>
      </c>
      <c r="B2621" t="s">
        <v>409</v>
      </c>
      <c r="C2621" s="56">
        <v>0</v>
      </c>
      <c r="D2621">
        <f t="shared" si="80"/>
        <v>134</v>
      </c>
      <c r="E2621" t="str">
        <f t="shared" si="81"/>
        <v>134. Samoa</v>
      </c>
    </row>
    <row r="2622" spans="1:5" x14ac:dyDescent="0.25">
      <c r="A2622" t="s">
        <v>184</v>
      </c>
      <c r="B2622" t="s">
        <v>409</v>
      </c>
      <c r="C2622" s="56">
        <v>0</v>
      </c>
      <c r="D2622">
        <f t="shared" si="80"/>
        <v>135</v>
      </c>
      <c r="E2622" t="str">
        <f t="shared" si="81"/>
        <v>135. Sao Tome and Principe</v>
      </c>
    </row>
    <row r="2623" spans="1:5" x14ac:dyDescent="0.25">
      <c r="A2623" t="s">
        <v>175</v>
      </c>
      <c r="B2623" t="s">
        <v>409</v>
      </c>
      <c r="C2623" s="56">
        <v>0</v>
      </c>
      <c r="D2623">
        <f t="shared" si="80"/>
        <v>136</v>
      </c>
      <c r="E2623" t="str">
        <f t="shared" si="81"/>
        <v>136. Senegal</v>
      </c>
    </row>
    <row r="2624" spans="1:5" x14ac:dyDescent="0.25">
      <c r="A2624" t="s">
        <v>191</v>
      </c>
      <c r="B2624" t="s">
        <v>409</v>
      </c>
      <c r="C2624" s="56">
        <v>0</v>
      </c>
      <c r="D2624">
        <f t="shared" si="80"/>
        <v>137</v>
      </c>
      <c r="E2624" t="str">
        <f t="shared" si="81"/>
        <v>137. Seychelles</v>
      </c>
    </row>
    <row r="2625" spans="1:5" x14ac:dyDescent="0.25">
      <c r="A2625" t="s">
        <v>211</v>
      </c>
      <c r="B2625" t="s">
        <v>409</v>
      </c>
      <c r="C2625" s="56">
        <v>0</v>
      </c>
      <c r="D2625">
        <f t="shared" si="80"/>
        <v>138</v>
      </c>
      <c r="E2625" t="str">
        <f t="shared" si="81"/>
        <v>138. St. Vincent and the Grenadines</v>
      </c>
    </row>
    <row r="2626" spans="1:5" x14ac:dyDescent="0.25">
      <c r="A2626" t="s">
        <v>185</v>
      </c>
      <c r="B2626" t="s">
        <v>409</v>
      </c>
      <c r="C2626" s="56">
        <v>0</v>
      </c>
      <c r="D2626">
        <f t="shared" si="80"/>
        <v>139</v>
      </c>
      <c r="E2626" t="str">
        <f t="shared" si="81"/>
        <v>139. Suriname</v>
      </c>
    </row>
    <row r="2627" spans="1:5" x14ac:dyDescent="0.25">
      <c r="A2627" t="s">
        <v>205</v>
      </c>
      <c r="B2627" t="s">
        <v>409</v>
      </c>
      <c r="C2627" s="56">
        <v>0</v>
      </c>
      <c r="D2627">
        <f t="shared" ref="D2627:D2690" si="82">IF(ROW() = 2, 1, IF(B2627 = B2626, D2626 + 1, 1))</f>
        <v>140</v>
      </c>
      <c r="E2627" t="str">
        <f t="shared" ref="E2627:E2690" si="83">_xlfn.CONCAT(D2627, ". ", A2627)</f>
        <v>140. Tanzania</v>
      </c>
    </row>
    <row r="2628" spans="1:5" x14ac:dyDescent="0.25">
      <c r="A2628" t="s">
        <v>195</v>
      </c>
      <c r="B2628" t="s">
        <v>409</v>
      </c>
      <c r="C2628" s="56">
        <v>0</v>
      </c>
      <c r="D2628">
        <f t="shared" si="82"/>
        <v>141</v>
      </c>
      <c r="E2628" t="str">
        <f t="shared" si="83"/>
        <v>141. Togo</v>
      </c>
    </row>
    <row r="2629" spans="1:5" x14ac:dyDescent="0.25">
      <c r="A2629" t="s">
        <v>206</v>
      </c>
      <c r="B2629" t="s">
        <v>409</v>
      </c>
      <c r="C2629" s="56">
        <v>0</v>
      </c>
      <c r="D2629">
        <f t="shared" si="82"/>
        <v>142</v>
      </c>
      <c r="E2629" t="str">
        <f t="shared" si="83"/>
        <v>142. Uganda</v>
      </c>
    </row>
    <row r="2630" spans="1:5" x14ac:dyDescent="0.25">
      <c r="A2630" t="s">
        <v>167</v>
      </c>
      <c r="B2630" t="s">
        <v>409</v>
      </c>
      <c r="C2630" s="56">
        <v>0</v>
      </c>
      <c r="D2630">
        <f t="shared" si="82"/>
        <v>143</v>
      </c>
      <c r="E2630" t="str">
        <f t="shared" si="83"/>
        <v>143. West Bank and Gaza</v>
      </c>
    </row>
    <row r="2631" spans="1:5" x14ac:dyDescent="0.25">
      <c r="A2631" t="s">
        <v>219</v>
      </c>
      <c r="B2631" t="s">
        <v>409</v>
      </c>
      <c r="C2631" s="56">
        <v>0</v>
      </c>
      <c r="D2631">
        <f t="shared" si="82"/>
        <v>144</v>
      </c>
      <c r="E2631" t="str">
        <f t="shared" si="83"/>
        <v>144. Zambia</v>
      </c>
    </row>
    <row r="2632" spans="1:5" x14ac:dyDescent="0.25">
      <c r="A2632" t="s">
        <v>220</v>
      </c>
      <c r="B2632" t="s">
        <v>409</v>
      </c>
      <c r="C2632" s="56">
        <v>0</v>
      </c>
      <c r="D2632">
        <f t="shared" si="82"/>
        <v>145</v>
      </c>
      <c r="E2632" t="str">
        <f t="shared" si="83"/>
        <v>145. Zimbabwe</v>
      </c>
    </row>
    <row r="2633" spans="1:5" x14ac:dyDescent="0.25">
      <c r="A2633" t="s">
        <v>16</v>
      </c>
      <c r="B2633" t="s">
        <v>346</v>
      </c>
      <c r="C2633">
        <v>219.9</v>
      </c>
      <c r="D2633">
        <f t="shared" si="82"/>
        <v>1</v>
      </c>
      <c r="E2633" t="str">
        <f t="shared" si="83"/>
        <v>1. Argentina</v>
      </c>
    </row>
    <row r="2634" spans="1:5" x14ac:dyDescent="0.25">
      <c r="A2634" t="s">
        <v>183</v>
      </c>
      <c r="B2634" t="s">
        <v>346</v>
      </c>
      <c r="C2634">
        <v>91.4</v>
      </c>
      <c r="D2634">
        <f t="shared" si="82"/>
        <v>2</v>
      </c>
      <c r="E2634" t="str">
        <f t="shared" si="83"/>
        <v>2. South Sudan</v>
      </c>
    </row>
    <row r="2635" spans="1:5" x14ac:dyDescent="0.25">
      <c r="A2635" t="s">
        <v>203</v>
      </c>
      <c r="B2635" t="s">
        <v>346</v>
      </c>
      <c r="C2635">
        <v>58.5</v>
      </c>
      <c r="D2635">
        <f t="shared" si="82"/>
        <v>3</v>
      </c>
      <c r="E2635" t="str">
        <f t="shared" si="83"/>
        <v>3. Turkiye</v>
      </c>
    </row>
    <row r="2636" spans="1:5" x14ac:dyDescent="0.25">
      <c r="A2636" t="s">
        <v>167</v>
      </c>
      <c r="B2636" t="s">
        <v>346</v>
      </c>
      <c r="C2636">
        <v>53.7</v>
      </c>
      <c r="D2636">
        <f t="shared" si="82"/>
        <v>4</v>
      </c>
      <c r="E2636" t="str">
        <f t="shared" si="83"/>
        <v>4. West Bank and Gaza</v>
      </c>
    </row>
    <row r="2637" spans="1:5" x14ac:dyDescent="0.25">
      <c r="A2637" t="s">
        <v>116</v>
      </c>
      <c r="B2637" t="s">
        <v>346</v>
      </c>
      <c r="C2637">
        <v>45.2</v>
      </c>
      <c r="D2637">
        <f t="shared" si="82"/>
        <v>5</v>
      </c>
      <c r="E2637" t="str">
        <f t="shared" si="83"/>
        <v>5. Lebanon</v>
      </c>
    </row>
    <row r="2638" spans="1:5" x14ac:dyDescent="0.25">
      <c r="A2638" t="s">
        <v>149</v>
      </c>
      <c r="B2638" t="s">
        <v>346</v>
      </c>
      <c r="C2638">
        <v>33.200000000000003</v>
      </c>
      <c r="D2638">
        <f t="shared" si="82"/>
        <v>6</v>
      </c>
      <c r="E2638" t="str">
        <f t="shared" si="83"/>
        <v>6. Nigeria</v>
      </c>
    </row>
    <row r="2639" spans="1:5" x14ac:dyDescent="0.25">
      <c r="A2639" t="s">
        <v>99</v>
      </c>
      <c r="B2639" t="s">
        <v>346</v>
      </c>
      <c r="C2639">
        <v>32.5</v>
      </c>
      <c r="D2639">
        <f t="shared" si="82"/>
        <v>7</v>
      </c>
      <c r="E2639" t="str">
        <f t="shared" si="83"/>
        <v>7. Iran, Islamic Rep.</v>
      </c>
    </row>
    <row r="2640" spans="1:5" x14ac:dyDescent="0.25">
      <c r="A2640" t="s">
        <v>144</v>
      </c>
      <c r="B2640" t="s">
        <v>346</v>
      </c>
      <c r="C2640">
        <v>32.200000000000003</v>
      </c>
      <c r="D2640">
        <f t="shared" si="82"/>
        <v>8</v>
      </c>
      <c r="E2640" t="str">
        <f t="shared" si="83"/>
        <v>8. Malawi</v>
      </c>
    </row>
    <row r="2641" spans="1:5" x14ac:dyDescent="0.25">
      <c r="A2641" t="s">
        <v>178</v>
      </c>
      <c r="B2641" t="s">
        <v>346</v>
      </c>
      <c r="C2641">
        <v>28.6</v>
      </c>
      <c r="D2641">
        <f t="shared" si="82"/>
        <v>9</v>
      </c>
      <c r="E2641" t="str">
        <f t="shared" si="83"/>
        <v>9. Sierra Leone</v>
      </c>
    </row>
    <row r="2642" spans="1:5" x14ac:dyDescent="0.25">
      <c r="A2642" t="s">
        <v>67</v>
      </c>
      <c r="B2642" t="s">
        <v>346</v>
      </c>
      <c r="C2642">
        <v>28.3</v>
      </c>
      <c r="D2642">
        <f t="shared" si="82"/>
        <v>10</v>
      </c>
      <c r="E2642" t="str">
        <f t="shared" si="83"/>
        <v>10. Egypt, Arab Rep.</v>
      </c>
    </row>
    <row r="2643" spans="1:5" x14ac:dyDescent="0.25">
      <c r="A2643" t="s">
        <v>12</v>
      </c>
      <c r="B2643" t="s">
        <v>346</v>
      </c>
      <c r="C2643">
        <v>28.2</v>
      </c>
      <c r="D2643">
        <f t="shared" si="82"/>
        <v>11</v>
      </c>
      <c r="E2643" t="str">
        <f t="shared" si="83"/>
        <v>11. Angola</v>
      </c>
    </row>
    <row r="2644" spans="1:5" x14ac:dyDescent="0.25">
      <c r="A2644" t="s">
        <v>93</v>
      </c>
      <c r="B2644" t="s">
        <v>346</v>
      </c>
      <c r="C2644">
        <v>26.9</v>
      </c>
      <c r="D2644">
        <f t="shared" si="82"/>
        <v>12</v>
      </c>
      <c r="E2644" t="str">
        <f t="shared" si="83"/>
        <v>12. Haiti</v>
      </c>
    </row>
    <row r="2645" spans="1:5" x14ac:dyDescent="0.25">
      <c r="A2645" t="s">
        <v>115</v>
      </c>
      <c r="B2645" t="s">
        <v>346</v>
      </c>
      <c r="C2645">
        <v>23.1</v>
      </c>
      <c r="D2645">
        <f t="shared" si="82"/>
        <v>13</v>
      </c>
      <c r="E2645" t="str">
        <f t="shared" si="83"/>
        <v>13. Lao PDR</v>
      </c>
    </row>
    <row r="2646" spans="1:5" x14ac:dyDescent="0.25">
      <c r="A2646" t="s">
        <v>79</v>
      </c>
      <c r="B2646" t="s">
        <v>346</v>
      </c>
      <c r="C2646">
        <v>22.8</v>
      </c>
      <c r="D2646">
        <f t="shared" si="82"/>
        <v>14</v>
      </c>
      <c r="E2646" t="str">
        <f t="shared" si="83"/>
        <v>14. Ghana</v>
      </c>
    </row>
    <row r="2647" spans="1:5" x14ac:dyDescent="0.25">
      <c r="A2647" t="s">
        <v>70</v>
      </c>
      <c r="B2647" t="s">
        <v>346</v>
      </c>
      <c r="C2647">
        <v>21</v>
      </c>
      <c r="D2647">
        <f t="shared" si="82"/>
        <v>15</v>
      </c>
      <c r="E2647" t="str">
        <f t="shared" si="83"/>
        <v>15. Ethiopia</v>
      </c>
    </row>
    <row r="2648" spans="1:5" x14ac:dyDescent="0.25">
      <c r="A2648" t="s">
        <v>23</v>
      </c>
      <c r="B2648" t="s">
        <v>346</v>
      </c>
      <c r="C2648">
        <v>20.2</v>
      </c>
      <c r="D2648">
        <f t="shared" si="82"/>
        <v>16</v>
      </c>
      <c r="E2648" t="str">
        <f t="shared" si="83"/>
        <v>16. Burundi</v>
      </c>
    </row>
    <row r="2649" spans="1:5" x14ac:dyDescent="0.25">
      <c r="A2649" t="s">
        <v>185</v>
      </c>
      <c r="B2649" t="s">
        <v>346</v>
      </c>
      <c r="C2649">
        <v>16.2</v>
      </c>
      <c r="D2649">
        <f t="shared" si="82"/>
        <v>17</v>
      </c>
      <c r="E2649" t="str">
        <f t="shared" si="83"/>
        <v>17. Suriname</v>
      </c>
    </row>
    <row r="2650" spans="1:5" x14ac:dyDescent="0.25">
      <c r="A2650" t="s">
        <v>219</v>
      </c>
      <c r="B2650" t="s">
        <v>346</v>
      </c>
      <c r="C2650">
        <v>15</v>
      </c>
      <c r="D2650">
        <f t="shared" si="82"/>
        <v>18</v>
      </c>
      <c r="E2650" t="str">
        <f t="shared" si="83"/>
        <v>18. Zambia</v>
      </c>
    </row>
    <row r="2651" spans="1:5" x14ac:dyDescent="0.25">
      <c r="A2651" t="s">
        <v>184</v>
      </c>
      <c r="B2651" t="s">
        <v>346</v>
      </c>
      <c r="C2651">
        <v>14.4</v>
      </c>
      <c r="D2651">
        <f t="shared" si="82"/>
        <v>19</v>
      </c>
      <c r="E2651" t="str">
        <f t="shared" si="83"/>
        <v>19. Sao Tome and Principe</v>
      </c>
    </row>
    <row r="2652" spans="1:5" x14ac:dyDescent="0.25">
      <c r="A2652" t="s">
        <v>157</v>
      </c>
      <c r="B2652" t="s">
        <v>346</v>
      </c>
      <c r="C2652">
        <v>12.6</v>
      </c>
      <c r="D2652">
        <f t="shared" si="82"/>
        <v>20</v>
      </c>
      <c r="E2652" t="str">
        <f t="shared" si="83"/>
        <v>20. Pakistan</v>
      </c>
    </row>
    <row r="2653" spans="1:5" x14ac:dyDescent="0.25">
      <c r="A2653" t="s">
        <v>81</v>
      </c>
      <c r="B2653" t="s">
        <v>346</v>
      </c>
      <c r="C2653">
        <v>11.6</v>
      </c>
      <c r="D2653">
        <f t="shared" si="82"/>
        <v>21</v>
      </c>
      <c r="E2653" t="str">
        <f t="shared" si="83"/>
        <v>21. Gambia, The</v>
      </c>
    </row>
    <row r="2654" spans="1:5" x14ac:dyDescent="0.25">
      <c r="A2654" t="s">
        <v>27</v>
      </c>
      <c r="B2654" t="s">
        <v>346</v>
      </c>
      <c r="C2654">
        <v>10.5</v>
      </c>
      <c r="D2654">
        <f t="shared" si="82"/>
        <v>22</v>
      </c>
      <c r="E2654" t="str">
        <f t="shared" si="83"/>
        <v>22. Bangladesh</v>
      </c>
    </row>
    <row r="2655" spans="1:5" x14ac:dyDescent="0.25">
      <c r="A2655" t="s">
        <v>210</v>
      </c>
      <c r="B2655" t="s">
        <v>346</v>
      </c>
      <c r="C2655">
        <v>9.6</v>
      </c>
      <c r="D2655">
        <f t="shared" si="82"/>
        <v>23</v>
      </c>
      <c r="E2655" t="str">
        <f t="shared" si="83"/>
        <v>23. Uzbekistan</v>
      </c>
    </row>
    <row r="2656" spans="1:5" x14ac:dyDescent="0.25">
      <c r="A2656" t="s">
        <v>148</v>
      </c>
      <c r="B2656" t="s">
        <v>346</v>
      </c>
      <c r="C2656">
        <v>9.1</v>
      </c>
      <c r="D2656">
        <f t="shared" si="82"/>
        <v>24</v>
      </c>
      <c r="E2656" t="str">
        <f t="shared" si="83"/>
        <v>24. Niger</v>
      </c>
    </row>
    <row r="2657" spans="1:5" x14ac:dyDescent="0.25">
      <c r="A2657" t="s">
        <v>194</v>
      </c>
      <c r="B2657" t="s">
        <v>346</v>
      </c>
      <c r="C2657">
        <v>8.9</v>
      </c>
      <c r="D2657">
        <f t="shared" si="82"/>
        <v>25</v>
      </c>
      <c r="E2657" t="str">
        <f t="shared" si="83"/>
        <v>25. Chad</v>
      </c>
    </row>
    <row r="2658" spans="1:5" x14ac:dyDescent="0.25">
      <c r="A2658" t="s">
        <v>107</v>
      </c>
      <c r="B2658" t="s">
        <v>346</v>
      </c>
      <c r="C2658">
        <v>8.8000000000000007</v>
      </c>
      <c r="D2658">
        <f t="shared" si="82"/>
        <v>26</v>
      </c>
      <c r="E2658" t="str">
        <f t="shared" si="83"/>
        <v>26. Kazakhstan</v>
      </c>
    </row>
    <row r="2659" spans="1:5" x14ac:dyDescent="0.25">
      <c r="A2659" t="s">
        <v>117</v>
      </c>
      <c r="B2659" t="s">
        <v>346</v>
      </c>
      <c r="C2659">
        <v>8.1999999999999993</v>
      </c>
      <c r="D2659">
        <f t="shared" si="82"/>
        <v>27</v>
      </c>
      <c r="E2659" t="str">
        <f t="shared" si="83"/>
        <v>27. Liberia</v>
      </c>
    </row>
    <row r="2660" spans="1:5" x14ac:dyDescent="0.25">
      <c r="A2660" t="s">
        <v>80</v>
      </c>
      <c r="B2660" t="s">
        <v>346</v>
      </c>
      <c r="C2660">
        <v>8.1</v>
      </c>
      <c r="D2660">
        <f t="shared" si="82"/>
        <v>28</v>
      </c>
      <c r="E2660" t="str">
        <f t="shared" si="83"/>
        <v>28. Guinea</v>
      </c>
    </row>
    <row r="2661" spans="1:5" x14ac:dyDescent="0.25">
      <c r="A2661" t="s">
        <v>202</v>
      </c>
      <c r="B2661" t="s">
        <v>346</v>
      </c>
      <c r="C2661">
        <v>7.2</v>
      </c>
      <c r="D2661">
        <f t="shared" si="82"/>
        <v>29</v>
      </c>
      <c r="E2661" t="str">
        <f t="shared" si="83"/>
        <v>29. Tunisia</v>
      </c>
    </row>
    <row r="2662" spans="1:5" x14ac:dyDescent="0.25">
      <c r="A2662" t="s">
        <v>51</v>
      </c>
      <c r="B2662" t="s">
        <v>346</v>
      </c>
      <c r="C2662">
        <v>6.6</v>
      </c>
      <c r="D2662">
        <f t="shared" si="82"/>
        <v>30</v>
      </c>
      <c r="E2662" t="str">
        <f t="shared" si="83"/>
        <v>30. Colombia</v>
      </c>
    </row>
    <row r="2663" spans="1:5" x14ac:dyDescent="0.25">
      <c r="A2663" t="s">
        <v>207</v>
      </c>
      <c r="B2663" t="s">
        <v>346</v>
      </c>
      <c r="C2663">
        <v>6.5</v>
      </c>
      <c r="D2663">
        <f t="shared" si="82"/>
        <v>31</v>
      </c>
      <c r="E2663" t="str">
        <f t="shared" si="83"/>
        <v>31. Ukraine</v>
      </c>
    </row>
    <row r="2664" spans="1:5" x14ac:dyDescent="0.25">
      <c r="A2664" t="s">
        <v>19</v>
      </c>
      <c r="B2664" t="s">
        <v>346</v>
      </c>
      <c r="C2664">
        <v>6.2</v>
      </c>
      <c r="D2664">
        <f t="shared" si="82"/>
        <v>32</v>
      </c>
      <c r="E2664" t="str">
        <f t="shared" si="83"/>
        <v>32. Antigua and Barbuda</v>
      </c>
    </row>
    <row r="2665" spans="1:5" x14ac:dyDescent="0.25">
      <c r="A2665" t="s">
        <v>139</v>
      </c>
      <c r="B2665" t="s">
        <v>346</v>
      </c>
      <c r="C2665">
        <v>6.2</v>
      </c>
      <c r="D2665">
        <f t="shared" si="82"/>
        <v>33</v>
      </c>
      <c r="E2665" t="str">
        <f t="shared" si="83"/>
        <v>33. Mongolia</v>
      </c>
    </row>
    <row r="2666" spans="1:5" x14ac:dyDescent="0.25">
      <c r="A2666" t="s">
        <v>122</v>
      </c>
      <c r="B2666" t="s">
        <v>346</v>
      </c>
      <c r="C2666">
        <v>6.1</v>
      </c>
      <c r="D2666">
        <f t="shared" si="82"/>
        <v>34</v>
      </c>
      <c r="E2666" t="str">
        <f t="shared" si="83"/>
        <v>34. Lesotho</v>
      </c>
    </row>
    <row r="2667" spans="1:5" x14ac:dyDescent="0.25">
      <c r="A2667" t="s">
        <v>101</v>
      </c>
      <c r="B2667" t="s">
        <v>346</v>
      </c>
      <c r="C2667">
        <v>5.9</v>
      </c>
      <c r="D2667">
        <f t="shared" si="82"/>
        <v>35</v>
      </c>
      <c r="E2667" t="str">
        <f t="shared" si="83"/>
        <v>35. Iceland</v>
      </c>
    </row>
    <row r="2668" spans="1:5" x14ac:dyDescent="0.25">
      <c r="A2668" t="s">
        <v>32</v>
      </c>
      <c r="B2668" t="s">
        <v>346</v>
      </c>
      <c r="C2668">
        <v>5.8</v>
      </c>
      <c r="D2668">
        <f t="shared" si="82"/>
        <v>36</v>
      </c>
      <c r="E2668" t="str">
        <f t="shared" si="83"/>
        <v>36. Belarus</v>
      </c>
    </row>
    <row r="2669" spans="1:5" x14ac:dyDescent="0.25">
      <c r="A2669" t="s">
        <v>170</v>
      </c>
      <c r="B2669" t="s">
        <v>346</v>
      </c>
      <c r="C2669">
        <v>5.7</v>
      </c>
      <c r="D2669">
        <f t="shared" si="82"/>
        <v>37</v>
      </c>
      <c r="E2669" t="str">
        <f t="shared" si="83"/>
        <v>37. Romania</v>
      </c>
    </row>
    <row r="2670" spans="1:5" x14ac:dyDescent="0.25">
      <c r="A2670" t="s">
        <v>104</v>
      </c>
      <c r="B2670" t="s">
        <v>346</v>
      </c>
      <c r="C2670">
        <v>5.4</v>
      </c>
      <c r="D2670">
        <f t="shared" si="82"/>
        <v>38</v>
      </c>
      <c r="E2670" t="str">
        <f t="shared" si="83"/>
        <v>38. Jamaica</v>
      </c>
    </row>
    <row r="2671" spans="1:5" x14ac:dyDescent="0.25">
      <c r="A2671" t="s">
        <v>35</v>
      </c>
      <c r="B2671" t="s">
        <v>346</v>
      </c>
      <c r="C2671">
        <v>5.0999999999999996</v>
      </c>
      <c r="D2671">
        <f t="shared" si="82"/>
        <v>39</v>
      </c>
      <c r="E2671" t="str">
        <f t="shared" si="83"/>
        <v>39. Bolivia</v>
      </c>
    </row>
    <row r="2672" spans="1:5" x14ac:dyDescent="0.25">
      <c r="A2672" t="s">
        <v>97</v>
      </c>
      <c r="B2672" t="s">
        <v>346</v>
      </c>
      <c r="C2672">
        <v>5</v>
      </c>
      <c r="D2672">
        <f t="shared" si="82"/>
        <v>40</v>
      </c>
      <c r="E2672" t="str">
        <f t="shared" si="83"/>
        <v>40. India</v>
      </c>
    </row>
    <row r="2673" spans="1:5" x14ac:dyDescent="0.25">
      <c r="A2673" t="s">
        <v>208</v>
      </c>
      <c r="B2673" t="s">
        <v>346</v>
      </c>
      <c r="C2673">
        <v>4.8</v>
      </c>
      <c r="D2673">
        <f t="shared" si="82"/>
        <v>41</v>
      </c>
      <c r="E2673" t="str">
        <f t="shared" si="83"/>
        <v>41. Uruguay</v>
      </c>
    </row>
    <row r="2674" spans="1:5" x14ac:dyDescent="0.25">
      <c r="A2674" t="s">
        <v>132</v>
      </c>
      <c r="B2674" t="s">
        <v>346</v>
      </c>
      <c r="C2674">
        <v>4.7</v>
      </c>
      <c r="D2674">
        <f t="shared" si="82"/>
        <v>42</v>
      </c>
      <c r="E2674" t="str">
        <f t="shared" si="83"/>
        <v>42. Mexico</v>
      </c>
    </row>
    <row r="2675" spans="1:5" x14ac:dyDescent="0.25">
      <c r="A2675" t="s">
        <v>129</v>
      </c>
      <c r="B2675" t="s">
        <v>346</v>
      </c>
      <c r="C2675">
        <v>4.7</v>
      </c>
      <c r="D2675">
        <f t="shared" si="82"/>
        <v>43</v>
      </c>
      <c r="E2675" t="str">
        <f t="shared" si="83"/>
        <v>43. Moldova</v>
      </c>
    </row>
    <row r="2676" spans="1:5" x14ac:dyDescent="0.25">
      <c r="A2676" t="s">
        <v>182</v>
      </c>
      <c r="B2676" t="s">
        <v>346</v>
      </c>
      <c r="C2676">
        <v>4.7</v>
      </c>
      <c r="D2676">
        <f t="shared" si="82"/>
        <v>44</v>
      </c>
      <c r="E2676" t="str">
        <f t="shared" si="83"/>
        <v>44. Serbia</v>
      </c>
    </row>
    <row r="2677" spans="1:5" x14ac:dyDescent="0.25">
      <c r="A2677" t="s">
        <v>91</v>
      </c>
      <c r="B2677" t="s">
        <v>346</v>
      </c>
      <c r="C2677">
        <v>4.5999999999999996</v>
      </c>
      <c r="D2677">
        <f t="shared" si="82"/>
        <v>45</v>
      </c>
      <c r="E2677" t="str">
        <f t="shared" si="83"/>
        <v>45. Honduras</v>
      </c>
    </row>
    <row r="2678" spans="1:5" x14ac:dyDescent="0.25">
      <c r="A2678" t="s">
        <v>150</v>
      </c>
      <c r="B2678" t="s">
        <v>346</v>
      </c>
      <c r="C2678">
        <v>4.5999999999999996</v>
      </c>
      <c r="D2678">
        <f t="shared" si="82"/>
        <v>46</v>
      </c>
      <c r="E2678" t="str">
        <f t="shared" si="83"/>
        <v>46. Nicaragua</v>
      </c>
    </row>
    <row r="2679" spans="1:5" x14ac:dyDescent="0.25">
      <c r="A2679" t="s">
        <v>48</v>
      </c>
      <c r="B2679" t="s">
        <v>346</v>
      </c>
      <c r="C2679">
        <v>4.5</v>
      </c>
      <c r="D2679">
        <f t="shared" si="82"/>
        <v>47</v>
      </c>
      <c r="E2679" t="str">
        <f t="shared" si="83"/>
        <v>47. Cameroon</v>
      </c>
    </row>
    <row r="2680" spans="1:5" x14ac:dyDescent="0.25">
      <c r="A2680" t="s">
        <v>72</v>
      </c>
      <c r="B2680" t="s">
        <v>346</v>
      </c>
      <c r="C2680">
        <v>4.5</v>
      </c>
      <c r="D2680">
        <f t="shared" si="82"/>
        <v>48</v>
      </c>
      <c r="E2680" t="str">
        <f t="shared" si="83"/>
        <v>48. Fiji</v>
      </c>
    </row>
    <row r="2681" spans="1:5" x14ac:dyDescent="0.25">
      <c r="A2681" t="s">
        <v>108</v>
      </c>
      <c r="B2681" t="s">
        <v>346</v>
      </c>
      <c r="C2681">
        <v>4.5</v>
      </c>
      <c r="D2681">
        <f t="shared" si="82"/>
        <v>49</v>
      </c>
      <c r="E2681" t="str">
        <f t="shared" si="83"/>
        <v>49. Kenya</v>
      </c>
    </row>
    <row r="2682" spans="1:5" x14ac:dyDescent="0.25">
      <c r="A2682" t="s">
        <v>36</v>
      </c>
      <c r="B2682" t="s">
        <v>346</v>
      </c>
      <c r="C2682">
        <v>4.4000000000000004</v>
      </c>
      <c r="D2682">
        <f t="shared" si="82"/>
        <v>50</v>
      </c>
      <c r="E2682" t="str">
        <f t="shared" si="83"/>
        <v>50. Brazil</v>
      </c>
    </row>
    <row r="2683" spans="1:5" x14ac:dyDescent="0.25">
      <c r="A2683" t="s">
        <v>218</v>
      </c>
      <c r="B2683" t="s">
        <v>346</v>
      </c>
      <c r="C2683">
        <v>4.4000000000000004</v>
      </c>
      <c r="D2683">
        <f t="shared" si="82"/>
        <v>51</v>
      </c>
      <c r="E2683" t="str">
        <f t="shared" si="83"/>
        <v>51. South Africa</v>
      </c>
    </row>
    <row r="2684" spans="1:5" x14ac:dyDescent="0.25">
      <c r="A2684" t="s">
        <v>45</v>
      </c>
      <c r="B2684" t="s">
        <v>346</v>
      </c>
      <c r="C2684">
        <v>4.3</v>
      </c>
      <c r="D2684">
        <f t="shared" si="82"/>
        <v>52</v>
      </c>
      <c r="E2684" t="str">
        <f t="shared" si="83"/>
        <v>52. Chile</v>
      </c>
    </row>
    <row r="2685" spans="1:5" x14ac:dyDescent="0.25">
      <c r="A2685" t="s">
        <v>177</v>
      </c>
      <c r="B2685" t="s">
        <v>346</v>
      </c>
      <c r="C2685">
        <v>4.3</v>
      </c>
      <c r="D2685">
        <f t="shared" si="82"/>
        <v>53</v>
      </c>
      <c r="E2685" t="str">
        <f t="shared" si="83"/>
        <v>53. Solomon Islands</v>
      </c>
    </row>
    <row r="2686" spans="1:5" x14ac:dyDescent="0.25">
      <c r="A2686" t="s">
        <v>26</v>
      </c>
      <c r="B2686" t="s">
        <v>346</v>
      </c>
      <c r="C2686">
        <v>4.2</v>
      </c>
      <c r="D2686">
        <f t="shared" si="82"/>
        <v>54</v>
      </c>
      <c r="E2686" t="str">
        <f t="shared" si="83"/>
        <v>54. Burkina Faso</v>
      </c>
    </row>
    <row r="2687" spans="1:5" x14ac:dyDescent="0.25">
      <c r="A2687" t="s">
        <v>146</v>
      </c>
      <c r="B2687" t="s">
        <v>346</v>
      </c>
      <c r="C2687">
        <v>4.2</v>
      </c>
      <c r="D2687">
        <f t="shared" si="82"/>
        <v>55</v>
      </c>
      <c r="E2687" t="str">
        <f t="shared" si="83"/>
        <v>55. Namibia</v>
      </c>
    </row>
    <row r="2688" spans="1:5" x14ac:dyDescent="0.25">
      <c r="A2688" t="s">
        <v>141</v>
      </c>
      <c r="B2688" t="s">
        <v>346</v>
      </c>
      <c r="C2688">
        <v>4.0999999999999996</v>
      </c>
      <c r="D2688">
        <f t="shared" si="82"/>
        <v>56</v>
      </c>
      <c r="E2688" t="str">
        <f t="shared" si="83"/>
        <v>56. Mozambique</v>
      </c>
    </row>
    <row r="2689" spans="1:5" x14ac:dyDescent="0.25">
      <c r="A2689" t="s">
        <v>65</v>
      </c>
      <c r="B2689" t="s">
        <v>346</v>
      </c>
      <c r="C2689">
        <v>4</v>
      </c>
      <c r="D2689">
        <f t="shared" si="82"/>
        <v>57</v>
      </c>
      <c r="E2689" t="str">
        <f t="shared" si="83"/>
        <v>57. Algeria</v>
      </c>
    </row>
    <row r="2690" spans="1:5" x14ac:dyDescent="0.25">
      <c r="A2690" t="s">
        <v>82</v>
      </c>
      <c r="B2690" t="s">
        <v>346</v>
      </c>
      <c r="C2690">
        <v>3.8</v>
      </c>
      <c r="D2690">
        <f t="shared" si="82"/>
        <v>58</v>
      </c>
      <c r="E2690" t="str">
        <f t="shared" si="83"/>
        <v>58. Guinea-Bissau</v>
      </c>
    </row>
    <row r="2691" spans="1:5" x14ac:dyDescent="0.25">
      <c r="A2691" t="s">
        <v>166</v>
      </c>
      <c r="B2691" t="s">
        <v>346</v>
      </c>
      <c r="C2691">
        <v>3.8</v>
      </c>
      <c r="D2691">
        <f t="shared" ref="D2691:D2754" si="84">IF(ROW() = 2, 1, IF(B2691 = B2690, D2690 + 1, 1))</f>
        <v>59</v>
      </c>
      <c r="E2691" t="str">
        <f t="shared" ref="E2691:E2754" si="85">_xlfn.CONCAT(D2691, ". ", A2691)</f>
        <v>59. Paraguay</v>
      </c>
    </row>
    <row r="2692" spans="1:5" x14ac:dyDescent="0.25">
      <c r="A2692" t="s">
        <v>163</v>
      </c>
      <c r="B2692" t="s">
        <v>346</v>
      </c>
      <c r="C2692">
        <v>3.8</v>
      </c>
      <c r="D2692">
        <f t="shared" si="84"/>
        <v>60</v>
      </c>
      <c r="E2692" t="str">
        <f t="shared" si="85"/>
        <v>60. Poland</v>
      </c>
    </row>
    <row r="2693" spans="1:5" x14ac:dyDescent="0.25">
      <c r="A2693" t="s">
        <v>94</v>
      </c>
      <c r="B2693" t="s">
        <v>346</v>
      </c>
      <c r="C2693">
        <v>3.7</v>
      </c>
      <c r="D2693">
        <f t="shared" si="84"/>
        <v>61</v>
      </c>
      <c r="E2693" t="str">
        <f t="shared" si="85"/>
        <v>61. Hungary</v>
      </c>
    </row>
    <row r="2694" spans="1:5" x14ac:dyDescent="0.25">
      <c r="A2694" t="s">
        <v>143</v>
      </c>
      <c r="B2694" t="s">
        <v>346</v>
      </c>
      <c r="C2694">
        <v>3.6</v>
      </c>
      <c r="D2694">
        <f t="shared" si="84"/>
        <v>62</v>
      </c>
      <c r="E2694" t="str">
        <f t="shared" si="85"/>
        <v>62. Mauritius</v>
      </c>
    </row>
    <row r="2695" spans="1:5" x14ac:dyDescent="0.25">
      <c r="A2695" t="s">
        <v>211</v>
      </c>
      <c r="B2695" t="s">
        <v>346</v>
      </c>
      <c r="C2695">
        <v>3.6</v>
      </c>
      <c r="D2695">
        <f t="shared" si="84"/>
        <v>63</v>
      </c>
      <c r="E2695" t="str">
        <f t="shared" si="85"/>
        <v>63. St. Vincent and the Grenadines</v>
      </c>
    </row>
    <row r="2696" spans="1:5" x14ac:dyDescent="0.25">
      <c r="A2696" t="s">
        <v>213</v>
      </c>
      <c r="B2696" t="s">
        <v>346</v>
      </c>
      <c r="C2696">
        <v>3.6</v>
      </c>
      <c r="D2696">
        <f t="shared" si="84"/>
        <v>64</v>
      </c>
      <c r="E2696" t="str">
        <f t="shared" si="85"/>
        <v>64. Viet Nam</v>
      </c>
    </row>
    <row r="2697" spans="1:5" x14ac:dyDescent="0.25">
      <c r="A2697" t="s">
        <v>47</v>
      </c>
      <c r="B2697" t="s">
        <v>346</v>
      </c>
      <c r="C2697">
        <v>3.5</v>
      </c>
      <c r="D2697">
        <f t="shared" si="84"/>
        <v>65</v>
      </c>
      <c r="E2697" t="str">
        <f t="shared" si="85"/>
        <v>65. Cote d'Ivoire</v>
      </c>
    </row>
    <row r="2698" spans="1:5" x14ac:dyDescent="0.25">
      <c r="A2698" t="s">
        <v>69</v>
      </c>
      <c r="B2698" t="s">
        <v>346</v>
      </c>
      <c r="C2698">
        <v>3.5</v>
      </c>
      <c r="D2698">
        <f t="shared" si="84"/>
        <v>66</v>
      </c>
      <c r="E2698" t="str">
        <f t="shared" si="85"/>
        <v>66. Estonia</v>
      </c>
    </row>
    <row r="2699" spans="1:5" x14ac:dyDescent="0.25">
      <c r="A2699" t="s">
        <v>134</v>
      </c>
      <c r="B2699" t="s">
        <v>346</v>
      </c>
      <c r="C2699">
        <v>3.5</v>
      </c>
      <c r="D2699">
        <f t="shared" si="84"/>
        <v>67</v>
      </c>
      <c r="E2699" t="str">
        <f t="shared" si="85"/>
        <v>67. North Macedonia</v>
      </c>
    </row>
    <row r="2700" spans="1:5" x14ac:dyDescent="0.25">
      <c r="A2700" t="s">
        <v>33</v>
      </c>
      <c r="B2700" t="s">
        <v>346</v>
      </c>
      <c r="C2700">
        <v>3.3</v>
      </c>
      <c r="D2700">
        <f t="shared" si="84"/>
        <v>68</v>
      </c>
      <c r="E2700" t="str">
        <f t="shared" si="85"/>
        <v>68. Belize</v>
      </c>
    </row>
    <row r="2701" spans="1:5" x14ac:dyDescent="0.25">
      <c r="A2701" t="s">
        <v>64</v>
      </c>
      <c r="B2701" t="s">
        <v>346</v>
      </c>
      <c r="C2701">
        <v>3.3</v>
      </c>
      <c r="D2701">
        <f t="shared" si="84"/>
        <v>69</v>
      </c>
      <c r="E2701" t="str">
        <f t="shared" si="85"/>
        <v>69. Dominican Republic</v>
      </c>
    </row>
    <row r="2702" spans="1:5" x14ac:dyDescent="0.25">
      <c r="A2702" t="s">
        <v>138</v>
      </c>
      <c r="B2702" t="s">
        <v>346</v>
      </c>
      <c r="C2702">
        <v>3.3</v>
      </c>
      <c r="D2702">
        <f t="shared" si="84"/>
        <v>70</v>
      </c>
      <c r="E2702" t="str">
        <f t="shared" si="85"/>
        <v>70. Montenegro</v>
      </c>
    </row>
    <row r="2703" spans="1:5" x14ac:dyDescent="0.25">
      <c r="A2703" t="s">
        <v>151</v>
      </c>
      <c r="B2703" t="s">
        <v>346</v>
      </c>
      <c r="C2703">
        <v>3.3</v>
      </c>
      <c r="D2703">
        <f t="shared" si="84"/>
        <v>71</v>
      </c>
      <c r="E2703" t="str">
        <f t="shared" si="85"/>
        <v>71. Netherlands</v>
      </c>
    </row>
    <row r="2704" spans="1:5" x14ac:dyDescent="0.25">
      <c r="A2704" t="s">
        <v>206</v>
      </c>
      <c r="B2704" t="s">
        <v>346</v>
      </c>
      <c r="C2704">
        <v>3.3</v>
      </c>
      <c r="D2704">
        <f t="shared" si="84"/>
        <v>72</v>
      </c>
      <c r="E2704" t="str">
        <f t="shared" si="85"/>
        <v>72. Uganda</v>
      </c>
    </row>
    <row r="2705" spans="1:5" x14ac:dyDescent="0.25">
      <c r="A2705" t="s">
        <v>77</v>
      </c>
      <c r="B2705" t="s">
        <v>346</v>
      </c>
      <c r="C2705">
        <v>3.3</v>
      </c>
      <c r="D2705">
        <f t="shared" si="84"/>
        <v>73</v>
      </c>
      <c r="E2705" t="str">
        <f t="shared" si="85"/>
        <v>73. United Kingdom</v>
      </c>
    </row>
    <row r="2706" spans="1:5" x14ac:dyDescent="0.25">
      <c r="A2706" t="s">
        <v>20</v>
      </c>
      <c r="B2706" t="s">
        <v>346</v>
      </c>
      <c r="C2706">
        <v>3.2</v>
      </c>
      <c r="D2706">
        <f t="shared" si="84"/>
        <v>74</v>
      </c>
      <c r="E2706" t="str">
        <f t="shared" si="85"/>
        <v>74. Australia</v>
      </c>
    </row>
    <row r="2707" spans="1:5" x14ac:dyDescent="0.25">
      <c r="A2707" t="s">
        <v>135</v>
      </c>
      <c r="B2707" t="s">
        <v>346</v>
      </c>
      <c r="C2707">
        <v>3.2</v>
      </c>
      <c r="D2707">
        <f t="shared" si="84"/>
        <v>75</v>
      </c>
      <c r="E2707" t="str">
        <f t="shared" si="85"/>
        <v>75. Mali</v>
      </c>
    </row>
    <row r="2708" spans="1:5" x14ac:dyDescent="0.25">
      <c r="A2708" t="s">
        <v>160</v>
      </c>
      <c r="B2708" t="s">
        <v>346</v>
      </c>
      <c r="C2708">
        <v>3.2</v>
      </c>
      <c r="D2708">
        <f t="shared" si="84"/>
        <v>76</v>
      </c>
      <c r="E2708" t="str">
        <f t="shared" si="85"/>
        <v>76. Philippines</v>
      </c>
    </row>
    <row r="2709" spans="1:5" x14ac:dyDescent="0.25">
      <c r="A2709" t="s">
        <v>200</v>
      </c>
      <c r="B2709" t="s">
        <v>346</v>
      </c>
      <c r="C2709">
        <v>3.2</v>
      </c>
      <c r="D2709">
        <f t="shared" si="84"/>
        <v>77</v>
      </c>
      <c r="E2709" t="str">
        <f t="shared" si="85"/>
        <v>77. Tonga</v>
      </c>
    </row>
    <row r="2710" spans="1:5" x14ac:dyDescent="0.25">
      <c r="A2710" t="s">
        <v>24</v>
      </c>
      <c r="B2710" t="s">
        <v>346</v>
      </c>
      <c r="C2710">
        <v>3.1</v>
      </c>
      <c r="D2710">
        <f t="shared" si="84"/>
        <v>78</v>
      </c>
      <c r="E2710" t="str">
        <f t="shared" si="85"/>
        <v>78. Belgium</v>
      </c>
    </row>
    <row r="2711" spans="1:5" x14ac:dyDescent="0.25">
      <c r="A2711" t="s">
        <v>50</v>
      </c>
      <c r="B2711" t="s">
        <v>346</v>
      </c>
      <c r="C2711">
        <v>3.1</v>
      </c>
      <c r="D2711">
        <f t="shared" si="84"/>
        <v>79</v>
      </c>
      <c r="E2711" t="str">
        <f t="shared" si="85"/>
        <v>79. Congo, Rep.</v>
      </c>
    </row>
    <row r="2712" spans="1:5" x14ac:dyDescent="0.25">
      <c r="A2712" t="s">
        <v>102</v>
      </c>
      <c r="B2712" t="s">
        <v>346</v>
      </c>
      <c r="C2712">
        <v>3.1</v>
      </c>
      <c r="D2712">
        <f t="shared" si="84"/>
        <v>80</v>
      </c>
      <c r="E2712" t="str">
        <f t="shared" si="85"/>
        <v>80. Israel</v>
      </c>
    </row>
    <row r="2713" spans="1:5" x14ac:dyDescent="0.25">
      <c r="A2713" t="s">
        <v>152</v>
      </c>
      <c r="B2713" t="s">
        <v>346</v>
      </c>
      <c r="C2713">
        <v>3.1</v>
      </c>
      <c r="D2713">
        <f t="shared" si="84"/>
        <v>81</v>
      </c>
      <c r="E2713" t="str">
        <f t="shared" si="85"/>
        <v>81. Norway</v>
      </c>
    </row>
    <row r="2714" spans="1:5" x14ac:dyDescent="0.25">
      <c r="A2714" t="s">
        <v>205</v>
      </c>
      <c r="B2714" t="s">
        <v>346</v>
      </c>
      <c r="C2714">
        <v>3.1</v>
      </c>
      <c r="D2714">
        <f t="shared" si="84"/>
        <v>82</v>
      </c>
      <c r="E2714" t="str">
        <f t="shared" si="85"/>
        <v>82. Tanzania</v>
      </c>
    </row>
    <row r="2715" spans="1:5" x14ac:dyDescent="0.25">
      <c r="A2715" t="s">
        <v>92</v>
      </c>
      <c r="B2715" t="s">
        <v>346</v>
      </c>
      <c r="C2715">
        <v>3</v>
      </c>
      <c r="D2715">
        <f t="shared" si="84"/>
        <v>83</v>
      </c>
      <c r="E2715" t="str">
        <f t="shared" si="85"/>
        <v>83. Croatia</v>
      </c>
    </row>
    <row r="2716" spans="1:5" x14ac:dyDescent="0.25">
      <c r="A2716" t="s">
        <v>21</v>
      </c>
      <c r="B2716" t="s">
        <v>346</v>
      </c>
      <c r="C2716">
        <v>2.9</v>
      </c>
      <c r="D2716">
        <f t="shared" si="84"/>
        <v>84</v>
      </c>
      <c r="E2716" t="str">
        <f t="shared" si="85"/>
        <v>84. Austria</v>
      </c>
    </row>
    <row r="2717" spans="1:5" x14ac:dyDescent="0.25">
      <c r="A2717" t="s">
        <v>83</v>
      </c>
      <c r="B2717" t="s">
        <v>346</v>
      </c>
      <c r="C2717">
        <v>2.9</v>
      </c>
      <c r="D2717">
        <f t="shared" si="84"/>
        <v>85</v>
      </c>
      <c r="E2717" t="str">
        <f t="shared" si="85"/>
        <v>85. Equatorial Guinea</v>
      </c>
    </row>
    <row r="2718" spans="1:5" x14ac:dyDescent="0.25">
      <c r="A2718" t="s">
        <v>87</v>
      </c>
      <c r="B2718" t="s">
        <v>346</v>
      </c>
      <c r="C2718">
        <v>2.9</v>
      </c>
      <c r="D2718">
        <f t="shared" si="84"/>
        <v>86</v>
      </c>
      <c r="E2718" t="str">
        <f t="shared" si="85"/>
        <v>86. Guatemala</v>
      </c>
    </row>
    <row r="2719" spans="1:5" x14ac:dyDescent="0.25">
      <c r="A2719" t="s">
        <v>89</v>
      </c>
      <c r="B2719" t="s">
        <v>346</v>
      </c>
      <c r="C2719">
        <v>2.9</v>
      </c>
      <c r="D2719">
        <f t="shared" si="84"/>
        <v>87</v>
      </c>
      <c r="E2719" t="str">
        <f t="shared" si="85"/>
        <v>87. Guyana</v>
      </c>
    </row>
    <row r="2720" spans="1:5" x14ac:dyDescent="0.25">
      <c r="A2720" t="s">
        <v>114</v>
      </c>
      <c r="B2720" t="s">
        <v>346</v>
      </c>
      <c r="C2720">
        <v>2.9</v>
      </c>
      <c r="D2720">
        <f t="shared" si="84"/>
        <v>88</v>
      </c>
      <c r="E2720" t="str">
        <f t="shared" si="85"/>
        <v>88. Kuwait</v>
      </c>
    </row>
    <row r="2721" spans="1:5" x14ac:dyDescent="0.25">
      <c r="A2721" t="s">
        <v>155</v>
      </c>
      <c r="B2721" t="s">
        <v>346</v>
      </c>
      <c r="C2721">
        <v>2.9</v>
      </c>
      <c r="D2721">
        <f t="shared" si="84"/>
        <v>89</v>
      </c>
      <c r="E2721" t="str">
        <f t="shared" si="85"/>
        <v>89. New Zealand</v>
      </c>
    </row>
    <row r="2722" spans="1:5" x14ac:dyDescent="0.25">
      <c r="A2722" t="s">
        <v>195</v>
      </c>
      <c r="B2722" t="s">
        <v>346</v>
      </c>
      <c r="C2722">
        <v>2.9</v>
      </c>
      <c r="D2722">
        <f t="shared" si="84"/>
        <v>90</v>
      </c>
      <c r="E2722" t="str">
        <f t="shared" si="85"/>
        <v>90. Togo</v>
      </c>
    </row>
    <row r="2723" spans="1:5" x14ac:dyDescent="0.25">
      <c r="A2723" t="s">
        <v>209</v>
      </c>
      <c r="B2723" t="s">
        <v>346</v>
      </c>
      <c r="C2723">
        <v>2.9</v>
      </c>
      <c r="D2723">
        <f t="shared" si="84"/>
        <v>91</v>
      </c>
      <c r="E2723" t="str">
        <f t="shared" si="85"/>
        <v>91. United States</v>
      </c>
    </row>
    <row r="2724" spans="1:5" x14ac:dyDescent="0.25">
      <c r="A2724" t="s">
        <v>39</v>
      </c>
      <c r="B2724" t="s">
        <v>346</v>
      </c>
      <c r="C2724">
        <v>2.8</v>
      </c>
      <c r="D2724">
        <f t="shared" si="84"/>
        <v>92</v>
      </c>
      <c r="E2724" t="str">
        <f t="shared" si="85"/>
        <v>92. Bhutan</v>
      </c>
    </row>
    <row r="2725" spans="1:5" x14ac:dyDescent="0.25">
      <c r="A2725" t="s">
        <v>40</v>
      </c>
      <c r="B2725" t="s">
        <v>346</v>
      </c>
      <c r="C2725">
        <v>2.8</v>
      </c>
      <c r="D2725">
        <f t="shared" si="84"/>
        <v>93</v>
      </c>
      <c r="E2725" t="str">
        <f t="shared" si="85"/>
        <v>93. Botswana</v>
      </c>
    </row>
    <row r="2726" spans="1:5" x14ac:dyDescent="0.25">
      <c r="A2726" t="s">
        <v>186</v>
      </c>
      <c r="B2726" t="s">
        <v>346</v>
      </c>
      <c r="C2726">
        <v>2.8</v>
      </c>
      <c r="D2726">
        <f t="shared" si="84"/>
        <v>94</v>
      </c>
      <c r="E2726" t="str">
        <f t="shared" si="85"/>
        <v>94. Slovak Republic</v>
      </c>
    </row>
    <row r="2727" spans="1:5" x14ac:dyDescent="0.25">
      <c r="A2727" t="s">
        <v>68</v>
      </c>
      <c r="B2727" t="s">
        <v>346</v>
      </c>
      <c r="C2727">
        <v>2.8</v>
      </c>
      <c r="D2727">
        <f t="shared" si="84"/>
        <v>95</v>
      </c>
      <c r="E2727" t="str">
        <f t="shared" si="85"/>
        <v>95. Spain</v>
      </c>
    </row>
    <row r="2728" spans="1:5" x14ac:dyDescent="0.25">
      <c r="A2728" t="s">
        <v>188</v>
      </c>
      <c r="B2728" t="s">
        <v>346</v>
      </c>
      <c r="C2728">
        <v>2.8</v>
      </c>
      <c r="D2728">
        <f t="shared" si="84"/>
        <v>96</v>
      </c>
      <c r="E2728" t="str">
        <f t="shared" si="85"/>
        <v>96. Sweden</v>
      </c>
    </row>
    <row r="2729" spans="1:5" x14ac:dyDescent="0.25">
      <c r="A2729" t="s">
        <v>84</v>
      </c>
      <c r="B2729" t="s">
        <v>346</v>
      </c>
      <c r="C2729">
        <v>2.7</v>
      </c>
      <c r="D2729">
        <f t="shared" si="84"/>
        <v>97</v>
      </c>
      <c r="E2729" t="str">
        <f t="shared" si="85"/>
        <v>97. Greece</v>
      </c>
    </row>
    <row r="2730" spans="1:5" x14ac:dyDescent="0.25">
      <c r="A2730" t="s">
        <v>106</v>
      </c>
      <c r="B2730" t="s">
        <v>346</v>
      </c>
      <c r="C2730">
        <v>2.7</v>
      </c>
      <c r="D2730">
        <f t="shared" si="84"/>
        <v>98</v>
      </c>
      <c r="E2730" t="str">
        <f t="shared" si="85"/>
        <v>98. Japan</v>
      </c>
    </row>
    <row r="2731" spans="1:5" x14ac:dyDescent="0.25">
      <c r="A2731" t="s">
        <v>62</v>
      </c>
      <c r="B2731" t="s">
        <v>346</v>
      </c>
      <c r="C2731">
        <v>2.6</v>
      </c>
      <c r="D2731">
        <f t="shared" si="84"/>
        <v>99</v>
      </c>
      <c r="E2731" t="str">
        <f t="shared" si="85"/>
        <v>99. Dominica</v>
      </c>
    </row>
    <row r="2732" spans="1:5" x14ac:dyDescent="0.25">
      <c r="A2732" t="s">
        <v>142</v>
      </c>
      <c r="B2732" t="s">
        <v>346</v>
      </c>
      <c r="C2732">
        <v>2.5</v>
      </c>
      <c r="D2732">
        <f t="shared" si="84"/>
        <v>100</v>
      </c>
      <c r="E2732" t="str">
        <f t="shared" si="85"/>
        <v>100. Mauritania</v>
      </c>
    </row>
    <row r="2733" spans="1:5" x14ac:dyDescent="0.25">
      <c r="A2733" t="s">
        <v>28</v>
      </c>
      <c r="B2733" t="s">
        <v>346</v>
      </c>
      <c r="C2733">
        <v>2.4</v>
      </c>
      <c r="D2733">
        <f t="shared" si="84"/>
        <v>101</v>
      </c>
      <c r="E2733" t="str">
        <f t="shared" si="85"/>
        <v>101. Bulgaria</v>
      </c>
    </row>
    <row r="2734" spans="1:5" x14ac:dyDescent="0.25">
      <c r="A2734" t="s">
        <v>42</v>
      </c>
      <c r="B2734" t="s">
        <v>346</v>
      </c>
      <c r="C2734">
        <v>2.4</v>
      </c>
      <c r="D2734">
        <f t="shared" si="84"/>
        <v>102</v>
      </c>
      <c r="E2734" t="str">
        <f t="shared" si="85"/>
        <v>102. Canada</v>
      </c>
    </row>
    <row r="2735" spans="1:5" x14ac:dyDescent="0.25">
      <c r="A2735" t="s">
        <v>59</v>
      </c>
      <c r="B2735" t="s">
        <v>346</v>
      </c>
      <c r="C2735">
        <v>2.4</v>
      </c>
      <c r="D2735">
        <f t="shared" si="84"/>
        <v>103</v>
      </c>
      <c r="E2735" t="str">
        <f t="shared" si="85"/>
        <v>103. Czechia</v>
      </c>
    </row>
    <row r="2736" spans="1:5" x14ac:dyDescent="0.25">
      <c r="A2736" t="s">
        <v>165</v>
      </c>
      <c r="B2736" t="s">
        <v>346</v>
      </c>
      <c r="C2736">
        <v>2.4</v>
      </c>
      <c r="D2736">
        <f t="shared" si="84"/>
        <v>104</v>
      </c>
      <c r="E2736" t="str">
        <f t="shared" si="85"/>
        <v>104. Portugal</v>
      </c>
    </row>
    <row r="2737" spans="1:5" x14ac:dyDescent="0.25">
      <c r="A2737" t="s">
        <v>176</v>
      </c>
      <c r="B2737" t="s">
        <v>346</v>
      </c>
      <c r="C2737">
        <v>2.4</v>
      </c>
      <c r="D2737">
        <f t="shared" si="84"/>
        <v>105</v>
      </c>
      <c r="E2737" t="str">
        <f t="shared" si="85"/>
        <v>105. Singapore</v>
      </c>
    </row>
    <row r="2738" spans="1:5" x14ac:dyDescent="0.25">
      <c r="A2738" t="s">
        <v>60</v>
      </c>
      <c r="B2738" t="s">
        <v>346</v>
      </c>
      <c r="C2738">
        <v>2.2999999999999998</v>
      </c>
      <c r="D2738">
        <f t="shared" si="84"/>
        <v>106</v>
      </c>
      <c r="E2738" t="str">
        <f t="shared" si="85"/>
        <v>106. Germany</v>
      </c>
    </row>
    <row r="2739" spans="1:5" x14ac:dyDescent="0.25">
      <c r="A2739" t="s">
        <v>113</v>
      </c>
      <c r="B2739" t="s">
        <v>346</v>
      </c>
      <c r="C2739">
        <v>2.2999999999999998</v>
      </c>
      <c r="D2739">
        <f t="shared" si="84"/>
        <v>107</v>
      </c>
      <c r="E2739" t="str">
        <f t="shared" si="85"/>
        <v>107. Korea, Rep.</v>
      </c>
    </row>
    <row r="2740" spans="1:5" x14ac:dyDescent="0.25">
      <c r="A2740" t="s">
        <v>13</v>
      </c>
      <c r="B2740" t="s">
        <v>346</v>
      </c>
      <c r="C2740">
        <v>2.2000000000000002</v>
      </c>
      <c r="D2740">
        <f t="shared" si="84"/>
        <v>108</v>
      </c>
      <c r="E2740" t="str">
        <f t="shared" si="85"/>
        <v>108. Albania</v>
      </c>
    </row>
    <row r="2741" spans="1:5" x14ac:dyDescent="0.25">
      <c r="A2741" t="s">
        <v>22</v>
      </c>
      <c r="B2741" t="s">
        <v>346</v>
      </c>
      <c r="C2741">
        <v>2.2000000000000002</v>
      </c>
      <c r="D2741">
        <f t="shared" si="84"/>
        <v>109</v>
      </c>
      <c r="E2741" t="str">
        <f t="shared" si="85"/>
        <v>109. Azerbaijan</v>
      </c>
    </row>
    <row r="2742" spans="1:5" x14ac:dyDescent="0.25">
      <c r="A2742" t="s">
        <v>95</v>
      </c>
      <c r="B2742" t="s">
        <v>346</v>
      </c>
      <c r="C2742">
        <v>2.2000000000000002</v>
      </c>
      <c r="D2742">
        <f t="shared" si="84"/>
        <v>110</v>
      </c>
      <c r="E2742" t="str">
        <f t="shared" si="85"/>
        <v>110. Indonesia</v>
      </c>
    </row>
    <row r="2743" spans="1:5" x14ac:dyDescent="0.25">
      <c r="A2743" t="s">
        <v>161</v>
      </c>
      <c r="B2743" t="s">
        <v>346</v>
      </c>
      <c r="C2743">
        <v>2.2000000000000002</v>
      </c>
      <c r="D2743">
        <f t="shared" si="84"/>
        <v>111</v>
      </c>
      <c r="E2743" t="str">
        <f t="shared" si="85"/>
        <v>111. Palau</v>
      </c>
    </row>
    <row r="2744" spans="1:5" x14ac:dyDescent="0.25">
      <c r="A2744" t="s">
        <v>215</v>
      </c>
      <c r="B2744" t="s">
        <v>346</v>
      </c>
      <c r="C2744">
        <v>2.2000000000000002</v>
      </c>
      <c r="D2744">
        <f t="shared" si="84"/>
        <v>112</v>
      </c>
      <c r="E2744" t="str">
        <f t="shared" si="85"/>
        <v>112. Samoa</v>
      </c>
    </row>
    <row r="2745" spans="1:5" x14ac:dyDescent="0.25">
      <c r="A2745" t="s">
        <v>61</v>
      </c>
      <c r="B2745" t="s">
        <v>346</v>
      </c>
      <c r="C2745">
        <v>2.1</v>
      </c>
      <c r="D2745">
        <f t="shared" si="84"/>
        <v>113</v>
      </c>
      <c r="E2745" t="str">
        <f t="shared" si="85"/>
        <v>113. Djibouti</v>
      </c>
    </row>
    <row r="2746" spans="1:5" x14ac:dyDescent="0.25">
      <c r="A2746" t="s">
        <v>98</v>
      </c>
      <c r="B2746" t="s">
        <v>346</v>
      </c>
      <c r="C2746">
        <v>2.1</v>
      </c>
      <c r="D2746">
        <f t="shared" si="84"/>
        <v>114</v>
      </c>
      <c r="E2746" t="str">
        <f t="shared" si="85"/>
        <v>114. Ireland</v>
      </c>
    </row>
    <row r="2747" spans="1:5" x14ac:dyDescent="0.25">
      <c r="A2747" t="s">
        <v>118</v>
      </c>
      <c r="B2747" t="s">
        <v>346</v>
      </c>
      <c r="C2747">
        <v>2.1</v>
      </c>
      <c r="D2747">
        <f t="shared" si="84"/>
        <v>115</v>
      </c>
      <c r="E2747" t="str">
        <f t="shared" si="85"/>
        <v>115. Libya</v>
      </c>
    </row>
    <row r="2748" spans="1:5" x14ac:dyDescent="0.25">
      <c r="A2748" t="s">
        <v>124</v>
      </c>
      <c r="B2748" t="s">
        <v>346</v>
      </c>
      <c r="C2748">
        <v>2.1</v>
      </c>
      <c r="D2748">
        <f t="shared" si="84"/>
        <v>116</v>
      </c>
      <c r="E2748" t="str">
        <f t="shared" si="85"/>
        <v>116. Luxembourg</v>
      </c>
    </row>
    <row r="2749" spans="1:5" x14ac:dyDescent="0.25">
      <c r="A2749" t="s">
        <v>199</v>
      </c>
      <c r="B2749" t="s">
        <v>346</v>
      </c>
      <c r="C2749">
        <v>2.1</v>
      </c>
      <c r="D2749">
        <f t="shared" si="84"/>
        <v>117</v>
      </c>
      <c r="E2749" t="str">
        <f t="shared" si="85"/>
        <v>117. Timor-Leste</v>
      </c>
    </row>
    <row r="2750" spans="1:5" x14ac:dyDescent="0.25">
      <c r="A2750" t="s">
        <v>73</v>
      </c>
      <c r="B2750" t="s">
        <v>346</v>
      </c>
      <c r="C2750">
        <v>2</v>
      </c>
      <c r="D2750">
        <f t="shared" si="84"/>
        <v>118</v>
      </c>
      <c r="E2750" t="str">
        <f t="shared" si="85"/>
        <v>118. France</v>
      </c>
    </row>
    <row r="2751" spans="1:5" x14ac:dyDescent="0.25">
      <c r="A2751" t="s">
        <v>159</v>
      </c>
      <c r="B2751" t="s">
        <v>346</v>
      </c>
      <c r="C2751">
        <v>2</v>
      </c>
      <c r="D2751">
        <f t="shared" si="84"/>
        <v>119</v>
      </c>
      <c r="E2751" t="str">
        <f t="shared" si="85"/>
        <v>119. Peru</v>
      </c>
    </row>
    <row r="2752" spans="1:5" x14ac:dyDescent="0.25">
      <c r="A2752" t="s">
        <v>187</v>
      </c>
      <c r="B2752" t="s">
        <v>346</v>
      </c>
      <c r="C2752">
        <v>2</v>
      </c>
      <c r="D2752">
        <f t="shared" si="84"/>
        <v>120</v>
      </c>
      <c r="E2752" t="str">
        <f t="shared" si="85"/>
        <v>120. Slovenia</v>
      </c>
    </row>
    <row r="2753" spans="1:5" x14ac:dyDescent="0.25">
      <c r="A2753" t="s">
        <v>58</v>
      </c>
      <c r="B2753" t="s">
        <v>346</v>
      </c>
      <c r="C2753">
        <v>1.8</v>
      </c>
      <c r="D2753">
        <f t="shared" si="84"/>
        <v>121</v>
      </c>
      <c r="E2753" t="str">
        <f t="shared" si="85"/>
        <v>121. Cyprus</v>
      </c>
    </row>
    <row r="2754" spans="1:5" x14ac:dyDescent="0.25">
      <c r="A2754" t="s">
        <v>145</v>
      </c>
      <c r="B2754" t="s">
        <v>346</v>
      </c>
      <c r="C2754">
        <v>1.8</v>
      </c>
      <c r="D2754">
        <f t="shared" si="84"/>
        <v>122</v>
      </c>
      <c r="E2754" t="str">
        <f t="shared" si="85"/>
        <v>122. Malaysia</v>
      </c>
    </row>
    <row r="2755" spans="1:5" x14ac:dyDescent="0.25">
      <c r="A2755" t="s">
        <v>172</v>
      </c>
      <c r="B2755" t="s">
        <v>346</v>
      </c>
      <c r="C2755">
        <v>1.8</v>
      </c>
      <c r="D2755">
        <f t="shared" ref="D2755:D2818" si="86">IF(ROW() = 2, 1, IF(B2755 = B2754, D2754 + 1, 1))</f>
        <v>123</v>
      </c>
      <c r="E2755" t="str">
        <f t="shared" ref="E2755:E2818" si="87">_xlfn.CONCAT(D2755, ". ", A2755)</f>
        <v>123. Rwanda</v>
      </c>
    </row>
    <row r="2756" spans="1:5" x14ac:dyDescent="0.25">
      <c r="A2756" t="s">
        <v>31</v>
      </c>
      <c r="B2756" t="s">
        <v>346</v>
      </c>
      <c r="C2756">
        <v>1.7</v>
      </c>
      <c r="D2756">
        <f t="shared" si="86"/>
        <v>124</v>
      </c>
      <c r="E2756" t="str">
        <f t="shared" si="87"/>
        <v>124. Bosnia and Herzegovina</v>
      </c>
    </row>
    <row r="2757" spans="1:5" x14ac:dyDescent="0.25">
      <c r="A2757" t="s">
        <v>90</v>
      </c>
      <c r="B2757" t="s">
        <v>346</v>
      </c>
      <c r="C2757">
        <v>1.7</v>
      </c>
      <c r="D2757">
        <f t="shared" si="86"/>
        <v>125</v>
      </c>
      <c r="E2757" t="str">
        <f t="shared" si="87"/>
        <v>125. Hong Kong SAR, China</v>
      </c>
    </row>
    <row r="2758" spans="1:5" x14ac:dyDescent="0.25">
      <c r="A2758" t="s">
        <v>136</v>
      </c>
      <c r="B2758" t="s">
        <v>346</v>
      </c>
      <c r="C2758">
        <v>1.7</v>
      </c>
      <c r="D2758">
        <f t="shared" si="86"/>
        <v>126</v>
      </c>
      <c r="E2758" t="str">
        <f t="shared" si="87"/>
        <v>126. Malta</v>
      </c>
    </row>
    <row r="2759" spans="1:5" x14ac:dyDescent="0.25">
      <c r="A2759" t="s">
        <v>173</v>
      </c>
      <c r="B2759" t="s">
        <v>346</v>
      </c>
      <c r="C2759">
        <v>1.7</v>
      </c>
      <c r="D2759">
        <f t="shared" si="86"/>
        <v>127</v>
      </c>
      <c r="E2759" t="str">
        <f t="shared" si="87"/>
        <v>127. Saudi Arabia</v>
      </c>
    </row>
    <row r="2760" spans="1:5" x14ac:dyDescent="0.25">
      <c r="A2760" t="s">
        <v>15</v>
      </c>
      <c r="B2760" t="s">
        <v>346</v>
      </c>
      <c r="C2760">
        <v>1.7</v>
      </c>
      <c r="D2760">
        <f t="shared" si="86"/>
        <v>128</v>
      </c>
      <c r="E2760" t="str">
        <f t="shared" si="87"/>
        <v>128. United Arab Emirates</v>
      </c>
    </row>
    <row r="2761" spans="1:5" x14ac:dyDescent="0.25">
      <c r="A2761" t="s">
        <v>71</v>
      </c>
      <c r="B2761" t="s">
        <v>346</v>
      </c>
      <c r="C2761">
        <v>1.6</v>
      </c>
      <c r="D2761">
        <f t="shared" si="86"/>
        <v>129</v>
      </c>
      <c r="E2761" t="str">
        <f t="shared" si="87"/>
        <v>129. Finland</v>
      </c>
    </row>
    <row r="2762" spans="1:5" x14ac:dyDescent="0.25">
      <c r="A2762" t="s">
        <v>105</v>
      </c>
      <c r="B2762" t="s">
        <v>346</v>
      </c>
      <c r="C2762">
        <v>1.6</v>
      </c>
      <c r="D2762">
        <f t="shared" si="86"/>
        <v>130</v>
      </c>
      <c r="E2762" t="str">
        <f t="shared" si="87"/>
        <v>130. Jordan</v>
      </c>
    </row>
    <row r="2763" spans="1:5" x14ac:dyDescent="0.25">
      <c r="A2763" t="s">
        <v>216</v>
      </c>
      <c r="B2763" t="s">
        <v>346</v>
      </c>
      <c r="C2763">
        <v>1.6</v>
      </c>
      <c r="D2763">
        <f t="shared" si="86"/>
        <v>131</v>
      </c>
      <c r="E2763" t="str">
        <f t="shared" si="87"/>
        <v>131. Kosovo</v>
      </c>
    </row>
    <row r="2764" spans="1:5" x14ac:dyDescent="0.25">
      <c r="A2764" t="s">
        <v>41</v>
      </c>
      <c r="B2764" t="s">
        <v>346</v>
      </c>
      <c r="C2764">
        <v>1.5</v>
      </c>
      <c r="D2764">
        <f t="shared" si="86"/>
        <v>132</v>
      </c>
      <c r="E2764" t="str">
        <f t="shared" si="87"/>
        <v>132. Central African Republic</v>
      </c>
    </row>
    <row r="2765" spans="1:5" x14ac:dyDescent="0.25">
      <c r="A2765" t="s">
        <v>66</v>
      </c>
      <c r="B2765" t="s">
        <v>346</v>
      </c>
      <c r="C2765">
        <v>1.5</v>
      </c>
      <c r="D2765">
        <f t="shared" si="86"/>
        <v>133</v>
      </c>
      <c r="E2765" t="str">
        <f t="shared" si="87"/>
        <v>133. Ecuador</v>
      </c>
    </row>
    <row r="2766" spans="1:5" x14ac:dyDescent="0.25">
      <c r="A2766" t="s">
        <v>63</v>
      </c>
      <c r="B2766" t="s">
        <v>346</v>
      </c>
      <c r="C2766">
        <v>1.4</v>
      </c>
      <c r="D2766">
        <f t="shared" si="86"/>
        <v>134</v>
      </c>
      <c r="E2766" t="str">
        <f t="shared" si="87"/>
        <v>134. Denmark</v>
      </c>
    </row>
    <row r="2767" spans="1:5" x14ac:dyDescent="0.25">
      <c r="A2767" t="s">
        <v>131</v>
      </c>
      <c r="B2767" t="s">
        <v>346</v>
      </c>
      <c r="C2767">
        <v>1.4</v>
      </c>
      <c r="D2767">
        <f t="shared" si="86"/>
        <v>135</v>
      </c>
      <c r="E2767" t="str">
        <f t="shared" si="87"/>
        <v>135. Maldives</v>
      </c>
    </row>
    <row r="2768" spans="1:5" x14ac:dyDescent="0.25">
      <c r="A2768" t="s">
        <v>196</v>
      </c>
      <c r="B2768" t="s">
        <v>346</v>
      </c>
      <c r="C2768">
        <v>1.4</v>
      </c>
      <c r="D2768">
        <f t="shared" si="86"/>
        <v>136</v>
      </c>
      <c r="E2768" t="str">
        <f t="shared" si="87"/>
        <v>136. Thailand</v>
      </c>
    </row>
    <row r="2769" spans="1:5" x14ac:dyDescent="0.25">
      <c r="A2769" t="s">
        <v>125</v>
      </c>
      <c r="B2769" t="s">
        <v>346</v>
      </c>
      <c r="C2769">
        <v>1.3</v>
      </c>
      <c r="D2769">
        <f t="shared" si="86"/>
        <v>137</v>
      </c>
      <c r="E2769" t="str">
        <f t="shared" si="87"/>
        <v>137. Latvia</v>
      </c>
    </row>
    <row r="2770" spans="1:5" x14ac:dyDescent="0.25">
      <c r="A2770" t="s">
        <v>169</v>
      </c>
      <c r="B2770" t="s">
        <v>346</v>
      </c>
      <c r="C2770">
        <v>1.3</v>
      </c>
      <c r="D2770">
        <f t="shared" si="86"/>
        <v>138</v>
      </c>
      <c r="E2770" t="str">
        <f t="shared" si="87"/>
        <v>138. Qatar</v>
      </c>
    </row>
    <row r="2771" spans="1:5" x14ac:dyDescent="0.25">
      <c r="A2771" t="s">
        <v>25</v>
      </c>
      <c r="B2771" t="s">
        <v>346</v>
      </c>
      <c r="C2771">
        <v>1.2</v>
      </c>
      <c r="D2771">
        <f t="shared" si="86"/>
        <v>139</v>
      </c>
      <c r="E2771" t="str">
        <f t="shared" si="87"/>
        <v>139. Benin</v>
      </c>
    </row>
    <row r="2772" spans="1:5" x14ac:dyDescent="0.25">
      <c r="A2772" t="s">
        <v>76</v>
      </c>
      <c r="B2772" t="s">
        <v>346</v>
      </c>
      <c r="C2772">
        <v>1.2</v>
      </c>
      <c r="D2772">
        <f t="shared" si="86"/>
        <v>140</v>
      </c>
      <c r="E2772" t="str">
        <f t="shared" si="87"/>
        <v>140. Gabon</v>
      </c>
    </row>
    <row r="2773" spans="1:5" x14ac:dyDescent="0.25">
      <c r="A2773" t="s">
        <v>180</v>
      </c>
      <c r="B2773" t="s">
        <v>346</v>
      </c>
      <c r="C2773">
        <v>1.2</v>
      </c>
      <c r="D2773">
        <f t="shared" si="86"/>
        <v>141</v>
      </c>
      <c r="E2773" t="str">
        <f t="shared" si="87"/>
        <v>141. San Marino</v>
      </c>
    </row>
    <row r="2774" spans="1:5" x14ac:dyDescent="0.25">
      <c r="A2774" t="s">
        <v>78</v>
      </c>
      <c r="B2774" t="s">
        <v>346</v>
      </c>
      <c r="C2774">
        <v>1.1000000000000001</v>
      </c>
      <c r="D2774">
        <f t="shared" si="86"/>
        <v>142</v>
      </c>
      <c r="E2774" t="str">
        <f t="shared" si="87"/>
        <v>142. Georgia</v>
      </c>
    </row>
    <row r="2775" spans="1:5" x14ac:dyDescent="0.25">
      <c r="A2775" t="s">
        <v>85</v>
      </c>
      <c r="B2775" t="s">
        <v>346</v>
      </c>
      <c r="C2775">
        <v>1.1000000000000001</v>
      </c>
      <c r="D2775">
        <f t="shared" si="86"/>
        <v>143</v>
      </c>
      <c r="E2775" t="str">
        <f t="shared" si="87"/>
        <v>143. Grenada</v>
      </c>
    </row>
    <row r="2776" spans="1:5" x14ac:dyDescent="0.25">
      <c r="A2776" t="s">
        <v>112</v>
      </c>
      <c r="B2776" t="s">
        <v>346</v>
      </c>
      <c r="C2776">
        <v>1.1000000000000001</v>
      </c>
      <c r="D2776">
        <f t="shared" si="86"/>
        <v>144</v>
      </c>
      <c r="E2776" t="str">
        <f t="shared" si="87"/>
        <v>144. St. Kitts and Nevis</v>
      </c>
    </row>
    <row r="2777" spans="1:5" x14ac:dyDescent="0.25">
      <c r="A2777" t="s">
        <v>43</v>
      </c>
      <c r="B2777" t="s">
        <v>346</v>
      </c>
      <c r="C2777">
        <v>1.1000000000000001</v>
      </c>
      <c r="D2777">
        <f t="shared" si="86"/>
        <v>145</v>
      </c>
      <c r="E2777" t="str">
        <f t="shared" si="87"/>
        <v>145. Switzerland</v>
      </c>
    </row>
    <row r="2778" spans="1:5" x14ac:dyDescent="0.25">
      <c r="A2778" t="s">
        <v>53</v>
      </c>
      <c r="B2778" t="s">
        <v>346</v>
      </c>
      <c r="C2778">
        <v>1</v>
      </c>
      <c r="D2778">
        <f t="shared" si="86"/>
        <v>146</v>
      </c>
      <c r="E2778" t="str">
        <f t="shared" si="87"/>
        <v>146. Cabo Verde</v>
      </c>
    </row>
    <row r="2779" spans="1:5" x14ac:dyDescent="0.25">
      <c r="A2779" t="s">
        <v>103</v>
      </c>
      <c r="B2779" t="s">
        <v>346</v>
      </c>
      <c r="C2779">
        <v>1</v>
      </c>
      <c r="D2779">
        <f t="shared" si="86"/>
        <v>147</v>
      </c>
      <c r="E2779" t="str">
        <f t="shared" si="87"/>
        <v>147. Italy</v>
      </c>
    </row>
    <row r="2780" spans="1:5" x14ac:dyDescent="0.25">
      <c r="A2780" t="s">
        <v>127</v>
      </c>
      <c r="B2780" t="s">
        <v>346</v>
      </c>
      <c r="C2780">
        <v>1</v>
      </c>
      <c r="D2780">
        <f t="shared" si="86"/>
        <v>148</v>
      </c>
      <c r="E2780" t="str">
        <f t="shared" si="87"/>
        <v>148. Morocco</v>
      </c>
    </row>
    <row r="2781" spans="1:5" x14ac:dyDescent="0.25">
      <c r="A2781" t="s">
        <v>29</v>
      </c>
      <c r="B2781" t="s">
        <v>346</v>
      </c>
      <c r="C2781">
        <v>0.9</v>
      </c>
      <c r="D2781">
        <f t="shared" si="86"/>
        <v>149</v>
      </c>
      <c r="E2781" t="str">
        <f t="shared" si="87"/>
        <v>149. Bahrain</v>
      </c>
    </row>
    <row r="2782" spans="1:5" x14ac:dyDescent="0.25">
      <c r="A2782" t="s">
        <v>179</v>
      </c>
      <c r="B2782" t="s">
        <v>346</v>
      </c>
      <c r="C2782">
        <v>0.9</v>
      </c>
      <c r="D2782">
        <f t="shared" si="86"/>
        <v>150</v>
      </c>
      <c r="E2782" t="str">
        <f t="shared" si="87"/>
        <v>150. El Salvador</v>
      </c>
    </row>
    <row r="2783" spans="1:5" x14ac:dyDescent="0.25">
      <c r="A2783" t="s">
        <v>175</v>
      </c>
      <c r="B2783" t="s">
        <v>346</v>
      </c>
      <c r="C2783">
        <v>0.8</v>
      </c>
      <c r="D2783">
        <f t="shared" si="86"/>
        <v>151</v>
      </c>
      <c r="E2783" t="str">
        <f t="shared" si="87"/>
        <v>151. Senegal</v>
      </c>
    </row>
    <row r="2784" spans="1:5" x14ac:dyDescent="0.25">
      <c r="A2784" t="s">
        <v>123</v>
      </c>
      <c r="B2784" t="s">
        <v>346</v>
      </c>
      <c r="C2784">
        <v>0.7</v>
      </c>
      <c r="D2784">
        <f t="shared" si="86"/>
        <v>152</v>
      </c>
      <c r="E2784" t="str">
        <f t="shared" si="87"/>
        <v>152. Lithuania</v>
      </c>
    </row>
    <row r="2785" spans="1:5" x14ac:dyDescent="0.25">
      <c r="A2785" t="s">
        <v>158</v>
      </c>
      <c r="B2785" t="s">
        <v>346</v>
      </c>
      <c r="C2785">
        <v>0.7</v>
      </c>
      <c r="D2785">
        <f t="shared" si="86"/>
        <v>153</v>
      </c>
      <c r="E2785" t="str">
        <f t="shared" si="87"/>
        <v>153. Panama</v>
      </c>
    </row>
    <row r="2786" spans="1:5" x14ac:dyDescent="0.25">
      <c r="A2786" t="s">
        <v>156</v>
      </c>
      <c r="B2786" t="s">
        <v>346</v>
      </c>
      <c r="C2786">
        <v>0.6</v>
      </c>
      <c r="D2786">
        <f t="shared" si="86"/>
        <v>154</v>
      </c>
      <c r="E2786" t="str">
        <f t="shared" si="87"/>
        <v>154. Oman</v>
      </c>
    </row>
    <row r="2787" spans="1:5" x14ac:dyDescent="0.25">
      <c r="A2787" t="s">
        <v>162</v>
      </c>
      <c r="B2787" t="s">
        <v>346</v>
      </c>
      <c r="C2787">
        <v>0.6</v>
      </c>
      <c r="D2787">
        <f t="shared" si="86"/>
        <v>155</v>
      </c>
      <c r="E2787" t="str">
        <f t="shared" si="87"/>
        <v>155. Papua New Guinea</v>
      </c>
    </row>
    <row r="2788" spans="1:5" x14ac:dyDescent="0.25">
      <c r="A2788" t="s">
        <v>201</v>
      </c>
      <c r="B2788" t="s">
        <v>346</v>
      </c>
      <c r="C2788">
        <v>0.5</v>
      </c>
      <c r="D2788">
        <f t="shared" si="86"/>
        <v>156</v>
      </c>
      <c r="E2788" t="str">
        <f t="shared" si="87"/>
        <v>156. Trinidad and Tobago</v>
      </c>
    </row>
    <row r="2789" spans="1:5" x14ac:dyDescent="0.25">
      <c r="A2789" t="s">
        <v>30</v>
      </c>
      <c r="B2789" t="s">
        <v>346</v>
      </c>
      <c r="C2789">
        <v>0.4</v>
      </c>
      <c r="D2789">
        <f t="shared" si="86"/>
        <v>157</v>
      </c>
      <c r="E2789" t="str">
        <f t="shared" si="87"/>
        <v>157. Bahamas, The</v>
      </c>
    </row>
    <row r="2790" spans="1:5" x14ac:dyDescent="0.25">
      <c r="A2790" t="s">
        <v>17</v>
      </c>
      <c r="B2790" t="s">
        <v>346</v>
      </c>
      <c r="C2790">
        <v>0.3</v>
      </c>
      <c r="D2790">
        <f t="shared" si="86"/>
        <v>158</v>
      </c>
      <c r="E2790" t="str">
        <f t="shared" si="87"/>
        <v>158. Armenia</v>
      </c>
    </row>
    <row r="2791" spans="1:5" x14ac:dyDescent="0.25">
      <c r="A2791" t="s">
        <v>191</v>
      </c>
      <c r="B2791" t="s">
        <v>346</v>
      </c>
      <c r="C2791">
        <v>0.3</v>
      </c>
      <c r="D2791">
        <f t="shared" si="86"/>
        <v>159</v>
      </c>
      <c r="E2791" t="str">
        <f t="shared" si="87"/>
        <v>159. Seychelles</v>
      </c>
    </row>
    <row r="2792" spans="1:5" x14ac:dyDescent="0.25">
      <c r="A2792" t="s">
        <v>46</v>
      </c>
      <c r="B2792" t="s">
        <v>346</v>
      </c>
      <c r="C2792">
        <v>0.2</v>
      </c>
      <c r="D2792">
        <f t="shared" si="86"/>
        <v>160</v>
      </c>
      <c r="E2792" t="str">
        <f t="shared" si="87"/>
        <v>160. China</v>
      </c>
    </row>
    <row r="2793" spans="1:5" x14ac:dyDescent="0.25">
      <c r="A2793" t="s">
        <v>119</v>
      </c>
      <c r="B2793" t="s">
        <v>346</v>
      </c>
      <c r="C2793">
        <v>-0.1</v>
      </c>
      <c r="D2793">
        <f t="shared" si="86"/>
        <v>161</v>
      </c>
      <c r="E2793" t="str">
        <f t="shared" si="87"/>
        <v>161. St. Lucia</v>
      </c>
    </row>
    <row r="2794" spans="1:5" x14ac:dyDescent="0.25">
      <c r="A2794" t="s">
        <v>38</v>
      </c>
      <c r="B2794" t="s">
        <v>346</v>
      </c>
      <c r="C2794">
        <v>-0.4</v>
      </c>
      <c r="D2794">
        <f t="shared" si="86"/>
        <v>162</v>
      </c>
      <c r="E2794" t="str">
        <f t="shared" si="87"/>
        <v>162. Brunei Darussalam</v>
      </c>
    </row>
    <row r="2795" spans="1:5" x14ac:dyDescent="0.25">
      <c r="A2795" t="s">
        <v>54</v>
      </c>
      <c r="B2795" t="s">
        <v>346</v>
      </c>
      <c r="C2795">
        <v>-0.4</v>
      </c>
      <c r="D2795">
        <f t="shared" si="86"/>
        <v>163</v>
      </c>
      <c r="E2795" t="str">
        <f t="shared" si="87"/>
        <v>163. Costa Rica</v>
      </c>
    </row>
    <row r="2796" spans="1:5" x14ac:dyDescent="0.25">
      <c r="A2796" t="s">
        <v>121</v>
      </c>
      <c r="B2796" t="s">
        <v>346</v>
      </c>
      <c r="C2796">
        <v>-0.4</v>
      </c>
      <c r="D2796">
        <f t="shared" si="86"/>
        <v>164</v>
      </c>
      <c r="E2796" t="str">
        <f t="shared" si="87"/>
        <v>164. Sri Lanka</v>
      </c>
    </row>
    <row r="2797" spans="1:5" x14ac:dyDescent="0.25">
      <c r="A2797" t="s">
        <v>37</v>
      </c>
      <c r="B2797" t="s">
        <v>346</v>
      </c>
      <c r="C2797">
        <v>-0.5</v>
      </c>
      <c r="D2797">
        <f t="shared" si="86"/>
        <v>165</v>
      </c>
      <c r="E2797" t="str">
        <f t="shared" si="87"/>
        <v>165. Barbados</v>
      </c>
    </row>
    <row r="2798" spans="1:5" x14ac:dyDescent="0.25">
      <c r="A2798" t="s">
        <v>11</v>
      </c>
      <c r="B2798" t="s">
        <v>346</v>
      </c>
      <c r="C2798">
        <v>-6.6</v>
      </c>
      <c r="D2798">
        <f t="shared" si="86"/>
        <v>166</v>
      </c>
      <c r="E2798" t="str">
        <f t="shared" si="87"/>
        <v>166. Afghanistan</v>
      </c>
    </row>
    <row r="2799" spans="1:5" x14ac:dyDescent="0.25">
      <c r="A2799" t="s">
        <v>100</v>
      </c>
      <c r="B2799" t="s">
        <v>346</v>
      </c>
      <c r="C2799">
        <v>-12.3</v>
      </c>
      <c r="D2799">
        <f t="shared" si="86"/>
        <v>167</v>
      </c>
      <c r="E2799" t="str">
        <f t="shared" si="87"/>
        <v>167. Iraq</v>
      </c>
    </row>
    <row r="2800" spans="1:5" x14ac:dyDescent="0.25">
      <c r="A2800" t="s">
        <v>209</v>
      </c>
      <c r="B2800" t="s">
        <v>451</v>
      </c>
      <c r="C2800" s="40">
        <v>52.4</v>
      </c>
      <c r="D2800">
        <f t="shared" si="86"/>
        <v>1</v>
      </c>
      <c r="E2800" t="str">
        <f t="shared" si="87"/>
        <v>1. United States</v>
      </c>
    </row>
    <row r="2801" spans="1:5" x14ac:dyDescent="0.25">
      <c r="A2801" t="s">
        <v>60</v>
      </c>
      <c r="B2801" t="s">
        <v>451</v>
      </c>
      <c r="C2801" s="40">
        <v>16.8</v>
      </c>
      <c r="D2801">
        <f t="shared" si="86"/>
        <v>2</v>
      </c>
      <c r="E2801" t="str">
        <f t="shared" si="87"/>
        <v>2. Germany</v>
      </c>
    </row>
    <row r="2802" spans="1:5" x14ac:dyDescent="0.25">
      <c r="A2802" t="s">
        <v>173</v>
      </c>
      <c r="B2802" t="s">
        <v>451</v>
      </c>
      <c r="C2802" s="40">
        <v>13.7</v>
      </c>
      <c r="D2802">
        <f t="shared" si="86"/>
        <v>3</v>
      </c>
      <c r="E2802" t="str">
        <f t="shared" si="87"/>
        <v>3. Saudi Arabia</v>
      </c>
    </row>
    <row r="2803" spans="1:5" x14ac:dyDescent="0.25">
      <c r="A2803" t="s">
        <v>77</v>
      </c>
      <c r="B2803" t="s">
        <v>451</v>
      </c>
      <c r="C2803" s="40">
        <v>11.8</v>
      </c>
      <c r="D2803">
        <f t="shared" si="86"/>
        <v>4</v>
      </c>
      <c r="E2803" t="str">
        <f t="shared" si="87"/>
        <v>4. United Kingdom</v>
      </c>
    </row>
    <row r="2804" spans="1:5" x14ac:dyDescent="0.25">
      <c r="A2804" t="s">
        <v>73</v>
      </c>
      <c r="B2804" t="s">
        <v>451</v>
      </c>
      <c r="C2804" s="40">
        <v>9.1999999999999993</v>
      </c>
      <c r="D2804">
        <f t="shared" si="86"/>
        <v>5</v>
      </c>
      <c r="E2804" t="str">
        <f t="shared" si="87"/>
        <v>5. France</v>
      </c>
    </row>
    <row r="2805" spans="1:5" x14ac:dyDescent="0.25">
      <c r="A2805" t="s">
        <v>68</v>
      </c>
      <c r="B2805" t="s">
        <v>451</v>
      </c>
      <c r="C2805" s="40">
        <v>8.9</v>
      </c>
      <c r="D2805">
        <f t="shared" si="86"/>
        <v>6</v>
      </c>
      <c r="E2805" t="str">
        <f t="shared" si="87"/>
        <v>6. Spain</v>
      </c>
    </row>
    <row r="2806" spans="1:5" x14ac:dyDescent="0.25">
      <c r="A2806" t="s">
        <v>42</v>
      </c>
      <c r="B2806" t="s">
        <v>451</v>
      </c>
      <c r="C2806" s="40">
        <v>8.8000000000000007</v>
      </c>
      <c r="D2806">
        <f t="shared" si="86"/>
        <v>7</v>
      </c>
      <c r="E2806" t="str">
        <f t="shared" si="87"/>
        <v>7. Canada</v>
      </c>
    </row>
    <row r="2807" spans="1:5" x14ac:dyDescent="0.25">
      <c r="A2807" t="s">
        <v>15</v>
      </c>
      <c r="B2807" t="s">
        <v>451</v>
      </c>
      <c r="C2807" s="40">
        <v>8.1999999999999993</v>
      </c>
      <c r="D2807">
        <f t="shared" si="86"/>
        <v>8</v>
      </c>
      <c r="E2807" t="str">
        <f t="shared" si="87"/>
        <v>8. United Arab Emirates</v>
      </c>
    </row>
    <row r="2808" spans="1:5" x14ac:dyDescent="0.25">
      <c r="A2808" t="s">
        <v>20</v>
      </c>
      <c r="B2808" t="s">
        <v>451</v>
      </c>
      <c r="C2808" s="40">
        <v>8.1</v>
      </c>
      <c r="D2808">
        <f t="shared" si="86"/>
        <v>9</v>
      </c>
      <c r="E2808" t="str">
        <f t="shared" si="87"/>
        <v>9. Australia</v>
      </c>
    </row>
    <row r="2809" spans="1:5" x14ac:dyDescent="0.25">
      <c r="A2809" t="s">
        <v>171</v>
      </c>
      <c r="B2809" t="s">
        <v>451</v>
      </c>
      <c r="C2809" s="40">
        <v>7.6</v>
      </c>
      <c r="D2809">
        <f t="shared" si="86"/>
        <v>10</v>
      </c>
      <c r="E2809" t="str">
        <f t="shared" si="87"/>
        <v>10. Russian Federation</v>
      </c>
    </row>
    <row r="2810" spans="1:5" x14ac:dyDescent="0.25">
      <c r="A2810" t="s">
        <v>203</v>
      </c>
      <c r="B2810" t="s">
        <v>451</v>
      </c>
      <c r="C2810" s="40">
        <v>7.1</v>
      </c>
      <c r="D2810">
        <f t="shared" si="86"/>
        <v>11</v>
      </c>
      <c r="E2810" t="str">
        <f t="shared" si="87"/>
        <v>11. Turkiye</v>
      </c>
    </row>
    <row r="2811" spans="1:5" x14ac:dyDescent="0.25">
      <c r="A2811" t="s">
        <v>103</v>
      </c>
      <c r="B2811" t="s">
        <v>451</v>
      </c>
      <c r="C2811" s="40">
        <v>6.6</v>
      </c>
      <c r="D2811">
        <f t="shared" si="86"/>
        <v>12</v>
      </c>
      <c r="E2811" t="str">
        <f t="shared" si="87"/>
        <v>12. Italy</v>
      </c>
    </row>
    <row r="2812" spans="1:5" x14ac:dyDescent="0.25">
      <c r="A2812" t="s">
        <v>105</v>
      </c>
      <c r="B2812" t="s">
        <v>451</v>
      </c>
      <c r="C2812" s="40">
        <v>5.3</v>
      </c>
      <c r="D2812">
        <f t="shared" si="86"/>
        <v>13</v>
      </c>
      <c r="E2812" t="str">
        <f t="shared" si="87"/>
        <v>13. Jordan</v>
      </c>
    </row>
    <row r="2813" spans="1:5" x14ac:dyDescent="0.25">
      <c r="A2813" t="s">
        <v>207</v>
      </c>
      <c r="B2813" t="s">
        <v>451</v>
      </c>
      <c r="C2813" s="40">
        <v>5.0999999999999996</v>
      </c>
      <c r="D2813">
        <f t="shared" si="86"/>
        <v>14</v>
      </c>
      <c r="E2813" t="str">
        <f t="shared" si="87"/>
        <v>14. Ukraine</v>
      </c>
    </row>
    <row r="2814" spans="1:5" x14ac:dyDescent="0.25">
      <c r="A2814" t="s">
        <v>97</v>
      </c>
      <c r="B2814" t="s">
        <v>451</v>
      </c>
      <c r="C2814" s="40">
        <v>4.8</v>
      </c>
      <c r="D2814">
        <f t="shared" si="86"/>
        <v>15</v>
      </c>
      <c r="E2814" t="str">
        <f t="shared" si="87"/>
        <v>15. India</v>
      </c>
    </row>
    <row r="2815" spans="1:5" x14ac:dyDescent="0.25">
      <c r="A2815" t="s">
        <v>157</v>
      </c>
      <c r="B2815" t="s">
        <v>451</v>
      </c>
      <c r="C2815" s="40">
        <v>4.2</v>
      </c>
      <c r="D2815">
        <f t="shared" si="86"/>
        <v>16</v>
      </c>
      <c r="E2815" t="str">
        <f t="shared" si="87"/>
        <v>16. Pakistan</v>
      </c>
    </row>
    <row r="2816" spans="1:5" x14ac:dyDescent="0.25">
      <c r="A2816" t="s">
        <v>99</v>
      </c>
      <c r="B2816" t="s">
        <v>451</v>
      </c>
      <c r="C2816" s="40">
        <v>3.8</v>
      </c>
      <c r="D2816">
        <f t="shared" si="86"/>
        <v>17</v>
      </c>
      <c r="E2816" t="str">
        <f t="shared" si="87"/>
        <v>17. Iran, Islamic Rep.</v>
      </c>
    </row>
    <row r="2817" spans="1:5" x14ac:dyDescent="0.25">
      <c r="A2817" t="s">
        <v>145</v>
      </c>
      <c r="B2817" t="s">
        <v>451</v>
      </c>
      <c r="C2817" s="40">
        <v>3.8</v>
      </c>
      <c r="D2817">
        <f t="shared" si="86"/>
        <v>18</v>
      </c>
      <c r="E2817" t="str">
        <f t="shared" si="87"/>
        <v>18. Malaysia</v>
      </c>
    </row>
    <row r="2818" spans="1:5" x14ac:dyDescent="0.25">
      <c r="A2818" t="s">
        <v>106</v>
      </c>
      <c r="B2818" t="s">
        <v>451</v>
      </c>
      <c r="C2818" s="40">
        <v>3.4</v>
      </c>
      <c r="D2818">
        <f t="shared" si="86"/>
        <v>19</v>
      </c>
      <c r="E2818" t="str">
        <f t="shared" si="87"/>
        <v>19. Japan</v>
      </c>
    </row>
    <row r="2819" spans="1:5" x14ac:dyDescent="0.25">
      <c r="A2819" t="s">
        <v>114</v>
      </c>
      <c r="B2819" t="s">
        <v>451</v>
      </c>
      <c r="C2819" s="40">
        <v>3.3</v>
      </c>
      <c r="D2819">
        <f t="shared" ref="D2819:D2882" si="88">IF(ROW() = 2, 1, IF(B2819 = B2818, D2818 + 1, 1))</f>
        <v>20</v>
      </c>
      <c r="E2819" t="str">
        <f t="shared" ref="E2819:E2882" si="89">_xlfn.CONCAT(D2819, ". ", A2819)</f>
        <v>20. Kuwait</v>
      </c>
    </row>
    <row r="2820" spans="1:5" x14ac:dyDescent="0.25">
      <c r="A2820" t="s">
        <v>196</v>
      </c>
      <c r="B2820" t="s">
        <v>451</v>
      </c>
      <c r="C2820" s="40">
        <v>3.2</v>
      </c>
      <c r="D2820">
        <f t="shared" si="88"/>
        <v>21</v>
      </c>
      <c r="E2820" t="str">
        <f t="shared" si="89"/>
        <v>21. Thailand</v>
      </c>
    </row>
    <row r="2821" spans="1:5" x14ac:dyDescent="0.25">
      <c r="A2821" t="s">
        <v>51</v>
      </c>
      <c r="B2821" t="s">
        <v>451</v>
      </c>
      <c r="C2821" s="40">
        <v>3.1</v>
      </c>
      <c r="D2821">
        <f t="shared" si="88"/>
        <v>22</v>
      </c>
      <c r="E2821" t="str">
        <f t="shared" si="89"/>
        <v>22. Colombia</v>
      </c>
    </row>
    <row r="2822" spans="1:5" x14ac:dyDescent="0.25">
      <c r="A2822" t="s">
        <v>90</v>
      </c>
      <c r="B2822" t="s">
        <v>451</v>
      </c>
      <c r="C2822" s="40">
        <v>3.1</v>
      </c>
      <c r="D2822">
        <f t="shared" si="88"/>
        <v>23</v>
      </c>
      <c r="E2822" t="str">
        <f t="shared" si="89"/>
        <v>23. Hong Kong SAR, China</v>
      </c>
    </row>
    <row r="2823" spans="1:5" x14ac:dyDescent="0.25">
      <c r="A2823" t="s">
        <v>151</v>
      </c>
      <c r="B2823" t="s">
        <v>451</v>
      </c>
      <c r="C2823" s="40">
        <v>3</v>
      </c>
      <c r="D2823">
        <f t="shared" si="88"/>
        <v>24</v>
      </c>
      <c r="E2823" t="str">
        <f t="shared" si="89"/>
        <v>24. Netherlands</v>
      </c>
    </row>
    <row r="2824" spans="1:5" x14ac:dyDescent="0.25">
      <c r="A2824" t="s">
        <v>27</v>
      </c>
      <c r="B2824" t="s">
        <v>451</v>
      </c>
      <c r="C2824" s="40">
        <v>2.9</v>
      </c>
      <c r="D2824">
        <f t="shared" si="88"/>
        <v>25</v>
      </c>
      <c r="E2824" t="str">
        <f t="shared" si="89"/>
        <v>25. Bangladesh</v>
      </c>
    </row>
    <row r="2825" spans="1:5" x14ac:dyDescent="0.25">
      <c r="A2825" t="s">
        <v>47</v>
      </c>
      <c r="B2825" t="s">
        <v>451</v>
      </c>
      <c r="C2825" s="40">
        <v>2.9</v>
      </c>
      <c r="D2825">
        <f t="shared" si="88"/>
        <v>26</v>
      </c>
      <c r="E2825" t="str">
        <f t="shared" si="89"/>
        <v>26. Cote d'Ivoire</v>
      </c>
    </row>
    <row r="2826" spans="1:5" x14ac:dyDescent="0.25">
      <c r="A2826" t="s">
        <v>176</v>
      </c>
      <c r="B2826" t="s">
        <v>451</v>
      </c>
      <c r="C2826" s="40">
        <v>2.8</v>
      </c>
      <c r="D2826">
        <f t="shared" si="88"/>
        <v>27</v>
      </c>
      <c r="E2826" t="str">
        <f t="shared" si="89"/>
        <v>27. Singapore</v>
      </c>
    </row>
    <row r="2827" spans="1:5" x14ac:dyDescent="0.25">
      <c r="A2827" t="s">
        <v>43</v>
      </c>
      <c r="B2827" t="s">
        <v>451</v>
      </c>
      <c r="C2827" s="40">
        <v>2.8</v>
      </c>
      <c r="D2827">
        <f t="shared" si="88"/>
        <v>28</v>
      </c>
      <c r="E2827" t="str">
        <f t="shared" si="89"/>
        <v>28. Switzerland</v>
      </c>
    </row>
    <row r="2828" spans="1:5" x14ac:dyDescent="0.25">
      <c r="A2828" t="s">
        <v>218</v>
      </c>
      <c r="B2828" t="s">
        <v>451</v>
      </c>
      <c r="C2828" s="40">
        <v>2.6</v>
      </c>
      <c r="D2828">
        <f t="shared" si="88"/>
        <v>29</v>
      </c>
      <c r="E2828" t="str">
        <f t="shared" si="89"/>
        <v>29. South Africa</v>
      </c>
    </row>
    <row r="2829" spans="1:5" x14ac:dyDescent="0.25">
      <c r="A2829" t="s">
        <v>174</v>
      </c>
      <c r="B2829" t="s">
        <v>451</v>
      </c>
      <c r="C2829" s="40">
        <v>2.4</v>
      </c>
      <c r="D2829">
        <f t="shared" si="88"/>
        <v>30</v>
      </c>
      <c r="E2829" t="str">
        <f t="shared" si="89"/>
        <v>30. Sudan</v>
      </c>
    </row>
    <row r="2830" spans="1:5" x14ac:dyDescent="0.25">
      <c r="A2830" t="s">
        <v>21</v>
      </c>
      <c r="B2830" t="s">
        <v>451</v>
      </c>
      <c r="C2830" s="40">
        <v>2.2999999999999998</v>
      </c>
      <c r="D2830">
        <f t="shared" si="88"/>
        <v>31</v>
      </c>
      <c r="E2830" t="str">
        <f t="shared" si="89"/>
        <v>31. Austria</v>
      </c>
    </row>
    <row r="2831" spans="1:5" x14ac:dyDescent="0.25">
      <c r="A2831" t="s">
        <v>24</v>
      </c>
      <c r="B2831" t="s">
        <v>451</v>
      </c>
      <c r="C2831" s="40">
        <v>2.2999999999999998</v>
      </c>
      <c r="D2831">
        <f t="shared" si="88"/>
        <v>32</v>
      </c>
      <c r="E2831" t="str">
        <f t="shared" si="89"/>
        <v>32. Belgium</v>
      </c>
    </row>
    <row r="2832" spans="1:5" x14ac:dyDescent="0.25">
      <c r="A2832" t="s">
        <v>156</v>
      </c>
      <c r="B2832" t="s">
        <v>451</v>
      </c>
      <c r="C2832" s="40">
        <v>2.2999999999999998</v>
      </c>
      <c r="D2832">
        <f t="shared" si="88"/>
        <v>33</v>
      </c>
      <c r="E2832" t="str">
        <f t="shared" si="89"/>
        <v>33. Oman</v>
      </c>
    </row>
    <row r="2833" spans="1:5" x14ac:dyDescent="0.25">
      <c r="A2833" t="s">
        <v>169</v>
      </c>
      <c r="B2833" t="s">
        <v>451</v>
      </c>
      <c r="C2833" s="40">
        <v>2.2999999999999998</v>
      </c>
      <c r="D2833">
        <f t="shared" si="88"/>
        <v>34</v>
      </c>
      <c r="E2833" t="str">
        <f t="shared" si="89"/>
        <v>34. Qatar</v>
      </c>
    </row>
    <row r="2834" spans="1:5" x14ac:dyDescent="0.25">
      <c r="A2834" t="s">
        <v>188</v>
      </c>
      <c r="B2834" t="s">
        <v>451</v>
      </c>
      <c r="C2834" s="40">
        <v>2.2999999999999998</v>
      </c>
      <c r="D2834">
        <f t="shared" si="88"/>
        <v>35</v>
      </c>
      <c r="E2834" t="str">
        <f t="shared" si="89"/>
        <v>35. Sweden</v>
      </c>
    </row>
    <row r="2835" spans="1:5" x14ac:dyDescent="0.25">
      <c r="A2835" t="s">
        <v>102</v>
      </c>
      <c r="B2835" t="s">
        <v>451</v>
      </c>
      <c r="C2835" s="40">
        <v>2.1</v>
      </c>
      <c r="D2835">
        <f t="shared" si="88"/>
        <v>36</v>
      </c>
      <c r="E2835" t="str">
        <f t="shared" si="89"/>
        <v>36. Israel</v>
      </c>
    </row>
    <row r="2836" spans="1:5" x14ac:dyDescent="0.25">
      <c r="A2836" t="s">
        <v>107</v>
      </c>
      <c r="B2836" t="s">
        <v>451</v>
      </c>
      <c r="C2836" s="40">
        <v>2.1</v>
      </c>
      <c r="D2836">
        <f t="shared" si="88"/>
        <v>37</v>
      </c>
      <c r="E2836" t="str">
        <f t="shared" si="89"/>
        <v>37. Kazakhstan</v>
      </c>
    </row>
    <row r="2837" spans="1:5" x14ac:dyDescent="0.25">
      <c r="A2837" t="s">
        <v>206</v>
      </c>
      <c r="B2837" t="s">
        <v>451</v>
      </c>
      <c r="C2837" s="40">
        <v>2.1</v>
      </c>
      <c r="D2837">
        <f t="shared" si="88"/>
        <v>38</v>
      </c>
      <c r="E2837" t="str">
        <f t="shared" si="89"/>
        <v>38. Uganda</v>
      </c>
    </row>
    <row r="2838" spans="1:5" x14ac:dyDescent="0.25">
      <c r="A2838" t="s">
        <v>16</v>
      </c>
      <c r="B2838" t="s">
        <v>451</v>
      </c>
      <c r="C2838" s="40">
        <v>2</v>
      </c>
      <c r="D2838">
        <f t="shared" si="88"/>
        <v>39</v>
      </c>
      <c r="E2838" t="str">
        <f t="shared" si="89"/>
        <v>39. Argentina</v>
      </c>
    </row>
    <row r="2839" spans="1:5" x14ac:dyDescent="0.25">
      <c r="A2839" t="s">
        <v>113</v>
      </c>
      <c r="B2839" t="s">
        <v>451</v>
      </c>
      <c r="C2839" s="40">
        <v>1.8</v>
      </c>
      <c r="D2839">
        <f t="shared" si="88"/>
        <v>40</v>
      </c>
      <c r="E2839" t="str">
        <f t="shared" si="89"/>
        <v>40. Korea, Rep.</v>
      </c>
    </row>
    <row r="2840" spans="1:5" x14ac:dyDescent="0.25">
      <c r="A2840" t="s">
        <v>159</v>
      </c>
      <c r="B2840" t="s">
        <v>451</v>
      </c>
      <c r="C2840" s="40">
        <v>1.8</v>
      </c>
      <c r="D2840">
        <f t="shared" si="88"/>
        <v>41</v>
      </c>
      <c r="E2840" t="str">
        <f t="shared" si="89"/>
        <v>41. Peru</v>
      </c>
    </row>
    <row r="2841" spans="1:5" x14ac:dyDescent="0.25">
      <c r="A2841" t="s">
        <v>132</v>
      </c>
      <c r="B2841" t="s">
        <v>451</v>
      </c>
      <c r="C2841" s="40">
        <v>1.7</v>
      </c>
      <c r="D2841">
        <f t="shared" si="88"/>
        <v>42</v>
      </c>
      <c r="E2841" t="str">
        <f t="shared" si="89"/>
        <v>42. Mexico</v>
      </c>
    </row>
    <row r="2842" spans="1:5" x14ac:dyDescent="0.25">
      <c r="A2842" t="s">
        <v>163</v>
      </c>
      <c r="B2842" t="s">
        <v>451</v>
      </c>
      <c r="C2842" s="40">
        <v>1.7</v>
      </c>
      <c r="D2842">
        <f t="shared" si="88"/>
        <v>43</v>
      </c>
      <c r="E2842" t="str">
        <f t="shared" si="89"/>
        <v>43. Poland</v>
      </c>
    </row>
    <row r="2843" spans="1:5" x14ac:dyDescent="0.25">
      <c r="A2843" t="s">
        <v>46</v>
      </c>
      <c r="B2843" t="s">
        <v>451</v>
      </c>
      <c r="C2843" s="40">
        <v>1.6</v>
      </c>
      <c r="D2843">
        <f t="shared" si="88"/>
        <v>44</v>
      </c>
      <c r="E2843" t="str">
        <f t="shared" si="89"/>
        <v>44. China</v>
      </c>
    </row>
    <row r="2844" spans="1:5" x14ac:dyDescent="0.25">
      <c r="A2844" t="s">
        <v>45</v>
      </c>
      <c r="B2844" t="s">
        <v>451</v>
      </c>
      <c r="C2844" s="40">
        <v>1.5</v>
      </c>
      <c r="D2844">
        <f t="shared" si="88"/>
        <v>45</v>
      </c>
      <c r="E2844" t="str">
        <f t="shared" si="89"/>
        <v>45. Chile</v>
      </c>
    </row>
    <row r="2845" spans="1:5" x14ac:dyDescent="0.25">
      <c r="A2845" t="s">
        <v>155</v>
      </c>
      <c r="B2845" t="s">
        <v>451</v>
      </c>
      <c r="C2845" s="40">
        <v>1.5</v>
      </c>
      <c r="D2845">
        <f t="shared" si="88"/>
        <v>46</v>
      </c>
      <c r="E2845" t="str">
        <f t="shared" si="89"/>
        <v>46. New Zealand</v>
      </c>
    </row>
    <row r="2846" spans="1:5" x14ac:dyDescent="0.25">
      <c r="A2846" t="s">
        <v>36</v>
      </c>
      <c r="B2846" t="s">
        <v>451</v>
      </c>
      <c r="C2846" s="40">
        <v>1.4</v>
      </c>
      <c r="D2846">
        <f t="shared" si="88"/>
        <v>47</v>
      </c>
      <c r="E2846" t="str">
        <f t="shared" si="89"/>
        <v>47. Brazil</v>
      </c>
    </row>
    <row r="2847" spans="1:5" x14ac:dyDescent="0.25">
      <c r="A2847" t="s">
        <v>84</v>
      </c>
      <c r="B2847" t="s">
        <v>451</v>
      </c>
      <c r="C2847" s="40">
        <v>1.4</v>
      </c>
      <c r="D2847">
        <f t="shared" si="88"/>
        <v>48</v>
      </c>
      <c r="E2847" t="str">
        <f t="shared" si="89"/>
        <v>48. Greece</v>
      </c>
    </row>
    <row r="2848" spans="1:5" x14ac:dyDescent="0.25">
      <c r="A2848" t="s">
        <v>116</v>
      </c>
      <c r="B2848" t="s">
        <v>451</v>
      </c>
      <c r="C2848" s="40">
        <v>1.4</v>
      </c>
      <c r="D2848">
        <f t="shared" si="88"/>
        <v>49</v>
      </c>
      <c r="E2848" t="str">
        <f t="shared" si="89"/>
        <v>49. Lebanon</v>
      </c>
    </row>
    <row r="2849" spans="1:5" x14ac:dyDescent="0.25">
      <c r="A2849" t="s">
        <v>149</v>
      </c>
      <c r="B2849" t="s">
        <v>451</v>
      </c>
      <c r="C2849" s="40">
        <v>1.4</v>
      </c>
      <c r="D2849">
        <f t="shared" si="88"/>
        <v>50</v>
      </c>
      <c r="E2849" t="str">
        <f t="shared" si="89"/>
        <v>50. Nigeria</v>
      </c>
    </row>
    <row r="2850" spans="1:5" x14ac:dyDescent="0.25">
      <c r="A2850" t="s">
        <v>194</v>
      </c>
      <c r="B2850" t="s">
        <v>451</v>
      </c>
      <c r="C2850" s="40">
        <v>1.3</v>
      </c>
      <c r="D2850">
        <f t="shared" si="88"/>
        <v>51</v>
      </c>
      <c r="E2850" t="str">
        <f t="shared" si="89"/>
        <v>51. Chad</v>
      </c>
    </row>
    <row r="2851" spans="1:5" x14ac:dyDescent="0.25">
      <c r="A2851" t="s">
        <v>223</v>
      </c>
      <c r="B2851" t="s">
        <v>451</v>
      </c>
      <c r="C2851" s="40">
        <v>1.3</v>
      </c>
      <c r="D2851">
        <f t="shared" si="88"/>
        <v>52</v>
      </c>
      <c r="E2851" t="str">
        <f t="shared" si="89"/>
        <v>52. Venezuela, RB</v>
      </c>
    </row>
    <row r="2852" spans="1:5" x14ac:dyDescent="0.25">
      <c r="A2852" t="s">
        <v>70</v>
      </c>
      <c r="B2852" t="s">
        <v>451</v>
      </c>
      <c r="C2852" s="40">
        <v>1.2</v>
      </c>
      <c r="D2852">
        <f t="shared" si="88"/>
        <v>53</v>
      </c>
      <c r="E2852" t="str">
        <f t="shared" si="89"/>
        <v>53. Ethiopia</v>
      </c>
    </row>
    <row r="2853" spans="1:5" x14ac:dyDescent="0.25">
      <c r="A2853" t="s">
        <v>98</v>
      </c>
      <c r="B2853" t="s">
        <v>451</v>
      </c>
      <c r="C2853" s="40">
        <v>1.2</v>
      </c>
      <c r="D2853">
        <f t="shared" si="88"/>
        <v>54</v>
      </c>
      <c r="E2853" t="str">
        <f t="shared" si="89"/>
        <v>54. Ireland</v>
      </c>
    </row>
    <row r="2854" spans="1:5" x14ac:dyDescent="0.25">
      <c r="A2854" t="s">
        <v>210</v>
      </c>
      <c r="B2854" t="s">
        <v>451</v>
      </c>
      <c r="C2854" s="40">
        <v>1.2</v>
      </c>
      <c r="D2854">
        <f t="shared" si="88"/>
        <v>55</v>
      </c>
      <c r="E2854" t="str">
        <f t="shared" si="89"/>
        <v>55. Uzbekistan</v>
      </c>
    </row>
    <row r="2855" spans="1:5" x14ac:dyDescent="0.25">
      <c r="A2855" t="s">
        <v>32</v>
      </c>
      <c r="B2855" t="s">
        <v>451</v>
      </c>
      <c r="C2855" s="40">
        <v>1.1000000000000001</v>
      </c>
      <c r="D2855">
        <f t="shared" si="88"/>
        <v>56</v>
      </c>
      <c r="E2855" t="str">
        <f t="shared" si="89"/>
        <v>56. Belarus</v>
      </c>
    </row>
    <row r="2856" spans="1:5" x14ac:dyDescent="0.25">
      <c r="A2856" t="s">
        <v>49</v>
      </c>
      <c r="B2856" t="s">
        <v>451</v>
      </c>
      <c r="C2856" s="40">
        <v>1.1000000000000001</v>
      </c>
      <c r="D2856">
        <f t="shared" si="88"/>
        <v>57</v>
      </c>
      <c r="E2856" t="str">
        <f t="shared" si="89"/>
        <v>57. Congo, Dem. Rep.</v>
      </c>
    </row>
    <row r="2857" spans="1:5" x14ac:dyDescent="0.25">
      <c r="A2857" t="s">
        <v>67</v>
      </c>
      <c r="B2857" t="s">
        <v>451</v>
      </c>
      <c r="C2857" s="40">
        <v>1.1000000000000001</v>
      </c>
      <c r="D2857">
        <f t="shared" si="88"/>
        <v>58</v>
      </c>
      <c r="E2857" t="str">
        <f t="shared" si="89"/>
        <v>58. Egypt, Arab Rep.</v>
      </c>
    </row>
    <row r="2858" spans="1:5" x14ac:dyDescent="0.25">
      <c r="A2858" t="s">
        <v>165</v>
      </c>
      <c r="B2858" t="s">
        <v>451</v>
      </c>
      <c r="C2858" s="40">
        <v>1.1000000000000001</v>
      </c>
      <c r="D2858">
        <f t="shared" si="88"/>
        <v>59</v>
      </c>
      <c r="E2858" t="str">
        <f t="shared" si="89"/>
        <v>59. Portugal</v>
      </c>
    </row>
    <row r="2859" spans="1:5" x14ac:dyDescent="0.25">
      <c r="A2859" t="s">
        <v>59</v>
      </c>
      <c r="B2859" t="s">
        <v>451</v>
      </c>
      <c r="C2859" s="40">
        <v>1</v>
      </c>
      <c r="D2859">
        <f t="shared" si="88"/>
        <v>60</v>
      </c>
      <c r="E2859" t="str">
        <f t="shared" si="89"/>
        <v>60. Czechia</v>
      </c>
    </row>
    <row r="2860" spans="1:5" x14ac:dyDescent="0.25">
      <c r="A2860" t="s">
        <v>108</v>
      </c>
      <c r="B2860" t="s">
        <v>451</v>
      </c>
      <c r="C2860" s="40">
        <v>1</v>
      </c>
      <c r="D2860">
        <f t="shared" si="88"/>
        <v>61</v>
      </c>
      <c r="E2860" t="str">
        <f t="shared" si="89"/>
        <v>61. Kenya</v>
      </c>
    </row>
    <row r="2861" spans="1:5" x14ac:dyDescent="0.25">
      <c r="A2861" t="s">
        <v>152</v>
      </c>
      <c r="B2861" t="s">
        <v>451</v>
      </c>
      <c r="C2861" s="40">
        <v>1</v>
      </c>
      <c r="D2861">
        <f t="shared" si="88"/>
        <v>62</v>
      </c>
      <c r="E2861" t="str">
        <f t="shared" si="89"/>
        <v>62. Norway</v>
      </c>
    </row>
    <row r="2862" spans="1:5" x14ac:dyDescent="0.25">
      <c r="A2862" t="s">
        <v>118</v>
      </c>
      <c r="B2862" t="s">
        <v>451</v>
      </c>
      <c r="C2862" s="40">
        <v>0.9</v>
      </c>
      <c r="D2862">
        <f t="shared" si="88"/>
        <v>63</v>
      </c>
      <c r="E2862" t="str">
        <f t="shared" si="89"/>
        <v>63. Libya</v>
      </c>
    </row>
    <row r="2863" spans="1:5" x14ac:dyDescent="0.25">
      <c r="A2863" t="s">
        <v>183</v>
      </c>
      <c r="B2863" t="s">
        <v>451</v>
      </c>
      <c r="C2863" s="40">
        <v>0.9</v>
      </c>
      <c r="D2863">
        <f t="shared" si="88"/>
        <v>64</v>
      </c>
      <c r="E2863" t="str">
        <f t="shared" si="89"/>
        <v>64. South Sudan</v>
      </c>
    </row>
    <row r="2864" spans="1:5" x14ac:dyDescent="0.25">
      <c r="A2864" t="s">
        <v>192</v>
      </c>
      <c r="B2864" t="s">
        <v>451</v>
      </c>
      <c r="C2864" s="40">
        <v>0.9</v>
      </c>
      <c r="D2864">
        <f t="shared" si="88"/>
        <v>65</v>
      </c>
      <c r="E2864" t="str">
        <f t="shared" si="89"/>
        <v>65. Syrian Arab Republic</v>
      </c>
    </row>
    <row r="2865" spans="1:5" x14ac:dyDescent="0.25">
      <c r="A2865" t="s">
        <v>29</v>
      </c>
      <c r="B2865" t="s">
        <v>451</v>
      </c>
      <c r="C2865" s="40">
        <v>0.8</v>
      </c>
      <c r="D2865">
        <f t="shared" si="88"/>
        <v>66</v>
      </c>
      <c r="E2865" t="str">
        <f t="shared" si="89"/>
        <v>66. Bahrain</v>
      </c>
    </row>
    <row r="2866" spans="1:5" x14ac:dyDescent="0.25">
      <c r="A2866" t="s">
        <v>63</v>
      </c>
      <c r="B2866" t="s">
        <v>451</v>
      </c>
      <c r="C2866" s="40">
        <v>0.8</v>
      </c>
      <c r="D2866">
        <f t="shared" si="88"/>
        <v>67</v>
      </c>
      <c r="E2866" t="str">
        <f t="shared" si="89"/>
        <v>67. Denmark</v>
      </c>
    </row>
    <row r="2867" spans="1:5" x14ac:dyDescent="0.25">
      <c r="A2867" t="s">
        <v>12</v>
      </c>
      <c r="B2867" t="s">
        <v>451</v>
      </c>
      <c r="C2867" s="40">
        <v>0.7</v>
      </c>
      <c r="D2867">
        <f t="shared" si="88"/>
        <v>68</v>
      </c>
      <c r="E2867" t="str">
        <f t="shared" si="89"/>
        <v>68. Angola</v>
      </c>
    </row>
    <row r="2868" spans="1:5" x14ac:dyDescent="0.25">
      <c r="A2868" t="s">
        <v>26</v>
      </c>
      <c r="B2868" t="s">
        <v>451</v>
      </c>
      <c r="C2868" s="40">
        <v>0.7</v>
      </c>
      <c r="D2868">
        <f t="shared" si="88"/>
        <v>69</v>
      </c>
      <c r="E2868" t="str">
        <f t="shared" si="89"/>
        <v>69. Burkina Faso</v>
      </c>
    </row>
    <row r="2869" spans="1:5" x14ac:dyDescent="0.25">
      <c r="A2869" t="s">
        <v>64</v>
      </c>
      <c r="B2869" t="s">
        <v>451</v>
      </c>
      <c r="C2869" s="40">
        <v>0.7</v>
      </c>
      <c r="D2869">
        <f t="shared" si="88"/>
        <v>70</v>
      </c>
      <c r="E2869" t="str">
        <f t="shared" si="89"/>
        <v>70. Dominican Republic</v>
      </c>
    </row>
    <row r="2870" spans="1:5" x14ac:dyDescent="0.25">
      <c r="A2870" t="s">
        <v>66</v>
      </c>
      <c r="B2870" t="s">
        <v>451</v>
      </c>
      <c r="C2870" s="40">
        <v>0.7</v>
      </c>
      <c r="D2870">
        <f t="shared" si="88"/>
        <v>71</v>
      </c>
      <c r="E2870" t="str">
        <f t="shared" si="89"/>
        <v>71. Ecuador</v>
      </c>
    </row>
    <row r="2871" spans="1:5" x14ac:dyDescent="0.25">
      <c r="A2871" t="s">
        <v>94</v>
      </c>
      <c r="B2871" t="s">
        <v>451</v>
      </c>
      <c r="C2871" s="40">
        <v>0.7</v>
      </c>
      <c r="D2871">
        <f t="shared" si="88"/>
        <v>72</v>
      </c>
      <c r="E2871" t="str">
        <f t="shared" si="89"/>
        <v>72. Hungary</v>
      </c>
    </row>
    <row r="2872" spans="1:5" x14ac:dyDescent="0.25">
      <c r="A2872" t="s">
        <v>170</v>
      </c>
      <c r="B2872" t="s">
        <v>451</v>
      </c>
      <c r="C2872" s="40">
        <v>0.7</v>
      </c>
      <c r="D2872">
        <f t="shared" si="88"/>
        <v>73</v>
      </c>
      <c r="E2872" t="str">
        <f t="shared" si="89"/>
        <v>73. Romania</v>
      </c>
    </row>
    <row r="2873" spans="1:5" x14ac:dyDescent="0.25">
      <c r="A2873" t="s">
        <v>182</v>
      </c>
      <c r="B2873" t="s">
        <v>451</v>
      </c>
      <c r="C2873" s="40">
        <v>0.7</v>
      </c>
      <c r="D2873">
        <f t="shared" si="88"/>
        <v>74</v>
      </c>
      <c r="E2873" t="str">
        <f t="shared" si="89"/>
        <v>74. Serbia</v>
      </c>
    </row>
    <row r="2874" spans="1:5" x14ac:dyDescent="0.25">
      <c r="A2874" t="s">
        <v>48</v>
      </c>
      <c r="B2874" t="s">
        <v>451</v>
      </c>
      <c r="C2874" s="40">
        <v>0.6</v>
      </c>
      <c r="D2874">
        <f t="shared" si="88"/>
        <v>75</v>
      </c>
      <c r="E2874" t="str">
        <f t="shared" si="89"/>
        <v>75. Cameroon</v>
      </c>
    </row>
    <row r="2875" spans="1:5" x14ac:dyDescent="0.25">
      <c r="A2875" t="s">
        <v>54</v>
      </c>
      <c r="B2875" t="s">
        <v>451</v>
      </c>
      <c r="C2875" s="40">
        <v>0.6</v>
      </c>
      <c r="D2875">
        <f t="shared" si="88"/>
        <v>76</v>
      </c>
      <c r="E2875" t="str">
        <f t="shared" si="89"/>
        <v>76. Costa Rica</v>
      </c>
    </row>
    <row r="2876" spans="1:5" x14ac:dyDescent="0.25">
      <c r="A2876" t="s">
        <v>92</v>
      </c>
      <c r="B2876" t="s">
        <v>451</v>
      </c>
      <c r="C2876" s="40">
        <v>0.5</v>
      </c>
      <c r="D2876">
        <f t="shared" si="88"/>
        <v>77</v>
      </c>
      <c r="E2876" t="str">
        <f t="shared" si="89"/>
        <v>77. Croatia</v>
      </c>
    </row>
    <row r="2877" spans="1:5" x14ac:dyDescent="0.25">
      <c r="A2877" t="s">
        <v>71</v>
      </c>
      <c r="B2877" t="s">
        <v>451</v>
      </c>
      <c r="C2877" s="40">
        <v>0.5</v>
      </c>
      <c r="D2877">
        <f t="shared" si="88"/>
        <v>78</v>
      </c>
      <c r="E2877" t="str">
        <f t="shared" si="89"/>
        <v>78. Finland</v>
      </c>
    </row>
    <row r="2878" spans="1:5" x14ac:dyDescent="0.25">
      <c r="A2878" t="s">
        <v>79</v>
      </c>
      <c r="B2878" t="s">
        <v>451</v>
      </c>
      <c r="C2878" s="40">
        <v>0.5</v>
      </c>
      <c r="D2878">
        <f t="shared" si="88"/>
        <v>79</v>
      </c>
      <c r="E2878" t="str">
        <f t="shared" si="89"/>
        <v>79. Ghana</v>
      </c>
    </row>
    <row r="2879" spans="1:5" x14ac:dyDescent="0.25">
      <c r="A2879" t="s">
        <v>135</v>
      </c>
      <c r="B2879" t="s">
        <v>451</v>
      </c>
      <c r="C2879" s="40">
        <v>0.5</v>
      </c>
      <c r="D2879">
        <f t="shared" si="88"/>
        <v>80</v>
      </c>
      <c r="E2879" t="str">
        <f t="shared" si="89"/>
        <v>80. Mali</v>
      </c>
    </row>
    <row r="2880" spans="1:5" x14ac:dyDescent="0.25">
      <c r="A2880" t="s">
        <v>153</v>
      </c>
      <c r="B2880" t="s">
        <v>451</v>
      </c>
      <c r="C2880" s="40">
        <v>0.5</v>
      </c>
      <c r="D2880">
        <f t="shared" si="88"/>
        <v>81</v>
      </c>
      <c r="E2880" t="str">
        <f t="shared" si="89"/>
        <v>81. Nepal</v>
      </c>
    </row>
    <row r="2881" spans="1:5" x14ac:dyDescent="0.25">
      <c r="A2881" t="s">
        <v>158</v>
      </c>
      <c r="B2881" t="s">
        <v>451</v>
      </c>
      <c r="C2881" s="40">
        <v>0.5</v>
      </c>
      <c r="D2881">
        <f t="shared" si="88"/>
        <v>82</v>
      </c>
      <c r="E2881" t="str">
        <f t="shared" si="89"/>
        <v>82. Panama</v>
      </c>
    </row>
    <row r="2882" spans="1:5" x14ac:dyDescent="0.25">
      <c r="A2882" t="s">
        <v>172</v>
      </c>
      <c r="B2882" t="s">
        <v>451</v>
      </c>
      <c r="C2882" s="40">
        <v>0.5</v>
      </c>
      <c r="D2882">
        <f t="shared" si="88"/>
        <v>83</v>
      </c>
      <c r="E2882" t="str">
        <f t="shared" si="89"/>
        <v>83. Rwanda</v>
      </c>
    </row>
    <row r="2883" spans="1:5" x14ac:dyDescent="0.25">
      <c r="A2883" t="s">
        <v>205</v>
      </c>
      <c r="B2883" t="s">
        <v>451</v>
      </c>
      <c r="C2883" s="40">
        <v>0.5</v>
      </c>
      <c r="D2883">
        <f t="shared" ref="D2883:D2946" si="90">IF(ROW() = 2, 1, IF(B2883 = B2882, D2882 + 1, 1))</f>
        <v>84</v>
      </c>
      <c r="E2883" t="str">
        <f t="shared" ref="E2883:E2946" si="91">_xlfn.CONCAT(D2883, ". ", A2883)</f>
        <v>84. Tanzania</v>
      </c>
    </row>
    <row r="2884" spans="1:5" x14ac:dyDescent="0.25">
      <c r="A2884" t="s">
        <v>25</v>
      </c>
      <c r="B2884" t="s">
        <v>451</v>
      </c>
      <c r="C2884" s="40">
        <v>0.4</v>
      </c>
      <c r="D2884">
        <f t="shared" si="90"/>
        <v>85</v>
      </c>
      <c r="E2884" t="str">
        <f t="shared" si="91"/>
        <v>85. Benin</v>
      </c>
    </row>
    <row r="2885" spans="1:5" x14ac:dyDescent="0.25">
      <c r="A2885" t="s">
        <v>23</v>
      </c>
      <c r="B2885" t="s">
        <v>451</v>
      </c>
      <c r="C2885" s="40">
        <v>0.4</v>
      </c>
      <c r="D2885">
        <f t="shared" si="90"/>
        <v>86</v>
      </c>
      <c r="E2885" t="str">
        <f t="shared" si="91"/>
        <v>86. Burundi</v>
      </c>
    </row>
    <row r="2886" spans="1:5" x14ac:dyDescent="0.25">
      <c r="A2886" t="s">
        <v>50</v>
      </c>
      <c r="B2886" t="s">
        <v>451</v>
      </c>
      <c r="C2886" s="40">
        <v>0.4</v>
      </c>
      <c r="D2886">
        <f t="shared" si="90"/>
        <v>87</v>
      </c>
      <c r="E2886" t="str">
        <f t="shared" si="91"/>
        <v>87. Congo, Rep.</v>
      </c>
    </row>
    <row r="2887" spans="1:5" x14ac:dyDescent="0.25">
      <c r="A2887" t="s">
        <v>76</v>
      </c>
      <c r="B2887" t="s">
        <v>451</v>
      </c>
      <c r="C2887" s="40">
        <v>0.4</v>
      </c>
      <c r="D2887">
        <f t="shared" si="90"/>
        <v>88</v>
      </c>
      <c r="E2887" t="str">
        <f t="shared" si="91"/>
        <v>88. Gabon</v>
      </c>
    </row>
    <row r="2888" spans="1:5" x14ac:dyDescent="0.25">
      <c r="A2888" t="s">
        <v>95</v>
      </c>
      <c r="B2888" t="s">
        <v>451</v>
      </c>
      <c r="C2888" s="40">
        <v>0.4</v>
      </c>
      <c r="D2888">
        <f t="shared" si="90"/>
        <v>89</v>
      </c>
      <c r="E2888" t="str">
        <f t="shared" si="91"/>
        <v>89. Indonesia</v>
      </c>
    </row>
    <row r="2889" spans="1:5" x14ac:dyDescent="0.25">
      <c r="A2889" t="s">
        <v>100</v>
      </c>
      <c r="B2889" t="s">
        <v>451</v>
      </c>
      <c r="C2889" s="40">
        <v>0.4</v>
      </c>
      <c r="D2889">
        <f t="shared" si="90"/>
        <v>90</v>
      </c>
      <c r="E2889" t="str">
        <f t="shared" si="91"/>
        <v>90. Iraq</v>
      </c>
    </row>
    <row r="2890" spans="1:5" x14ac:dyDescent="0.25">
      <c r="A2890" t="s">
        <v>126</v>
      </c>
      <c r="B2890" t="s">
        <v>451</v>
      </c>
      <c r="C2890" s="40">
        <v>0.4</v>
      </c>
      <c r="D2890">
        <f t="shared" si="90"/>
        <v>91</v>
      </c>
      <c r="E2890" t="str">
        <f t="shared" si="91"/>
        <v>91. Macao SAR, China</v>
      </c>
    </row>
    <row r="2891" spans="1:5" x14ac:dyDescent="0.25">
      <c r="A2891" t="s">
        <v>141</v>
      </c>
      <c r="B2891" t="s">
        <v>451</v>
      </c>
      <c r="C2891" s="40">
        <v>0.4</v>
      </c>
      <c r="D2891">
        <f t="shared" si="90"/>
        <v>92</v>
      </c>
      <c r="E2891" t="str">
        <f t="shared" si="91"/>
        <v>92. Mozambique</v>
      </c>
    </row>
    <row r="2892" spans="1:5" x14ac:dyDescent="0.25">
      <c r="A2892" t="s">
        <v>148</v>
      </c>
      <c r="B2892" t="s">
        <v>451</v>
      </c>
      <c r="C2892" s="40">
        <v>0.4</v>
      </c>
      <c r="D2892">
        <f t="shared" si="90"/>
        <v>93</v>
      </c>
      <c r="E2892" t="str">
        <f t="shared" si="91"/>
        <v>93. Niger</v>
      </c>
    </row>
    <row r="2893" spans="1:5" x14ac:dyDescent="0.25">
      <c r="A2893" t="s">
        <v>217</v>
      </c>
      <c r="B2893" t="s">
        <v>451</v>
      </c>
      <c r="C2893" s="40">
        <v>0.4</v>
      </c>
      <c r="D2893">
        <f t="shared" si="90"/>
        <v>94</v>
      </c>
      <c r="E2893" t="str">
        <f t="shared" si="91"/>
        <v>94. Yemen, Rep.</v>
      </c>
    </row>
    <row r="2894" spans="1:5" x14ac:dyDescent="0.25">
      <c r="A2894" t="s">
        <v>220</v>
      </c>
      <c r="B2894" t="s">
        <v>451</v>
      </c>
      <c r="C2894" s="40">
        <v>0.4</v>
      </c>
      <c r="D2894">
        <f t="shared" si="90"/>
        <v>95</v>
      </c>
      <c r="E2894" t="str">
        <f t="shared" si="91"/>
        <v>95. Zimbabwe</v>
      </c>
    </row>
    <row r="2895" spans="1:5" x14ac:dyDescent="0.25">
      <c r="A2895" t="s">
        <v>65</v>
      </c>
      <c r="B2895" t="s">
        <v>451</v>
      </c>
      <c r="C2895" s="40">
        <v>0.3</v>
      </c>
      <c r="D2895">
        <f t="shared" si="90"/>
        <v>96</v>
      </c>
      <c r="E2895" t="str">
        <f t="shared" si="91"/>
        <v>96. Algeria</v>
      </c>
    </row>
    <row r="2896" spans="1:5" x14ac:dyDescent="0.25">
      <c r="A2896" t="s">
        <v>17</v>
      </c>
      <c r="B2896" t="s">
        <v>451</v>
      </c>
      <c r="C2896" s="40">
        <v>0.3</v>
      </c>
      <c r="D2896">
        <f t="shared" si="90"/>
        <v>97</v>
      </c>
      <c r="E2896" t="str">
        <f t="shared" si="91"/>
        <v>97. Armenia</v>
      </c>
    </row>
    <row r="2897" spans="1:5" x14ac:dyDescent="0.25">
      <c r="A2897" t="s">
        <v>28</v>
      </c>
      <c r="B2897" t="s">
        <v>451</v>
      </c>
      <c r="C2897" s="40">
        <v>0.3</v>
      </c>
      <c r="D2897">
        <f t="shared" si="90"/>
        <v>98</v>
      </c>
      <c r="E2897" t="str">
        <f t="shared" si="91"/>
        <v>98. Bulgaria</v>
      </c>
    </row>
    <row r="2898" spans="1:5" x14ac:dyDescent="0.25">
      <c r="A2898" t="s">
        <v>124</v>
      </c>
      <c r="B2898" t="s">
        <v>451</v>
      </c>
      <c r="C2898" s="40">
        <v>0.3</v>
      </c>
      <c r="D2898">
        <f t="shared" si="90"/>
        <v>99</v>
      </c>
      <c r="E2898" t="str">
        <f t="shared" si="91"/>
        <v>99. Luxembourg</v>
      </c>
    </row>
    <row r="2899" spans="1:5" x14ac:dyDescent="0.25">
      <c r="A2899" t="s">
        <v>175</v>
      </c>
      <c r="B2899" t="s">
        <v>451</v>
      </c>
      <c r="C2899" s="40">
        <v>0.3</v>
      </c>
      <c r="D2899">
        <f t="shared" si="90"/>
        <v>100</v>
      </c>
      <c r="E2899" t="str">
        <f t="shared" si="91"/>
        <v>100. Senegal</v>
      </c>
    </row>
    <row r="2900" spans="1:5" x14ac:dyDescent="0.25">
      <c r="A2900" t="s">
        <v>186</v>
      </c>
      <c r="B2900" t="s">
        <v>451</v>
      </c>
      <c r="C2900" s="40">
        <v>0.3</v>
      </c>
      <c r="D2900">
        <f t="shared" si="90"/>
        <v>101</v>
      </c>
      <c r="E2900" t="str">
        <f t="shared" si="91"/>
        <v>101. Slovak Republic</v>
      </c>
    </row>
    <row r="2901" spans="1:5" x14ac:dyDescent="0.25">
      <c r="A2901" t="s">
        <v>187</v>
      </c>
      <c r="B2901" t="s">
        <v>451</v>
      </c>
      <c r="C2901" s="40">
        <v>0.3</v>
      </c>
      <c r="D2901">
        <f t="shared" si="90"/>
        <v>102</v>
      </c>
      <c r="E2901" t="str">
        <f t="shared" si="91"/>
        <v>102. Slovenia</v>
      </c>
    </row>
    <row r="2902" spans="1:5" x14ac:dyDescent="0.25">
      <c r="A2902" t="s">
        <v>197</v>
      </c>
      <c r="B2902" t="s">
        <v>451</v>
      </c>
      <c r="C2902" s="40">
        <v>0.3</v>
      </c>
      <c r="D2902">
        <f t="shared" si="90"/>
        <v>103</v>
      </c>
      <c r="E2902" t="str">
        <f t="shared" si="91"/>
        <v>103. Tajikistan</v>
      </c>
    </row>
    <row r="2903" spans="1:5" x14ac:dyDescent="0.25">
      <c r="A2903" t="s">
        <v>195</v>
      </c>
      <c r="B2903" t="s">
        <v>451</v>
      </c>
      <c r="C2903" s="40">
        <v>0.3</v>
      </c>
      <c r="D2903">
        <f t="shared" si="90"/>
        <v>104</v>
      </c>
      <c r="E2903" t="str">
        <f t="shared" si="91"/>
        <v>104. Togo</v>
      </c>
    </row>
    <row r="2904" spans="1:5" x14ac:dyDescent="0.25">
      <c r="A2904" t="s">
        <v>213</v>
      </c>
      <c r="B2904" t="s">
        <v>451</v>
      </c>
      <c r="C2904" s="40">
        <v>0.3</v>
      </c>
      <c r="D2904">
        <f t="shared" si="90"/>
        <v>105</v>
      </c>
      <c r="E2904" t="str">
        <f t="shared" si="91"/>
        <v>105. Viet Nam</v>
      </c>
    </row>
    <row r="2905" spans="1:5" x14ac:dyDescent="0.25">
      <c r="A2905" t="s">
        <v>167</v>
      </c>
      <c r="B2905" t="s">
        <v>451</v>
      </c>
      <c r="C2905" s="40">
        <v>0.3</v>
      </c>
      <c r="D2905">
        <f t="shared" si="90"/>
        <v>106</v>
      </c>
      <c r="E2905" t="str">
        <f t="shared" si="91"/>
        <v>106. West Bank and Gaza</v>
      </c>
    </row>
    <row r="2906" spans="1:5" x14ac:dyDescent="0.25">
      <c r="A2906" t="s">
        <v>22</v>
      </c>
      <c r="B2906" t="s">
        <v>451</v>
      </c>
      <c r="C2906" s="40">
        <v>0.2</v>
      </c>
      <c r="D2906">
        <f t="shared" si="90"/>
        <v>107</v>
      </c>
      <c r="E2906" t="str">
        <f t="shared" si="91"/>
        <v>107. Azerbaijan</v>
      </c>
    </row>
    <row r="2907" spans="1:5" x14ac:dyDescent="0.25">
      <c r="A2907" t="s">
        <v>35</v>
      </c>
      <c r="B2907" t="s">
        <v>451</v>
      </c>
      <c r="C2907" s="40">
        <v>0.2</v>
      </c>
      <c r="D2907">
        <f t="shared" si="90"/>
        <v>108</v>
      </c>
      <c r="E2907" t="str">
        <f t="shared" si="91"/>
        <v>108. Bolivia</v>
      </c>
    </row>
    <row r="2908" spans="1:5" x14ac:dyDescent="0.25">
      <c r="A2908" t="s">
        <v>58</v>
      </c>
      <c r="B2908" t="s">
        <v>451</v>
      </c>
      <c r="C2908" s="40">
        <v>0.2</v>
      </c>
      <c r="D2908">
        <f t="shared" si="90"/>
        <v>109</v>
      </c>
      <c r="E2908" t="str">
        <f t="shared" si="91"/>
        <v>109. Cyprus</v>
      </c>
    </row>
    <row r="2909" spans="1:5" x14ac:dyDescent="0.25">
      <c r="A2909" t="s">
        <v>83</v>
      </c>
      <c r="B2909" t="s">
        <v>451</v>
      </c>
      <c r="C2909" s="40">
        <v>0.2</v>
      </c>
      <c r="D2909">
        <f t="shared" si="90"/>
        <v>110</v>
      </c>
      <c r="E2909" t="str">
        <f t="shared" si="91"/>
        <v>110. Equatorial Guinea</v>
      </c>
    </row>
    <row r="2910" spans="1:5" x14ac:dyDescent="0.25">
      <c r="A2910" t="s">
        <v>69</v>
      </c>
      <c r="B2910" t="s">
        <v>451</v>
      </c>
      <c r="C2910" s="40">
        <v>0.2</v>
      </c>
      <c r="D2910">
        <f t="shared" si="90"/>
        <v>111</v>
      </c>
      <c r="E2910" t="str">
        <f t="shared" si="91"/>
        <v>111. Estonia</v>
      </c>
    </row>
    <row r="2911" spans="1:5" x14ac:dyDescent="0.25">
      <c r="A2911" t="s">
        <v>81</v>
      </c>
      <c r="B2911" t="s">
        <v>451</v>
      </c>
      <c r="C2911" s="40">
        <v>0.2</v>
      </c>
      <c r="D2911">
        <f t="shared" si="90"/>
        <v>112</v>
      </c>
      <c r="E2911" t="str">
        <f t="shared" si="91"/>
        <v>112. Gambia, The</v>
      </c>
    </row>
    <row r="2912" spans="1:5" x14ac:dyDescent="0.25">
      <c r="A2912" t="s">
        <v>109</v>
      </c>
      <c r="B2912" t="s">
        <v>451</v>
      </c>
      <c r="C2912" s="40">
        <v>0.2</v>
      </c>
      <c r="D2912">
        <f t="shared" si="90"/>
        <v>113</v>
      </c>
      <c r="E2912" t="str">
        <f t="shared" si="91"/>
        <v>113. Kyrgyz Republic</v>
      </c>
    </row>
    <row r="2913" spans="1:5" x14ac:dyDescent="0.25">
      <c r="A2913" t="s">
        <v>125</v>
      </c>
      <c r="B2913" t="s">
        <v>451</v>
      </c>
      <c r="C2913" s="40">
        <v>0.2</v>
      </c>
      <c r="D2913">
        <f t="shared" si="90"/>
        <v>114</v>
      </c>
      <c r="E2913" t="str">
        <f t="shared" si="91"/>
        <v>114. Latvia</v>
      </c>
    </row>
    <row r="2914" spans="1:5" x14ac:dyDescent="0.25">
      <c r="A2914" t="s">
        <v>123</v>
      </c>
      <c r="B2914" t="s">
        <v>451</v>
      </c>
      <c r="C2914" s="40">
        <v>0.2</v>
      </c>
      <c r="D2914">
        <f t="shared" si="90"/>
        <v>115</v>
      </c>
      <c r="E2914" t="str">
        <f t="shared" si="91"/>
        <v>115. Lithuania</v>
      </c>
    </row>
    <row r="2915" spans="1:5" x14ac:dyDescent="0.25">
      <c r="A2915" t="s">
        <v>144</v>
      </c>
      <c r="B2915" t="s">
        <v>451</v>
      </c>
      <c r="C2915" s="40">
        <v>0.2</v>
      </c>
      <c r="D2915">
        <f t="shared" si="90"/>
        <v>116</v>
      </c>
      <c r="E2915" t="str">
        <f t="shared" si="91"/>
        <v>116. Malawi</v>
      </c>
    </row>
    <row r="2916" spans="1:5" x14ac:dyDescent="0.25">
      <c r="A2916" t="s">
        <v>136</v>
      </c>
      <c r="B2916" t="s">
        <v>451</v>
      </c>
      <c r="C2916" s="40">
        <v>0.2</v>
      </c>
      <c r="D2916">
        <f t="shared" si="90"/>
        <v>117</v>
      </c>
      <c r="E2916" t="str">
        <f t="shared" si="91"/>
        <v>117. Malta</v>
      </c>
    </row>
    <row r="2917" spans="1:5" x14ac:dyDescent="0.25">
      <c r="A2917" t="s">
        <v>142</v>
      </c>
      <c r="B2917" t="s">
        <v>451</v>
      </c>
      <c r="C2917" s="40">
        <v>0.2</v>
      </c>
      <c r="D2917">
        <f t="shared" si="90"/>
        <v>118</v>
      </c>
      <c r="E2917" t="str">
        <f t="shared" si="91"/>
        <v>118. Mauritania</v>
      </c>
    </row>
    <row r="2918" spans="1:5" x14ac:dyDescent="0.25">
      <c r="A2918" t="s">
        <v>129</v>
      </c>
      <c r="B2918" t="s">
        <v>451</v>
      </c>
      <c r="C2918" s="40">
        <v>0.2</v>
      </c>
      <c r="D2918">
        <f t="shared" si="90"/>
        <v>119</v>
      </c>
      <c r="E2918" t="str">
        <f t="shared" si="91"/>
        <v>119. Moldova</v>
      </c>
    </row>
    <row r="2919" spans="1:5" x14ac:dyDescent="0.25">
      <c r="A2919" t="s">
        <v>134</v>
      </c>
      <c r="B2919" t="s">
        <v>451</v>
      </c>
      <c r="C2919" s="40">
        <v>0.2</v>
      </c>
      <c r="D2919">
        <f t="shared" si="90"/>
        <v>120</v>
      </c>
      <c r="E2919" t="str">
        <f t="shared" si="91"/>
        <v>120. North Macedonia</v>
      </c>
    </row>
    <row r="2920" spans="1:5" x14ac:dyDescent="0.25">
      <c r="A2920" t="s">
        <v>166</v>
      </c>
      <c r="B2920" t="s">
        <v>451</v>
      </c>
      <c r="C2920" s="40">
        <v>0.2</v>
      </c>
      <c r="D2920">
        <f t="shared" si="90"/>
        <v>121</v>
      </c>
      <c r="E2920" t="str">
        <f t="shared" si="91"/>
        <v>121. Paraguay</v>
      </c>
    </row>
    <row r="2921" spans="1:5" x14ac:dyDescent="0.25">
      <c r="A2921" t="s">
        <v>164</v>
      </c>
      <c r="B2921" t="s">
        <v>451</v>
      </c>
      <c r="C2921" s="40">
        <v>0.2</v>
      </c>
      <c r="D2921">
        <f t="shared" si="90"/>
        <v>122</v>
      </c>
      <c r="E2921" t="str">
        <f t="shared" si="91"/>
        <v>122. Puerto Rico (US)</v>
      </c>
    </row>
    <row r="2922" spans="1:5" x14ac:dyDescent="0.25">
      <c r="A2922" t="s">
        <v>198</v>
      </c>
      <c r="B2922" t="s">
        <v>451</v>
      </c>
      <c r="C2922" s="40">
        <v>0.2</v>
      </c>
      <c r="D2922">
        <f t="shared" si="90"/>
        <v>123</v>
      </c>
      <c r="E2922" t="str">
        <f t="shared" si="91"/>
        <v>123. Turkmenistan</v>
      </c>
    </row>
    <row r="2923" spans="1:5" x14ac:dyDescent="0.25">
      <c r="A2923" t="s">
        <v>208</v>
      </c>
      <c r="B2923" t="s">
        <v>451</v>
      </c>
      <c r="C2923" s="40">
        <v>0.2</v>
      </c>
      <c r="D2923">
        <f t="shared" si="90"/>
        <v>124</v>
      </c>
      <c r="E2923" t="str">
        <f t="shared" si="91"/>
        <v>124. Uruguay</v>
      </c>
    </row>
    <row r="2924" spans="1:5" x14ac:dyDescent="0.25">
      <c r="A2924" t="s">
        <v>219</v>
      </c>
      <c r="B2924" t="s">
        <v>451</v>
      </c>
      <c r="C2924" s="40">
        <v>0.2</v>
      </c>
      <c r="D2924">
        <f t="shared" si="90"/>
        <v>125</v>
      </c>
      <c r="E2924" t="str">
        <f t="shared" si="91"/>
        <v>125. Zambia</v>
      </c>
    </row>
    <row r="2925" spans="1:5" x14ac:dyDescent="0.25">
      <c r="A2925" t="s">
        <v>11</v>
      </c>
      <c r="B2925" t="s">
        <v>451</v>
      </c>
      <c r="C2925" s="40">
        <v>0.1</v>
      </c>
      <c r="D2925">
        <f t="shared" si="90"/>
        <v>126</v>
      </c>
      <c r="E2925" t="str">
        <f t="shared" si="91"/>
        <v>126. Afghanistan</v>
      </c>
    </row>
    <row r="2926" spans="1:5" x14ac:dyDescent="0.25">
      <c r="A2926" t="s">
        <v>10</v>
      </c>
      <c r="B2926" t="s">
        <v>451</v>
      </c>
      <c r="C2926" s="40">
        <v>0.1</v>
      </c>
      <c r="D2926">
        <f t="shared" si="90"/>
        <v>127</v>
      </c>
      <c r="E2926" t="str">
        <f t="shared" si="91"/>
        <v>127. Aruba</v>
      </c>
    </row>
    <row r="2927" spans="1:5" x14ac:dyDescent="0.25">
      <c r="A2927" t="s">
        <v>30</v>
      </c>
      <c r="B2927" t="s">
        <v>451</v>
      </c>
      <c r="C2927" s="40">
        <v>0.1</v>
      </c>
      <c r="D2927">
        <f t="shared" si="90"/>
        <v>128</v>
      </c>
      <c r="E2927" t="str">
        <f t="shared" si="91"/>
        <v>128. Bahamas, The</v>
      </c>
    </row>
    <row r="2928" spans="1:5" x14ac:dyDescent="0.25">
      <c r="A2928" t="s">
        <v>33</v>
      </c>
      <c r="B2928" t="s">
        <v>451</v>
      </c>
      <c r="C2928" s="40">
        <v>0.1</v>
      </c>
      <c r="D2928">
        <f t="shared" si="90"/>
        <v>129</v>
      </c>
      <c r="E2928" t="str">
        <f t="shared" si="91"/>
        <v>129. Belize</v>
      </c>
    </row>
    <row r="2929" spans="1:5" x14ac:dyDescent="0.25">
      <c r="A2929" t="s">
        <v>39</v>
      </c>
      <c r="B2929" t="s">
        <v>451</v>
      </c>
      <c r="C2929" s="40">
        <v>0.1</v>
      </c>
      <c r="D2929">
        <f t="shared" si="90"/>
        <v>130</v>
      </c>
      <c r="E2929" t="str">
        <f t="shared" si="91"/>
        <v>130. Bhutan</v>
      </c>
    </row>
    <row r="2930" spans="1:5" x14ac:dyDescent="0.25">
      <c r="A2930" t="s">
        <v>40</v>
      </c>
      <c r="B2930" t="s">
        <v>451</v>
      </c>
      <c r="C2930" s="40">
        <v>0.1</v>
      </c>
      <c r="D2930">
        <f t="shared" si="90"/>
        <v>131</v>
      </c>
      <c r="E2930" t="str">
        <f t="shared" si="91"/>
        <v>131. Botswana</v>
      </c>
    </row>
    <row r="2931" spans="1:5" x14ac:dyDescent="0.25">
      <c r="A2931" t="s">
        <v>38</v>
      </c>
      <c r="B2931" t="s">
        <v>451</v>
      </c>
      <c r="C2931" s="40">
        <v>0.1</v>
      </c>
      <c r="D2931">
        <f t="shared" si="90"/>
        <v>132</v>
      </c>
      <c r="E2931" t="str">
        <f t="shared" si="91"/>
        <v>132. Brunei Darussalam</v>
      </c>
    </row>
    <row r="2932" spans="1:5" x14ac:dyDescent="0.25">
      <c r="A2932" t="s">
        <v>110</v>
      </c>
      <c r="B2932" t="s">
        <v>451</v>
      </c>
      <c r="C2932" s="40">
        <v>0.1</v>
      </c>
      <c r="D2932">
        <f t="shared" si="90"/>
        <v>133</v>
      </c>
      <c r="E2932" t="str">
        <f t="shared" si="91"/>
        <v>133. Cambodia</v>
      </c>
    </row>
    <row r="2933" spans="1:5" x14ac:dyDescent="0.25">
      <c r="A2933" t="s">
        <v>41</v>
      </c>
      <c r="B2933" t="s">
        <v>451</v>
      </c>
      <c r="C2933" s="40">
        <v>0.1</v>
      </c>
      <c r="D2933">
        <f t="shared" si="90"/>
        <v>134</v>
      </c>
      <c r="E2933" t="str">
        <f t="shared" si="91"/>
        <v>134. Central African Republic</v>
      </c>
    </row>
    <row r="2934" spans="1:5" x14ac:dyDescent="0.25">
      <c r="A2934" t="s">
        <v>44</v>
      </c>
      <c r="B2934" t="s">
        <v>451</v>
      </c>
      <c r="C2934" s="40">
        <v>0.1</v>
      </c>
      <c r="D2934">
        <f t="shared" si="90"/>
        <v>135</v>
      </c>
      <c r="E2934" t="str">
        <f t="shared" si="91"/>
        <v>135. Channel Islands</v>
      </c>
    </row>
    <row r="2935" spans="1:5" x14ac:dyDescent="0.25">
      <c r="A2935" t="s">
        <v>56</v>
      </c>
      <c r="B2935" t="s">
        <v>451</v>
      </c>
      <c r="C2935" s="40">
        <v>0.1</v>
      </c>
      <c r="D2935">
        <f t="shared" si="90"/>
        <v>136</v>
      </c>
      <c r="E2935" t="str">
        <f t="shared" si="91"/>
        <v>136. Curacao</v>
      </c>
    </row>
    <row r="2936" spans="1:5" x14ac:dyDescent="0.25">
      <c r="A2936" t="s">
        <v>61</v>
      </c>
      <c r="B2936" t="s">
        <v>451</v>
      </c>
      <c r="C2936" s="40">
        <v>0.1</v>
      </c>
      <c r="D2936">
        <f t="shared" si="90"/>
        <v>137</v>
      </c>
      <c r="E2936" t="str">
        <f t="shared" si="91"/>
        <v>137. Djibouti</v>
      </c>
    </row>
    <row r="2937" spans="1:5" x14ac:dyDescent="0.25">
      <c r="A2937" t="s">
        <v>78</v>
      </c>
      <c r="B2937" t="s">
        <v>451</v>
      </c>
      <c r="C2937" s="40">
        <v>0.1</v>
      </c>
      <c r="D2937">
        <f t="shared" si="90"/>
        <v>138</v>
      </c>
      <c r="E2937" t="str">
        <f t="shared" si="91"/>
        <v>138. Georgia</v>
      </c>
    </row>
    <row r="2938" spans="1:5" x14ac:dyDescent="0.25">
      <c r="A2938" t="s">
        <v>88</v>
      </c>
      <c r="B2938" t="s">
        <v>451</v>
      </c>
      <c r="C2938" s="40">
        <v>0.1</v>
      </c>
      <c r="D2938">
        <f t="shared" si="90"/>
        <v>139</v>
      </c>
      <c r="E2938" t="str">
        <f t="shared" si="91"/>
        <v>139. Guam</v>
      </c>
    </row>
    <row r="2939" spans="1:5" x14ac:dyDescent="0.25">
      <c r="A2939" t="s">
        <v>87</v>
      </c>
      <c r="B2939" t="s">
        <v>451</v>
      </c>
      <c r="C2939" s="40">
        <v>0.1</v>
      </c>
      <c r="D2939">
        <f t="shared" si="90"/>
        <v>140</v>
      </c>
      <c r="E2939" t="str">
        <f t="shared" si="91"/>
        <v>140. Guatemala</v>
      </c>
    </row>
    <row r="2940" spans="1:5" x14ac:dyDescent="0.25">
      <c r="A2940" t="s">
        <v>80</v>
      </c>
      <c r="B2940" t="s">
        <v>451</v>
      </c>
      <c r="C2940" s="40">
        <v>0.1</v>
      </c>
      <c r="D2940">
        <f t="shared" si="90"/>
        <v>141</v>
      </c>
      <c r="E2940" t="str">
        <f t="shared" si="91"/>
        <v>141. Guinea</v>
      </c>
    </row>
    <row r="2941" spans="1:5" x14ac:dyDescent="0.25">
      <c r="A2941" t="s">
        <v>89</v>
      </c>
      <c r="B2941" t="s">
        <v>451</v>
      </c>
      <c r="C2941" s="40">
        <v>0.1</v>
      </c>
      <c r="D2941">
        <f t="shared" si="90"/>
        <v>142</v>
      </c>
      <c r="E2941" t="str">
        <f t="shared" si="91"/>
        <v>142. Guyana</v>
      </c>
    </row>
    <row r="2942" spans="1:5" x14ac:dyDescent="0.25">
      <c r="A2942" t="s">
        <v>101</v>
      </c>
      <c r="B2942" t="s">
        <v>451</v>
      </c>
      <c r="C2942" s="40">
        <v>0.1</v>
      </c>
      <c r="D2942">
        <f t="shared" si="90"/>
        <v>143</v>
      </c>
      <c r="E2942" t="str">
        <f t="shared" si="91"/>
        <v>143. Iceland</v>
      </c>
    </row>
    <row r="2943" spans="1:5" x14ac:dyDescent="0.25">
      <c r="A2943" t="s">
        <v>385</v>
      </c>
      <c r="B2943" t="s">
        <v>451</v>
      </c>
      <c r="C2943" s="40">
        <v>0.1</v>
      </c>
      <c r="D2943">
        <f t="shared" si="90"/>
        <v>144</v>
      </c>
      <c r="E2943" t="str">
        <f t="shared" si="91"/>
        <v>144. Korea, Dem. People's Rep.</v>
      </c>
    </row>
    <row r="2944" spans="1:5" x14ac:dyDescent="0.25">
      <c r="A2944" t="s">
        <v>115</v>
      </c>
      <c r="B2944" t="s">
        <v>451</v>
      </c>
      <c r="C2944" s="40">
        <v>0.1</v>
      </c>
      <c r="D2944">
        <f t="shared" si="90"/>
        <v>145</v>
      </c>
      <c r="E2944" t="str">
        <f t="shared" si="91"/>
        <v>145. Lao PDR</v>
      </c>
    </row>
    <row r="2945" spans="1:5" x14ac:dyDescent="0.25">
      <c r="A2945" t="s">
        <v>117</v>
      </c>
      <c r="B2945" t="s">
        <v>451</v>
      </c>
      <c r="C2945" s="40">
        <v>0.1</v>
      </c>
      <c r="D2945">
        <f t="shared" si="90"/>
        <v>146</v>
      </c>
      <c r="E2945" t="str">
        <f t="shared" si="91"/>
        <v>146. Liberia</v>
      </c>
    </row>
    <row r="2946" spans="1:5" x14ac:dyDescent="0.25">
      <c r="A2946" t="s">
        <v>131</v>
      </c>
      <c r="B2946" t="s">
        <v>451</v>
      </c>
      <c r="C2946" s="40">
        <v>0.1</v>
      </c>
      <c r="D2946">
        <f t="shared" si="90"/>
        <v>147</v>
      </c>
      <c r="E2946" t="str">
        <f t="shared" si="91"/>
        <v>147. Maldives</v>
      </c>
    </row>
    <row r="2947" spans="1:5" x14ac:dyDescent="0.25">
      <c r="A2947" t="s">
        <v>138</v>
      </c>
      <c r="B2947" t="s">
        <v>451</v>
      </c>
      <c r="C2947" s="40">
        <v>0.1</v>
      </c>
      <c r="D2947">
        <f t="shared" ref="D2947:D3010" si="92">IF(ROW() = 2, 1, IF(B2947 = B2946, D2946 + 1, 1))</f>
        <v>148</v>
      </c>
      <c r="E2947" t="str">
        <f t="shared" ref="E2947:E3010" si="93">_xlfn.CONCAT(D2947, ". ", A2947)</f>
        <v>148. Montenegro</v>
      </c>
    </row>
    <row r="2948" spans="1:5" x14ac:dyDescent="0.25">
      <c r="A2948" t="s">
        <v>127</v>
      </c>
      <c r="B2948" t="s">
        <v>451</v>
      </c>
      <c r="C2948" s="40">
        <v>0.1</v>
      </c>
      <c r="D2948">
        <f t="shared" si="92"/>
        <v>149</v>
      </c>
      <c r="E2948" t="str">
        <f t="shared" si="93"/>
        <v>149. Morocco</v>
      </c>
    </row>
    <row r="2949" spans="1:5" x14ac:dyDescent="0.25">
      <c r="A2949" t="s">
        <v>137</v>
      </c>
      <c r="B2949" t="s">
        <v>451</v>
      </c>
      <c r="C2949" s="40">
        <v>0.1</v>
      </c>
      <c r="D2949">
        <f t="shared" si="92"/>
        <v>150</v>
      </c>
      <c r="E2949" t="str">
        <f t="shared" si="93"/>
        <v>150. Myanmar</v>
      </c>
    </row>
    <row r="2950" spans="1:5" x14ac:dyDescent="0.25">
      <c r="A2950" t="s">
        <v>146</v>
      </c>
      <c r="B2950" t="s">
        <v>451</v>
      </c>
      <c r="C2950" s="40">
        <v>0.1</v>
      </c>
      <c r="D2950">
        <f t="shared" si="92"/>
        <v>151</v>
      </c>
      <c r="E2950" t="str">
        <f t="shared" si="93"/>
        <v>151. Namibia</v>
      </c>
    </row>
    <row r="2951" spans="1:5" x14ac:dyDescent="0.25">
      <c r="A2951" t="s">
        <v>147</v>
      </c>
      <c r="B2951" t="s">
        <v>451</v>
      </c>
      <c r="C2951" s="40">
        <v>0.1</v>
      </c>
      <c r="D2951">
        <f t="shared" si="92"/>
        <v>152</v>
      </c>
      <c r="E2951" t="str">
        <f t="shared" si="93"/>
        <v>152. New Caledonia</v>
      </c>
    </row>
    <row r="2952" spans="1:5" x14ac:dyDescent="0.25">
      <c r="A2952" t="s">
        <v>160</v>
      </c>
      <c r="B2952" t="s">
        <v>451</v>
      </c>
      <c r="C2952" s="40">
        <v>0.1</v>
      </c>
      <c r="D2952">
        <f t="shared" si="92"/>
        <v>153</v>
      </c>
      <c r="E2952" t="str">
        <f t="shared" si="93"/>
        <v>153. Philippines</v>
      </c>
    </row>
    <row r="2953" spans="1:5" x14ac:dyDescent="0.25">
      <c r="A2953" t="s">
        <v>222</v>
      </c>
      <c r="B2953" t="s">
        <v>451</v>
      </c>
      <c r="C2953" s="40">
        <v>0.1</v>
      </c>
      <c r="D2953">
        <f t="shared" si="92"/>
        <v>154</v>
      </c>
      <c r="E2953" t="str">
        <f t="shared" si="93"/>
        <v>154. Somalia, Fed. Rep.</v>
      </c>
    </row>
    <row r="2954" spans="1:5" x14ac:dyDescent="0.25">
      <c r="A2954" t="s">
        <v>185</v>
      </c>
      <c r="B2954" t="s">
        <v>451</v>
      </c>
      <c r="C2954" s="40">
        <v>0.1</v>
      </c>
      <c r="D2954">
        <f t="shared" si="92"/>
        <v>155</v>
      </c>
      <c r="E2954" t="str">
        <f t="shared" si="93"/>
        <v>155. Suriname</v>
      </c>
    </row>
    <row r="2955" spans="1:5" x14ac:dyDescent="0.25">
      <c r="A2955" t="s">
        <v>201</v>
      </c>
      <c r="B2955" t="s">
        <v>451</v>
      </c>
      <c r="C2955" s="40">
        <v>0.1</v>
      </c>
      <c r="D2955">
        <f t="shared" si="92"/>
        <v>156</v>
      </c>
      <c r="E2955" t="str">
        <f t="shared" si="93"/>
        <v>156. Trinidad and Tobago</v>
      </c>
    </row>
    <row r="2956" spans="1:5" x14ac:dyDescent="0.25">
      <c r="A2956" t="s">
        <v>202</v>
      </c>
      <c r="B2956" t="s">
        <v>451</v>
      </c>
      <c r="C2956" s="40">
        <v>0.1</v>
      </c>
      <c r="D2956">
        <f t="shared" si="92"/>
        <v>157</v>
      </c>
      <c r="E2956" t="str">
        <f t="shared" si="93"/>
        <v>157. Tunisia</v>
      </c>
    </row>
    <row r="2957" spans="1:5" x14ac:dyDescent="0.25">
      <c r="A2957" t="s">
        <v>212</v>
      </c>
      <c r="B2957" t="s">
        <v>451</v>
      </c>
      <c r="C2957" s="40">
        <v>0.1</v>
      </c>
      <c r="D2957">
        <f t="shared" si="92"/>
        <v>158</v>
      </c>
      <c r="E2957" t="str">
        <f t="shared" si="93"/>
        <v>158. Virgin Islands (U.S.)</v>
      </c>
    </row>
    <row r="2958" spans="1:5" x14ac:dyDescent="0.25">
      <c r="A2958" t="s">
        <v>13</v>
      </c>
      <c r="B2958" t="s">
        <v>451</v>
      </c>
      <c r="C2958" s="40">
        <v>0</v>
      </c>
      <c r="D2958">
        <f t="shared" si="92"/>
        <v>159</v>
      </c>
      <c r="E2958" t="str">
        <f t="shared" si="93"/>
        <v>159. Albania</v>
      </c>
    </row>
    <row r="2959" spans="1:5" x14ac:dyDescent="0.25">
      <c r="A2959" t="s">
        <v>18</v>
      </c>
      <c r="B2959" t="s">
        <v>451</v>
      </c>
      <c r="C2959" s="40">
        <v>0</v>
      </c>
      <c r="D2959">
        <f t="shared" si="92"/>
        <v>160</v>
      </c>
      <c r="E2959" t="str">
        <f t="shared" si="93"/>
        <v>160. American Samoa</v>
      </c>
    </row>
    <row r="2960" spans="1:5" x14ac:dyDescent="0.25">
      <c r="A2960" t="s">
        <v>14</v>
      </c>
      <c r="B2960" t="s">
        <v>451</v>
      </c>
      <c r="C2960" s="40">
        <v>0</v>
      </c>
      <c r="D2960">
        <f t="shared" si="92"/>
        <v>161</v>
      </c>
      <c r="E2960" t="str">
        <f t="shared" si="93"/>
        <v>161. Andorra</v>
      </c>
    </row>
    <row r="2961" spans="1:5" x14ac:dyDescent="0.25">
      <c r="A2961" t="s">
        <v>19</v>
      </c>
      <c r="B2961" t="s">
        <v>451</v>
      </c>
      <c r="C2961" s="40">
        <v>0</v>
      </c>
      <c r="D2961">
        <f t="shared" si="92"/>
        <v>162</v>
      </c>
      <c r="E2961" t="str">
        <f t="shared" si="93"/>
        <v>162. Antigua and Barbuda</v>
      </c>
    </row>
    <row r="2962" spans="1:5" x14ac:dyDescent="0.25">
      <c r="A2962" t="s">
        <v>37</v>
      </c>
      <c r="B2962" t="s">
        <v>451</v>
      </c>
      <c r="C2962" s="40">
        <v>0</v>
      </c>
      <c r="D2962">
        <f t="shared" si="92"/>
        <v>163</v>
      </c>
      <c r="E2962" t="str">
        <f t="shared" si="93"/>
        <v>163. Barbados</v>
      </c>
    </row>
    <row r="2963" spans="1:5" x14ac:dyDescent="0.25">
      <c r="A2963" t="s">
        <v>34</v>
      </c>
      <c r="B2963" t="s">
        <v>451</v>
      </c>
      <c r="C2963" s="40">
        <v>0</v>
      </c>
      <c r="D2963">
        <f t="shared" si="92"/>
        <v>164</v>
      </c>
      <c r="E2963" t="str">
        <f t="shared" si="93"/>
        <v>164. Bermuda</v>
      </c>
    </row>
    <row r="2964" spans="1:5" x14ac:dyDescent="0.25">
      <c r="A2964" t="s">
        <v>31</v>
      </c>
      <c r="B2964" t="s">
        <v>451</v>
      </c>
      <c r="C2964" s="40">
        <v>0</v>
      </c>
      <c r="D2964">
        <f t="shared" si="92"/>
        <v>165</v>
      </c>
      <c r="E2964" t="str">
        <f t="shared" si="93"/>
        <v>165. Bosnia and Herzegovina</v>
      </c>
    </row>
    <row r="2965" spans="1:5" x14ac:dyDescent="0.25">
      <c r="A2965" t="s">
        <v>53</v>
      </c>
      <c r="B2965" t="s">
        <v>451</v>
      </c>
      <c r="C2965" s="40">
        <v>0</v>
      </c>
      <c r="D2965">
        <f t="shared" si="92"/>
        <v>166</v>
      </c>
      <c r="E2965" t="str">
        <f t="shared" si="93"/>
        <v>166. Cabo Verde</v>
      </c>
    </row>
    <row r="2966" spans="1:5" x14ac:dyDescent="0.25">
      <c r="A2966" t="s">
        <v>57</v>
      </c>
      <c r="B2966" t="s">
        <v>451</v>
      </c>
      <c r="C2966" s="40">
        <v>0</v>
      </c>
      <c r="D2966">
        <f t="shared" si="92"/>
        <v>167</v>
      </c>
      <c r="E2966" t="str">
        <f t="shared" si="93"/>
        <v>167. Cayman Islands</v>
      </c>
    </row>
    <row r="2967" spans="1:5" x14ac:dyDescent="0.25">
      <c r="A2967" t="s">
        <v>52</v>
      </c>
      <c r="B2967" t="s">
        <v>451</v>
      </c>
      <c r="C2967" s="40">
        <v>0</v>
      </c>
      <c r="D2967">
        <f t="shared" si="92"/>
        <v>168</v>
      </c>
      <c r="E2967" t="str">
        <f t="shared" si="93"/>
        <v>168. Comoros</v>
      </c>
    </row>
    <row r="2968" spans="1:5" x14ac:dyDescent="0.25">
      <c r="A2968" t="s">
        <v>55</v>
      </c>
      <c r="B2968" t="s">
        <v>451</v>
      </c>
      <c r="C2968" s="40">
        <v>0</v>
      </c>
      <c r="D2968">
        <f t="shared" si="92"/>
        <v>169</v>
      </c>
      <c r="E2968" t="str">
        <f t="shared" si="93"/>
        <v>169. Cuba</v>
      </c>
    </row>
    <row r="2969" spans="1:5" x14ac:dyDescent="0.25">
      <c r="A2969" t="s">
        <v>62</v>
      </c>
      <c r="B2969" t="s">
        <v>451</v>
      </c>
      <c r="C2969" s="40">
        <v>0</v>
      </c>
      <c r="D2969">
        <f t="shared" si="92"/>
        <v>170</v>
      </c>
      <c r="E2969" t="str">
        <f t="shared" si="93"/>
        <v>170. Dominica</v>
      </c>
    </row>
    <row r="2970" spans="1:5" x14ac:dyDescent="0.25">
      <c r="A2970" t="s">
        <v>179</v>
      </c>
      <c r="B2970" t="s">
        <v>451</v>
      </c>
      <c r="C2970" s="40">
        <v>0</v>
      </c>
      <c r="D2970">
        <f t="shared" si="92"/>
        <v>171</v>
      </c>
      <c r="E2970" t="str">
        <f t="shared" si="93"/>
        <v>171. El Salvador</v>
      </c>
    </row>
    <row r="2971" spans="1:5" x14ac:dyDescent="0.25">
      <c r="A2971" t="s">
        <v>224</v>
      </c>
      <c r="B2971" t="s">
        <v>451</v>
      </c>
      <c r="C2971" s="40">
        <v>0</v>
      </c>
      <c r="D2971">
        <f t="shared" si="92"/>
        <v>172</v>
      </c>
      <c r="E2971" t="str">
        <f t="shared" si="93"/>
        <v>172. Eritrea</v>
      </c>
    </row>
    <row r="2972" spans="1:5" x14ac:dyDescent="0.25">
      <c r="A2972" t="s">
        <v>189</v>
      </c>
      <c r="B2972" t="s">
        <v>451</v>
      </c>
      <c r="C2972" s="40">
        <v>0</v>
      </c>
      <c r="D2972">
        <f t="shared" si="92"/>
        <v>173</v>
      </c>
      <c r="E2972" t="str">
        <f t="shared" si="93"/>
        <v>173. Eswatini</v>
      </c>
    </row>
    <row r="2973" spans="1:5" x14ac:dyDescent="0.25">
      <c r="A2973" t="s">
        <v>74</v>
      </c>
      <c r="B2973" t="s">
        <v>451</v>
      </c>
      <c r="C2973" s="40">
        <v>0</v>
      </c>
      <c r="D2973">
        <f t="shared" si="92"/>
        <v>174</v>
      </c>
      <c r="E2973" t="str">
        <f t="shared" si="93"/>
        <v>174. Faroe Islands</v>
      </c>
    </row>
    <row r="2974" spans="1:5" x14ac:dyDescent="0.25">
      <c r="A2974" t="s">
        <v>72</v>
      </c>
      <c r="B2974" t="s">
        <v>451</v>
      </c>
      <c r="C2974" s="40">
        <v>0</v>
      </c>
      <c r="D2974">
        <f t="shared" si="92"/>
        <v>175</v>
      </c>
      <c r="E2974" t="str">
        <f t="shared" si="93"/>
        <v>175. Fiji</v>
      </c>
    </row>
    <row r="2975" spans="1:5" x14ac:dyDescent="0.25">
      <c r="A2975" t="s">
        <v>168</v>
      </c>
      <c r="B2975" t="s">
        <v>451</v>
      </c>
      <c r="C2975" s="40">
        <v>0</v>
      </c>
      <c r="D2975">
        <f t="shared" si="92"/>
        <v>176</v>
      </c>
      <c r="E2975" t="str">
        <f t="shared" si="93"/>
        <v>176. French Polynesia</v>
      </c>
    </row>
    <row r="2976" spans="1:5" x14ac:dyDescent="0.25">
      <c r="A2976" t="s">
        <v>86</v>
      </c>
      <c r="B2976" t="s">
        <v>451</v>
      </c>
      <c r="C2976" s="40">
        <v>0</v>
      </c>
      <c r="D2976">
        <f t="shared" si="92"/>
        <v>177</v>
      </c>
      <c r="E2976" t="str">
        <f t="shared" si="93"/>
        <v>177. Greenland</v>
      </c>
    </row>
    <row r="2977" spans="1:5" x14ac:dyDescent="0.25">
      <c r="A2977" t="s">
        <v>85</v>
      </c>
      <c r="B2977" t="s">
        <v>451</v>
      </c>
      <c r="C2977" s="40">
        <v>0</v>
      </c>
      <c r="D2977">
        <f t="shared" si="92"/>
        <v>178</v>
      </c>
      <c r="E2977" t="str">
        <f t="shared" si="93"/>
        <v>178. Grenada</v>
      </c>
    </row>
    <row r="2978" spans="1:5" x14ac:dyDescent="0.25">
      <c r="A2978" t="s">
        <v>82</v>
      </c>
      <c r="B2978" t="s">
        <v>451</v>
      </c>
      <c r="C2978" s="40">
        <v>0</v>
      </c>
      <c r="D2978">
        <f t="shared" si="92"/>
        <v>179</v>
      </c>
      <c r="E2978" t="str">
        <f t="shared" si="93"/>
        <v>179. Guinea-Bissau</v>
      </c>
    </row>
    <row r="2979" spans="1:5" x14ac:dyDescent="0.25">
      <c r="A2979" t="s">
        <v>93</v>
      </c>
      <c r="B2979" t="s">
        <v>451</v>
      </c>
      <c r="C2979" s="40">
        <v>0</v>
      </c>
      <c r="D2979">
        <f t="shared" si="92"/>
        <v>180</v>
      </c>
      <c r="E2979" t="str">
        <f t="shared" si="93"/>
        <v>180. Haiti</v>
      </c>
    </row>
    <row r="2980" spans="1:5" x14ac:dyDescent="0.25">
      <c r="A2980" t="s">
        <v>91</v>
      </c>
      <c r="B2980" t="s">
        <v>451</v>
      </c>
      <c r="C2980" s="40">
        <v>0</v>
      </c>
      <c r="D2980">
        <f t="shared" si="92"/>
        <v>181</v>
      </c>
      <c r="E2980" t="str">
        <f t="shared" si="93"/>
        <v>181. Honduras</v>
      </c>
    </row>
    <row r="2981" spans="1:5" x14ac:dyDescent="0.25">
      <c r="A2981" t="s">
        <v>96</v>
      </c>
      <c r="B2981" t="s">
        <v>451</v>
      </c>
      <c r="C2981" s="40">
        <v>0</v>
      </c>
      <c r="D2981">
        <f t="shared" si="92"/>
        <v>182</v>
      </c>
      <c r="E2981" t="str">
        <f t="shared" si="93"/>
        <v>182. Isle of Man</v>
      </c>
    </row>
    <row r="2982" spans="1:5" x14ac:dyDescent="0.25">
      <c r="A2982" t="s">
        <v>104</v>
      </c>
      <c r="B2982" t="s">
        <v>451</v>
      </c>
      <c r="C2982" s="40">
        <v>0</v>
      </c>
      <c r="D2982">
        <f t="shared" si="92"/>
        <v>183</v>
      </c>
      <c r="E2982" t="str">
        <f t="shared" si="93"/>
        <v>183. Jamaica</v>
      </c>
    </row>
    <row r="2983" spans="1:5" x14ac:dyDescent="0.25">
      <c r="A2983" t="s">
        <v>111</v>
      </c>
      <c r="B2983" t="s">
        <v>451</v>
      </c>
      <c r="C2983" s="40">
        <v>0</v>
      </c>
      <c r="D2983">
        <f t="shared" si="92"/>
        <v>184</v>
      </c>
      <c r="E2983" t="str">
        <f t="shared" si="93"/>
        <v>184. Kiribati</v>
      </c>
    </row>
    <row r="2984" spans="1:5" x14ac:dyDescent="0.25">
      <c r="A2984" t="s">
        <v>122</v>
      </c>
      <c r="B2984" t="s">
        <v>451</v>
      </c>
      <c r="C2984" s="40">
        <v>0</v>
      </c>
      <c r="D2984">
        <f t="shared" si="92"/>
        <v>185</v>
      </c>
      <c r="E2984" t="str">
        <f t="shared" si="93"/>
        <v>185. Lesotho</v>
      </c>
    </row>
    <row r="2985" spans="1:5" x14ac:dyDescent="0.25">
      <c r="A2985" t="s">
        <v>120</v>
      </c>
      <c r="B2985" t="s">
        <v>451</v>
      </c>
      <c r="C2985" s="40">
        <v>0</v>
      </c>
      <c r="D2985">
        <f t="shared" si="92"/>
        <v>186</v>
      </c>
      <c r="E2985" t="str">
        <f t="shared" si="93"/>
        <v>186. Liechtenstein</v>
      </c>
    </row>
    <row r="2986" spans="1:5" x14ac:dyDescent="0.25">
      <c r="A2986" t="s">
        <v>130</v>
      </c>
      <c r="B2986" t="s">
        <v>451</v>
      </c>
      <c r="C2986" s="40">
        <v>0</v>
      </c>
      <c r="D2986">
        <f t="shared" si="92"/>
        <v>187</v>
      </c>
      <c r="E2986" t="str">
        <f t="shared" si="93"/>
        <v>187. Madagascar</v>
      </c>
    </row>
    <row r="2987" spans="1:5" x14ac:dyDescent="0.25">
      <c r="A2987" t="s">
        <v>133</v>
      </c>
      <c r="B2987" t="s">
        <v>451</v>
      </c>
      <c r="C2987" s="40">
        <v>0</v>
      </c>
      <c r="D2987">
        <f t="shared" si="92"/>
        <v>188</v>
      </c>
      <c r="E2987" t="str">
        <f t="shared" si="93"/>
        <v>188. Marshall Islands</v>
      </c>
    </row>
    <row r="2988" spans="1:5" x14ac:dyDescent="0.25">
      <c r="A2988" t="s">
        <v>143</v>
      </c>
      <c r="B2988" t="s">
        <v>451</v>
      </c>
      <c r="C2988" s="40">
        <v>0</v>
      </c>
      <c r="D2988">
        <f t="shared" si="92"/>
        <v>189</v>
      </c>
      <c r="E2988" t="str">
        <f t="shared" si="93"/>
        <v>189. Mauritius</v>
      </c>
    </row>
    <row r="2989" spans="1:5" x14ac:dyDescent="0.25">
      <c r="A2989" t="s">
        <v>75</v>
      </c>
      <c r="B2989" t="s">
        <v>451</v>
      </c>
      <c r="C2989" s="40">
        <v>0</v>
      </c>
      <c r="D2989">
        <f t="shared" si="92"/>
        <v>190</v>
      </c>
      <c r="E2989" t="str">
        <f t="shared" si="93"/>
        <v>190. Micronesia, Fed. Sts.</v>
      </c>
    </row>
    <row r="2990" spans="1:5" x14ac:dyDescent="0.25">
      <c r="A2990" t="s">
        <v>128</v>
      </c>
      <c r="B2990" t="s">
        <v>451</v>
      </c>
      <c r="C2990" s="40">
        <v>0</v>
      </c>
      <c r="D2990">
        <f t="shared" si="92"/>
        <v>191</v>
      </c>
      <c r="E2990" t="str">
        <f t="shared" si="93"/>
        <v>191. Monaco</v>
      </c>
    </row>
    <row r="2991" spans="1:5" x14ac:dyDescent="0.25">
      <c r="A2991" t="s">
        <v>139</v>
      </c>
      <c r="B2991" t="s">
        <v>451</v>
      </c>
      <c r="C2991" s="40">
        <v>0</v>
      </c>
      <c r="D2991">
        <f t="shared" si="92"/>
        <v>192</v>
      </c>
      <c r="E2991" t="str">
        <f t="shared" si="93"/>
        <v>192. Mongolia</v>
      </c>
    </row>
    <row r="2992" spans="1:5" x14ac:dyDescent="0.25">
      <c r="A2992" t="s">
        <v>154</v>
      </c>
      <c r="B2992" t="s">
        <v>451</v>
      </c>
      <c r="C2992" s="40">
        <v>0</v>
      </c>
      <c r="D2992">
        <f t="shared" si="92"/>
        <v>193</v>
      </c>
      <c r="E2992" t="str">
        <f t="shared" si="93"/>
        <v>193. Nauru</v>
      </c>
    </row>
    <row r="2993" spans="1:5" x14ac:dyDescent="0.25">
      <c r="A2993" t="s">
        <v>150</v>
      </c>
      <c r="B2993" t="s">
        <v>451</v>
      </c>
      <c r="C2993" s="40">
        <v>0</v>
      </c>
      <c r="D2993">
        <f t="shared" si="92"/>
        <v>194</v>
      </c>
      <c r="E2993" t="str">
        <f t="shared" si="93"/>
        <v>194. Nicaragua</v>
      </c>
    </row>
    <row r="2994" spans="1:5" x14ac:dyDescent="0.25">
      <c r="A2994" t="s">
        <v>140</v>
      </c>
      <c r="B2994" t="s">
        <v>451</v>
      </c>
      <c r="C2994" s="40">
        <v>0</v>
      </c>
      <c r="D2994">
        <f t="shared" si="92"/>
        <v>195</v>
      </c>
      <c r="E2994" t="str">
        <f t="shared" si="93"/>
        <v>195. Northern Mariana Islands</v>
      </c>
    </row>
    <row r="2995" spans="1:5" x14ac:dyDescent="0.25">
      <c r="A2995" t="s">
        <v>161</v>
      </c>
      <c r="B2995" t="s">
        <v>451</v>
      </c>
      <c r="C2995" s="40">
        <v>0</v>
      </c>
      <c r="D2995">
        <f t="shared" si="92"/>
        <v>196</v>
      </c>
      <c r="E2995" t="str">
        <f t="shared" si="93"/>
        <v>196. Palau</v>
      </c>
    </row>
    <row r="2996" spans="1:5" x14ac:dyDescent="0.25">
      <c r="A2996" t="s">
        <v>162</v>
      </c>
      <c r="B2996" t="s">
        <v>451</v>
      </c>
      <c r="C2996" s="40">
        <v>0</v>
      </c>
      <c r="D2996">
        <f t="shared" si="92"/>
        <v>197</v>
      </c>
      <c r="E2996" t="str">
        <f t="shared" si="93"/>
        <v>197. Papua New Guinea</v>
      </c>
    </row>
    <row r="2997" spans="1:5" x14ac:dyDescent="0.25">
      <c r="A2997" t="s">
        <v>215</v>
      </c>
      <c r="B2997" t="s">
        <v>451</v>
      </c>
      <c r="C2997" s="40">
        <v>0</v>
      </c>
      <c r="D2997">
        <f t="shared" si="92"/>
        <v>198</v>
      </c>
      <c r="E2997" t="str">
        <f t="shared" si="93"/>
        <v>198. Samoa</v>
      </c>
    </row>
    <row r="2998" spans="1:5" x14ac:dyDescent="0.25">
      <c r="A2998" t="s">
        <v>180</v>
      </c>
      <c r="B2998" t="s">
        <v>451</v>
      </c>
      <c r="C2998" s="40">
        <v>0</v>
      </c>
      <c r="D2998">
        <f t="shared" si="92"/>
        <v>199</v>
      </c>
      <c r="E2998" t="str">
        <f t="shared" si="93"/>
        <v>199. San Marino</v>
      </c>
    </row>
    <row r="2999" spans="1:5" x14ac:dyDescent="0.25">
      <c r="A2999" t="s">
        <v>184</v>
      </c>
      <c r="B2999" t="s">
        <v>451</v>
      </c>
      <c r="C2999" s="40">
        <v>0</v>
      </c>
      <c r="D2999">
        <f t="shared" si="92"/>
        <v>200</v>
      </c>
      <c r="E2999" t="str">
        <f t="shared" si="93"/>
        <v>200. Sao Tome and Principe</v>
      </c>
    </row>
    <row r="3000" spans="1:5" x14ac:dyDescent="0.25">
      <c r="A3000" t="s">
        <v>191</v>
      </c>
      <c r="B3000" t="s">
        <v>451</v>
      </c>
      <c r="C3000" s="40">
        <v>0</v>
      </c>
      <c r="D3000">
        <f t="shared" si="92"/>
        <v>201</v>
      </c>
      <c r="E3000" t="str">
        <f t="shared" si="93"/>
        <v>201. Seychelles</v>
      </c>
    </row>
    <row r="3001" spans="1:5" x14ac:dyDescent="0.25">
      <c r="A3001" t="s">
        <v>178</v>
      </c>
      <c r="B3001" t="s">
        <v>451</v>
      </c>
      <c r="C3001" s="40">
        <v>0</v>
      </c>
      <c r="D3001">
        <f t="shared" si="92"/>
        <v>202</v>
      </c>
      <c r="E3001" t="str">
        <f t="shared" si="93"/>
        <v>202. Sierra Leone</v>
      </c>
    </row>
    <row r="3002" spans="1:5" x14ac:dyDescent="0.25">
      <c r="A3002" t="s">
        <v>190</v>
      </c>
      <c r="B3002" t="s">
        <v>451</v>
      </c>
      <c r="C3002" s="40">
        <v>0</v>
      </c>
      <c r="D3002">
        <f t="shared" si="92"/>
        <v>203</v>
      </c>
      <c r="E3002" t="str">
        <f t="shared" si="93"/>
        <v>203. Sint Maarten (Dutch part)</v>
      </c>
    </row>
    <row r="3003" spans="1:5" x14ac:dyDescent="0.25">
      <c r="A3003" t="s">
        <v>177</v>
      </c>
      <c r="B3003" t="s">
        <v>451</v>
      </c>
      <c r="C3003" s="40">
        <v>0</v>
      </c>
      <c r="D3003">
        <f t="shared" si="92"/>
        <v>204</v>
      </c>
      <c r="E3003" t="str">
        <f t="shared" si="93"/>
        <v>204. Solomon Islands</v>
      </c>
    </row>
    <row r="3004" spans="1:5" x14ac:dyDescent="0.25">
      <c r="A3004" t="s">
        <v>121</v>
      </c>
      <c r="B3004" t="s">
        <v>451</v>
      </c>
      <c r="C3004" s="40">
        <v>0</v>
      </c>
      <c r="D3004">
        <f t="shared" si="92"/>
        <v>205</v>
      </c>
      <c r="E3004" t="str">
        <f t="shared" si="93"/>
        <v>205. Sri Lanka</v>
      </c>
    </row>
    <row r="3005" spans="1:5" x14ac:dyDescent="0.25">
      <c r="A3005" t="s">
        <v>112</v>
      </c>
      <c r="B3005" t="s">
        <v>451</v>
      </c>
      <c r="C3005" s="40">
        <v>0</v>
      </c>
      <c r="D3005">
        <f t="shared" si="92"/>
        <v>206</v>
      </c>
      <c r="E3005" t="str">
        <f t="shared" si="93"/>
        <v>206. St. Kitts and Nevis</v>
      </c>
    </row>
    <row r="3006" spans="1:5" x14ac:dyDescent="0.25">
      <c r="A3006" t="s">
        <v>119</v>
      </c>
      <c r="B3006" t="s">
        <v>451</v>
      </c>
      <c r="C3006" s="40">
        <v>0</v>
      </c>
      <c r="D3006">
        <f t="shared" si="92"/>
        <v>207</v>
      </c>
      <c r="E3006" t="str">
        <f t="shared" si="93"/>
        <v>207. St. Lucia</v>
      </c>
    </row>
    <row r="3007" spans="1:5" x14ac:dyDescent="0.25">
      <c r="A3007" t="s">
        <v>211</v>
      </c>
      <c r="B3007" t="s">
        <v>451</v>
      </c>
      <c r="C3007" s="40">
        <v>0</v>
      </c>
      <c r="D3007">
        <f t="shared" si="92"/>
        <v>208</v>
      </c>
      <c r="E3007" t="str">
        <f t="shared" si="93"/>
        <v>208. St. Vincent and the Grenadines</v>
      </c>
    </row>
    <row r="3008" spans="1:5" x14ac:dyDescent="0.25">
      <c r="A3008" t="s">
        <v>199</v>
      </c>
      <c r="B3008" t="s">
        <v>451</v>
      </c>
      <c r="C3008" s="40">
        <v>0</v>
      </c>
      <c r="D3008">
        <f t="shared" si="92"/>
        <v>209</v>
      </c>
      <c r="E3008" t="str">
        <f t="shared" si="93"/>
        <v>209. Timor-Leste</v>
      </c>
    </row>
    <row r="3009" spans="1:5" x14ac:dyDescent="0.25">
      <c r="A3009" t="s">
        <v>200</v>
      </c>
      <c r="B3009" t="s">
        <v>451</v>
      </c>
      <c r="C3009" s="40">
        <v>0</v>
      </c>
      <c r="D3009">
        <f t="shared" si="92"/>
        <v>210</v>
      </c>
      <c r="E3009" t="str">
        <f t="shared" si="93"/>
        <v>210. Tonga</v>
      </c>
    </row>
    <row r="3010" spans="1:5" x14ac:dyDescent="0.25">
      <c r="A3010" t="s">
        <v>193</v>
      </c>
      <c r="B3010" t="s">
        <v>451</v>
      </c>
      <c r="C3010" s="40">
        <v>0</v>
      </c>
      <c r="D3010">
        <f t="shared" si="92"/>
        <v>211</v>
      </c>
      <c r="E3010" t="str">
        <f t="shared" si="93"/>
        <v>211. Turks and Caicos Islands</v>
      </c>
    </row>
    <row r="3011" spans="1:5" x14ac:dyDescent="0.25">
      <c r="A3011" t="s">
        <v>204</v>
      </c>
      <c r="B3011" t="s">
        <v>451</v>
      </c>
      <c r="C3011" s="40">
        <v>0</v>
      </c>
      <c r="D3011">
        <f t="shared" ref="D3011:D3074" si="94">IF(ROW() = 2, 1, IF(B3011 = B3010, D3010 + 1, 1))</f>
        <v>212</v>
      </c>
      <c r="E3011" t="str">
        <f t="shared" ref="E3011:E3074" si="95">_xlfn.CONCAT(D3011, ". ", A3011)</f>
        <v>212. Tuvalu</v>
      </c>
    </row>
    <row r="3012" spans="1:5" x14ac:dyDescent="0.25">
      <c r="A3012" t="s">
        <v>214</v>
      </c>
      <c r="B3012" t="s">
        <v>451</v>
      </c>
      <c r="C3012" s="40">
        <v>0</v>
      </c>
      <c r="D3012">
        <f t="shared" si="94"/>
        <v>213</v>
      </c>
      <c r="E3012" t="str">
        <f t="shared" si="95"/>
        <v>213. Vanuatu</v>
      </c>
    </row>
    <row r="3013" spans="1:5" x14ac:dyDescent="0.25">
      <c r="A3013" t="s">
        <v>169</v>
      </c>
      <c r="B3013" t="s">
        <v>452</v>
      </c>
      <c r="C3013" s="40">
        <v>76.7</v>
      </c>
      <c r="D3013">
        <f t="shared" si="94"/>
        <v>1</v>
      </c>
      <c r="E3013" t="str">
        <f t="shared" si="95"/>
        <v>1. Qatar</v>
      </c>
    </row>
    <row r="3014" spans="1:5" x14ac:dyDescent="0.25">
      <c r="A3014" t="s">
        <v>15</v>
      </c>
      <c r="B3014" t="s">
        <v>452</v>
      </c>
      <c r="C3014" s="40">
        <v>74</v>
      </c>
      <c r="D3014">
        <f t="shared" si="94"/>
        <v>2</v>
      </c>
      <c r="E3014" t="str">
        <f t="shared" si="95"/>
        <v>2. United Arab Emirates</v>
      </c>
    </row>
    <row r="3015" spans="1:5" x14ac:dyDescent="0.25">
      <c r="A3015" t="s">
        <v>128</v>
      </c>
      <c r="B3015" t="s">
        <v>452</v>
      </c>
      <c r="C3015" s="40">
        <v>70.2</v>
      </c>
      <c r="D3015">
        <f t="shared" si="94"/>
        <v>3</v>
      </c>
      <c r="E3015" t="str">
        <f t="shared" si="95"/>
        <v>3. Monaco</v>
      </c>
    </row>
    <row r="3016" spans="1:5" x14ac:dyDescent="0.25">
      <c r="A3016" t="s">
        <v>190</v>
      </c>
      <c r="B3016" t="s">
        <v>452</v>
      </c>
      <c r="C3016" s="40">
        <v>69.5</v>
      </c>
      <c r="D3016">
        <f t="shared" si="94"/>
        <v>4</v>
      </c>
      <c r="E3016" t="str">
        <f t="shared" si="95"/>
        <v>4. Sint Maarten (Dutch part)</v>
      </c>
    </row>
    <row r="3017" spans="1:5" x14ac:dyDescent="0.25">
      <c r="A3017" t="s">
        <v>120</v>
      </c>
      <c r="B3017" t="s">
        <v>452</v>
      </c>
      <c r="C3017" s="40">
        <v>69.400000000000006</v>
      </c>
      <c r="D3017">
        <f t="shared" si="94"/>
        <v>5</v>
      </c>
      <c r="E3017" t="str">
        <f t="shared" si="95"/>
        <v>5. Liechtenstein</v>
      </c>
    </row>
    <row r="3018" spans="1:5" x14ac:dyDescent="0.25">
      <c r="A3018" t="s">
        <v>10</v>
      </c>
      <c r="B3018" t="s">
        <v>452</v>
      </c>
      <c r="C3018" s="40">
        <v>68</v>
      </c>
      <c r="D3018">
        <f t="shared" si="94"/>
        <v>6</v>
      </c>
      <c r="E3018" t="str">
        <f t="shared" si="95"/>
        <v>6. Aruba</v>
      </c>
    </row>
    <row r="3019" spans="1:5" x14ac:dyDescent="0.25">
      <c r="A3019" t="s">
        <v>114</v>
      </c>
      <c r="B3019" t="s">
        <v>452</v>
      </c>
      <c r="C3019" s="40">
        <v>67.3</v>
      </c>
      <c r="D3019">
        <f t="shared" si="94"/>
        <v>7</v>
      </c>
      <c r="E3019" t="str">
        <f t="shared" si="95"/>
        <v>7. Kuwait</v>
      </c>
    </row>
    <row r="3020" spans="1:5" x14ac:dyDescent="0.25">
      <c r="A3020" t="s">
        <v>212</v>
      </c>
      <c r="B3020" t="s">
        <v>452</v>
      </c>
      <c r="C3020" s="40">
        <v>66.900000000000006</v>
      </c>
      <c r="D3020">
        <f t="shared" si="94"/>
        <v>8</v>
      </c>
      <c r="E3020" t="str">
        <f t="shared" si="95"/>
        <v>8. Virgin Islands (U.S.)</v>
      </c>
    </row>
    <row r="3021" spans="1:5" x14ac:dyDescent="0.25">
      <c r="A3021" t="s">
        <v>193</v>
      </c>
      <c r="B3021" t="s">
        <v>452</v>
      </c>
      <c r="C3021" s="40">
        <v>61.1</v>
      </c>
      <c r="D3021">
        <f t="shared" si="94"/>
        <v>9</v>
      </c>
      <c r="E3021" t="str">
        <f t="shared" si="95"/>
        <v>9. Turks and Caicos Islands</v>
      </c>
    </row>
    <row r="3022" spans="1:5" x14ac:dyDescent="0.25">
      <c r="A3022" t="s">
        <v>126</v>
      </c>
      <c r="B3022" t="s">
        <v>452</v>
      </c>
      <c r="C3022" s="40">
        <v>59.3</v>
      </c>
      <c r="D3022">
        <f t="shared" si="94"/>
        <v>10</v>
      </c>
      <c r="E3022" t="str">
        <f t="shared" si="95"/>
        <v>10. Macao SAR, China</v>
      </c>
    </row>
    <row r="3023" spans="1:5" x14ac:dyDescent="0.25">
      <c r="A3023" t="s">
        <v>14</v>
      </c>
      <c r="B3023" t="s">
        <v>452</v>
      </c>
      <c r="C3023" s="40">
        <v>59.1</v>
      </c>
      <c r="D3023">
        <f t="shared" si="94"/>
        <v>11</v>
      </c>
      <c r="E3023" t="str">
        <f t="shared" si="95"/>
        <v>11. Andorra</v>
      </c>
    </row>
    <row r="3024" spans="1:5" x14ac:dyDescent="0.25">
      <c r="A3024" t="s">
        <v>29</v>
      </c>
      <c r="B3024" t="s">
        <v>452</v>
      </c>
      <c r="C3024" s="40">
        <v>52.3</v>
      </c>
      <c r="D3024">
        <f t="shared" si="94"/>
        <v>12</v>
      </c>
      <c r="E3024" t="str">
        <f t="shared" si="95"/>
        <v>12. Bahrain</v>
      </c>
    </row>
    <row r="3025" spans="1:5" x14ac:dyDescent="0.25">
      <c r="A3025" t="s">
        <v>96</v>
      </c>
      <c r="B3025" t="s">
        <v>452</v>
      </c>
      <c r="C3025" s="40">
        <v>51.9</v>
      </c>
      <c r="D3025">
        <f t="shared" si="94"/>
        <v>13</v>
      </c>
      <c r="E3025" t="str">
        <f t="shared" si="95"/>
        <v>13. Isle of Man</v>
      </c>
    </row>
    <row r="3026" spans="1:5" x14ac:dyDescent="0.25">
      <c r="A3026" t="s">
        <v>124</v>
      </c>
      <c r="B3026" t="s">
        <v>452</v>
      </c>
      <c r="C3026" s="40">
        <v>51.2</v>
      </c>
      <c r="D3026">
        <f t="shared" si="94"/>
        <v>14</v>
      </c>
      <c r="E3026" t="str">
        <f t="shared" si="95"/>
        <v>14. Luxembourg</v>
      </c>
    </row>
    <row r="3027" spans="1:5" x14ac:dyDescent="0.25">
      <c r="A3027" t="s">
        <v>44</v>
      </c>
      <c r="B3027" t="s">
        <v>452</v>
      </c>
      <c r="C3027" s="40">
        <v>50.9</v>
      </c>
      <c r="D3027">
        <f t="shared" si="94"/>
        <v>15</v>
      </c>
      <c r="E3027" t="str">
        <f t="shared" si="95"/>
        <v>15. Channel Islands</v>
      </c>
    </row>
    <row r="3028" spans="1:5" x14ac:dyDescent="0.25">
      <c r="A3028" t="s">
        <v>18</v>
      </c>
      <c r="B3028" t="s">
        <v>452</v>
      </c>
      <c r="C3028" s="40">
        <v>50.6</v>
      </c>
      <c r="D3028">
        <f t="shared" si="94"/>
        <v>16</v>
      </c>
      <c r="E3028" t="str">
        <f t="shared" si="95"/>
        <v>16. American Samoa</v>
      </c>
    </row>
    <row r="3029" spans="1:5" x14ac:dyDescent="0.25">
      <c r="A3029" t="s">
        <v>88</v>
      </c>
      <c r="B3029" t="s">
        <v>452</v>
      </c>
      <c r="C3029" s="40">
        <v>50.2</v>
      </c>
      <c r="D3029">
        <f t="shared" si="94"/>
        <v>17</v>
      </c>
      <c r="E3029" t="str">
        <f t="shared" si="95"/>
        <v>17. Guam</v>
      </c>
    </row>
    <row r="3030" spans="1:5" x14ac:dyDescent="0.25">
      <c r="A3030" t="s">
        <v>140</v>
      </c>
      <c r="B3030" t="s">
        <v>452</v>
      </c>
      <c r="C3030" s="40">
        <v>49.7</v>
      </c>
      <c r="D3030">
        <f t="shared" si="94"/>
        <v>18</v>
      </c>
      <c r="E3030" t="str">
        <f t="shared" si="95"/>
        <v>18. Northern Mariana Islands</v>
      </c>
    </row>
    <row r="3031" spans="1:5" x14ac:dyDescent="0.25">
      <c r="A3031" t="s">
        <v>176</v>
      </c>
      <c r="B3031" t="s">
        <v>452</v>
      </c>
      <c r="C3031" s="40">
        <v>48.7</v>
      </c>
      <c r="D3031">
        <f t="shared" si="94"/>
        <v>19</v>
      </c>
      <c r="E3031" t="str">
        <f t="shared" si="95"/>
        <v>19. Singapore</v>
      </c>
    </row>
    <row r="3032" spans="1:5" x14ac:dyDescent="0.25">
      <c r="A3032" t="s">
        <v>105</v>
      </c>
      <c r="B3032" t="s">
        <v>452</v>
      </c>
      <c r="C3032" s="40">
        <v>45.7</v>
      </c>
      <c r="D3032">
        <f t="shared" si="94"/>
        <v>20</v>
      </c>
      <c r="E3032" t="str">
        <f t="shared" si="95"/>
        <v>20. Jordan</v>
      </c>
    </row>
    <row r="3033" spans="1:5" x14ac:dyDescent="0.25">
      <c r="A3033" t="s">
        <v>156</v>
      </c>
      <c r="B3033" t="s">
        <v>452</v>
      </c>
      <c r="C3033" s="40">
        <v>43.2</v>
      </c>
      <c r="D3033">
        <f t="shared" si="94"/>
        <v>21</v>
      </c>
      <c r="E3033" t="str">
        <f t="shared" si="95"/>
        <v>21. Oman</v>
      </c>
    </row>
    <row r="3034" spans="1:5" x14ac:dyDescent="0.25">
      <c r="A3034" t="s">
        <v>56</v>
      </c>
      <c r="B3034" t="s">
        <v>452</v>
      </c>
      <c r="C3034" s="40">
        <v>43.1</v>
      </c>
      <c r="D3034">
        <f t="shared" si="94"/>
        <v>22</v>
      </c>
      <c r="E3034" t="str">
        <f t="shared" si="95"/>
        <v>22. Curacao</v>
      </c>
    </row>
    <row r="3035" spans="1:5" x14ac:dyDescent="0.25">
      <c r="A3035" t="s">
        <v>57</v>
      </c>
      <c r="B3035" t="s">
        <v>452</v>
      </c>
      <c r="C3035" s="40">
        <v>42.9</v>
      </c>
      <c r="D3035">
        <f t="shared" si="94"/>
        <v>23</v>
      </c>
      <c r="E3035" t="str">
        <f t="shared" si="95"/>
        <v>23. Cayman Islands</v>
      </c>
    </row>
    <row r="3036" spans="1:5" x14ac:dyDescent="0.25">
      <c r="A3036" t="s">
        <v>90</v>
      </c>
      <c r="B3036" t="s">
        <v>452</v>
      </c>
      <c r="C3036" s="40">
        <v>41.3</v>
      </c>
      <c r="D3036">
        <f t="shared" si="94"/>
        <v>24</v>
      </c>
      <c r="E3036" t="str">
        <f t="shared" si="95"/>
        <v>24. Hong Kong SAR, China</v>
      </c>
    </row>
    <row r="3037" spans="1:5" x14ac:dyDescent="0.25">
      <c r="A3037" t="s">
        <v>173</v>
      </c>
      <c r="B3037" t="s">
        <v>452</v>
      </c>
      <c r="C3037" s="40">
        <v>40.299999999999997</v>
      </c>
      <c r="D3037">
        <f t="shared" si="94"/>
        <v>25</v>
      </c>
      <c r="E3037" t="str">
        <f t="shared" si="95"/>
        <v>25. Saudi Arabia</v>
      </c>
    </row>
    <row r="3038" spans="1:5" x14ac:dyDescent="0.25">
      <c r="A3038" t="s">
        <v>136</v>
      </c>
      <c r="B3038" t="s">
        <v>452</v>
      </c>
      <c r="C3038" s="40">
        <v>37</v>
      </c>
      <c r="D3038">
        <f t="shared" si="94"/>
        <v>26</v>
      </c>
      <c r="E3038" t="str">
        <f t="shared" si="95"/>
        <v>26. Malta</v>
      </c>
    </row>
    <row r="3039" spans="1:5" x14ac:dyDescent="0.25">
      <c r="A3039" t="s">
        <v>19</v>
      </c>
      <c r="B3039" t="s">
        <v>452</v>
      </c>
      <c r="C3039" s="40">
        <v>32.5</v>
      </c>
      <c r="D3039">
        <f t="shared" si="94"/>
        <v>27</v>
      </c>
      <c r="E3039" t="str">
        <f t="shared" si="95"/>
        <v>27. Antigua and Barbuda</v>
      </c>
    </row>
    <row r="3040" spans="1:5" x14ac:dyDescent="0.25">
      <c r="A3040" t="s">
        <v>34</v>
      </c>
      <c r="B3040" t="s">
        <v>452</v>
      </c>
      <c r="C3040" s="40">
        <v>31.2</v>
      </c>
      <c r="D3040">
        <f t="shared" si="94"/>
        <v>28</v>
      </c>
      <c r="E3040" t="str">
        <f t="shared" si="95"/>
        <v>28. Bermuda</v>
      </c>
    </row>
    <row r="3041" spans="1:5" x14ac:dyDescent="0.25">
      <c r="A3041" t="s">
        <v>43</v>
      </c>
      <c r="B3041" t="s">
        <v>452</v>
      </c>
      <c r="C3041" s="40">
        <v>31.1</v>
      </c>
      <c r="D3041">
        <f t="shared" si="94"/>
        <v>29</v>
      </c>
      <c r="E3041" t="str">
        <f t="shared" si="95"/>
        <v>29. Switzerland</v>
      </c>
    </row>
    <row r="3042" spans="1:5" x14ac:dyDescent="0.25">
      <c r="A3042" t="s">
        <v>20</v>
      </c>
      <c r="B3042" t="s">
        <v>452</v>
      </c>
      <c r="C3042" s="40">
        <v>30.4</v>
      </c>
      <c r="D3042">
        <f t="shared" si="94"/>
        <v>30</v>
      </c>
      <c r="E3042" t="str">
        <f t="shared" si="95"/>
        <v>30. Australia</v>
      </c>
    </row>
    <row r="3043" spans="1:5" x14ac:dyDescent="0.25">
      <c r="A3043" t="s">
        <v>161</v>
      </c>
      <c r="B3043" t="s">
        <v>452</v>
      </c>
      <c r="C3043" s="40">
        <v>29.5</v>
      </c>
      <c r="D3043">
        <f t="shared" si="94"/>
        <v>31</v>
      </c>
      <c r="E3043" t="str">
        <f t="shared" si="95"/>
        <v>31. Palau</v>
      </c>
    </row>
    <row r="3044" spans="1:5" x14ac:dyDescent="0.25">
      <c r="A3044" t="s">
        <v>155</v>
      </c>
      <c r="B3044" t="s">
        <v>452</v>
      </c>
      <c r="C3044" s="40">
        <v>28.2</v>
      </c>
      <c r="D3044">
        <f t="shared" si="94"/>
        <v>32</v>
      </c>
      <c r="E3044" t="str">
        <f t="shared" si="95"/>
        <v>32. New Zealand</v>
      </c>
    </row>
    <row r="3045" spans="1:5" x14ac:dyDescent="0.25">
      <c r="A3045" t="s">
        <v>147</v>
      </c>
      <c r="B3045" t="s">
        <v>452</v>
      </c>
      <c r="C3045" s="40">
        <v>26.2</v>
      </c>
      <c r="D3045">
        <f t="shared" si="94"/>
        <v>33</v>
      </c>
      <c r="E3045" t="str">
        <f t="shared" si="95"/>
        <v>33. New Caledonia</v>
      </c>
    </row>
    <row r="3046" spans="1:5" x14ac:dyDescent="0.25">
      <c r="A3046" t="s">
        <v>38</v>
      </c>
      <c r="B3046" t="s">
        <v>452</v>
      </c>
      <c r="C3046" s="40">
        <v>25.9</v>
      </c>
      <c r="D3046">
        <f t="shared" si="94"/>
        <v>34</v>
      </c>
      <c r="E3046" t="str">
        <f t="shared" si="95"/>
        <v>34. Brunei Darussalam</v>
      </c>
    </row>
    <row r="3047" spans="1:5" x14ac:dyDescent="0.25">
      <c r="A3047" t="s">
        <v>21</v>
      </c>
      <c r="B3047" t="s">
        <v>452</v>
      </c>
      <c r="C3047" s="40">
        <v>25.5</v>
      </c>
      <c r="D3047">
        <f t="shared" si="94"/>
        <v>35</v>
      </c>
      <c r="E3047" t="str">
        <f t="shared" si="95"/>
        <v>35. Austria</v>
      </c>
    </row>
    <row r="3048" spans="1:5" x14ac:dyDescent="0.25">
      <c r="A3048" t="s">
        <v>101</v>
      </c>
      <c r="B3048" t="s">
        <v>452</v>
      </c>
      <c r="C3048" s="40">
        <v>25.1</v>
      </c>
      <c r="D3048">
        <f t="shared" si="94"/>
        <v>36</v>
      </c>
      <c r="E3048" t="str">
        <f t="shared" si="95"/>
        <v>36. Iceland</v>
      </c>
    </row>
    <row r="3049" spans="1:5" x14ac:dyDescent="0.25">
      <c r="A3049" t="s">
        <v>116</v>
      </c>
      <c r="B3049" t="s">
        <v>452</v>
      </c>
      <c r="C3049" s="40">
        <v>24.5</v>
      </c>
      <c r="D3049">
        <f t="shared" si="94"/>
        <v>37</v>
      </c>
      <c r="E3049" t="str">
        <f t="shared" si="95"/>
        <v>37. Lebanon</v>
      </c>
    </row>
    <row r="3050" spans="1:5" x14ac:dyDescent="0.25">
      <c r="A3050" t="s">
        <v>98</v>
      </c>
      <c r="B3050" t="s">
        <v>452</v>
      </c>
      <c r="C3050" s="40">
        <v>23.1</v>
      </c>
      <c r="D3050">
        <f t="shared" si="94"/>
        <v>38</v>
      </c>
      <c r="E3050" t="str">
        <f t="shared" si="95"/>
        <v>38. Ireland</v>
      </c>
    </row>
    <row r="3051" spans="1:5" x14ac:dyDescent="0.25">
      <c r="A3051" t="s">
        <v>102</v>
      </c>
      <c r="B3051" t="s">
        <v>452</v>
      </c>
      <c r="C3051" s="40">
        <v>22.3</v>
      </c>
      <c r="D3051">
        <f t="shared" si="94"/>
        <v>39</v>
      </c>
      <c r="E3051" t="str">
        <f t="shared" si="95"/>
        <v>39. Israel</v>
      </c>
    </row>
    <row r="3052" spans="1:5" x14ac:dyDescent="0.25">
      <c r="A3052" t="s">
        <v>42</v>
      </c>
      <c r="B3052" t="s">
        <v>452</v>
      </c>
      <c r="C3052" s="40">
        <v>22.2</v>
      </c>
      <c r="D3052">
        <f t="shared" si="94"/>
        <v>40</v>
      </c>
      <c r="E3052" t="str">
        <f t="shared" si="95"/>
        <v>40. Canada</v>
      </c>
    </row>
    <row r="3053" spans="1:5" x14ac:dyDescent="0.25">
      <c r="A3053" t="s">
        <v>188</v>
      </c>
      <c r="B3053" t="s">
        <v>452</v>
      </c>
      <c r="C3053" s="40">
        <v>21.4</v>
      </c>
      <c r="D3053">
        <f t="shared" si="94"/>
        <v>41</v>
      </c>
      <c r="E3053" t="str">
        <f t="shared" si="95"/>
        <v>41. Sweden</v>
      </c>
    </row>
    <row r="3054" spans="1:5" x14ac:dyDescent="0.25">
      <c r="A3054" t="s">
        <v>154</v>
      </c>
      <c r="B3054" t="s">
        <v>452</v>
      </c>
      <c r="C3054" s="40">
        <v>21.3</v>
      </c>
      <c r="D3054">
        <f t="shared" si="94"/>
        <v>42</v>
      </c>
      <c r="E3054" t="str">
        <f t="shared" si="95"/>
        <v>42. Nauru</v>
      </c>
    </row>
    <row r="3055" spans="1:5" x14ac:dyDescent="0.25">
      <c r="A3055" t="s">
        <v>24</v>
      </c>
      <c r="B3055" t="s">
        <v>452</v>
      </c>
      <c r="C3055" s="40">
        <v>20</v>
      </c>
      <c r="D3055">
        <f t="shared" si="94"/>
        <v>43</v>
      </c>
      <c r="E3055" t="str">
        <f t="shared" si="95"/>
        <v>43. Belgium</v>
      </c>
    </row>
    <row r="3056" spans="1:5" x14ac:dyDescent="0.25">
      <c r="A3056" t="s">
        <v>60</v>
      </c>
      <c r="B3056" t="s">
        <v>452</v>
      </c>
      <c r="C3056" s="40">
        <v>19.8</v>
      </c>
      <c r="D3056">
        <f t="shared" si="94"/>
        <v>44</v>
      </c>
      <c r="E3056" t="str">
        <f t="shared" si="95"/>
        <v>44. Germany</v>
      </c>
    </row>
    <row r="3057" spans="1:5" x14ac:dyDescent="0.25">
      <c r="A3057" t="s">
        <v>68</v>
      </c>
      <c r="B3057" t="s">
        <v>452</v>
      </c>
      <c r="C3057" s="40">
        <v>18.5</v>
      </c>
      <c r="D3057">
        <f t="shared" si="94"/>
        <v>45</v>
      </c>
      <c r="E3057" t="str">
        <f t="shared" si="95"/>
        <v>45. Spain</v>
      </c>
    </row>
    <row r="3058" spans="1:5" x14ac:dyDescent="0.25">
      <c r="A3058" t="s">
        <v>152</v>
      </c>
      <c r="B3058" t="s">
        <v>452</v>
      </c>
      <c r="C3058" s="40">
        <v>18.2</v>
      </c>
      <c r="D3058">
        <f t="shared" si="94"/>
        <v>46</v>
      </c>
      <c r="E3058" t="str">
        <f t="shared" si="95"/>
        <v>46. Norway</v>
      </c>
    </row>
    <row r="3059" spans="1:5" x14ac:dyDescent="0.25">
      <c r="A3059" t="s">
        <v>76</v>
      </c>
      <c r="B3059" t="s">
        <v>452</v>
      </c>
      <c r="C3059" s="40">
        <v>17.7</v>
      </c>
      <c r="D3059">
        <f t="shared" si="94"/>
        <v>47</v>
      </c>
      <c r="E3059" t="str">
        <f t="shared" si="95"/>
        <v>47. Gabon</v>
      </c>
    </row>
    <row r="3060" spans="1:5" x14ac:dyDescent="0.25">
      <c r="A3060" t="s">
        <v>180</v>
      </c>
      <c r="B3060" t="s">
        <v>452</v>
      </c>
      <c r="C3060" s="40">
        <v>17.399999999999999</v>
      </c>
      <c r="D3060">
        <f t="shared" si="94"/>
        <v>48</v>
      </c>
      <c r="E3060" t="str">
        <f t="shared" si="95"/>
        <v>48. San Marino</v>
      </c>
    </row>
    <row r="3061" spans="1:5" x14ac:dyDescent="0.25">
      <c r="A3061" t="s">
        <v>77</v>
      </c>
      <c r="B3061" t="s">
        <v>452</v>
      </c>
      <c r="C3061" s="40">
        <v>17.100000000000001</v>
      </c>
      <c r="D3061">
        <f t="shared" si="94"/>
        <v>49</v>
      </c>
      <c r="E3061" t="str">
        <f t="shared" si="95"/>
        <v>49. United Kingdom</v>
      </c>
    </row>
    <row r="3062" spans="1:5" x14ac:dyDescent="0.25">
      <c r="A3062" t="s">
        <v>112</v>
      </c>
      <c r="B3062" t="s">
        <v>452</v>
      </c>
      <c r="C3062" s="40">
        <v>17</v>
      </c>
      <c r="D3062">
        <f t="shared" si="94"/>
        <v>50</v>
      </c>
      <c r="E3062" t="str">
        <f t="shared" si="95"/>
        <v>50. St. Kitts and Nevis</v>
      </c>
    </row>
    <row r="3063" spans="1:5" x14ac:dyDescent="0.25">
      <c r="A3063" t="s">
        <v>30</v>
      </c>
      <c r="B3063" t="s">
        <v>452</v>
      </c>
      <c r="C3063" s="40">
        <v>16.8</v>
      </c>
      <c r="D3063">
        <f t="shared" si="94"/>
        <v>51</v>
      </c>
      <c r="E3063" t="str">
        <f t="shared" si="95"/>
        <v>51. Bahamas, The</v>
      </c>
    </row>
    <row r="3064" spans="1:5" x14ac:dyDescent="0.25">
      <c r="A3064" t="s">
        <v>33</v>
      </c>
      <c r="B3064" t="s">
        <v>452</v>
      </c>
      <c r="C3064" s="40">
        <v>16.5</v>
      </c>
      <c r="D3064">
        <f t="shared" si="94"/>
        <v>52</v>
      </c>
      <c r="E3064" t="str">
        <f t="shared" si="95"/>
        <v>52. Belize</v>
      </c>
    </row>
    <row r="3065" spans="1:5" x14ac:dyDescent="0.25">
      <c r="A3065" t="s">
        <v>151</v>
      </c>
      <c r="B3065" t="s">
        <v>452</v>
      </c>
      <c r="C3065" s="40">
        <v>16.2</v>
      </c>
      <c r="D3065">
        <f t="shared" si="94"/>
        <v>53</v>
      </c>
      <c r="E3065" t="str">
        <f t="shared" si="95"/>
        <v>53. Netherlands</v>
      </c>
    </row>
    <row r="3066" spans="1:5" x14ac:dyDescent="0.25">
      <c r="A3066" t="s">
        <v>209</v>
      </c>
      <c r="B3066" t="s">
        <v>452</v>
      </c>
      <c r="C3066" s="40">
        <v>15.2</v>
      </c>
      <c r="D3066">
        <f t="shared" si="94"/>
        <v>54</v>
      </c>
      <c r="E3066" t="str">
        <f t="shared" si="95"/>
        <v>54. United States</v>
      </c>
    </row>
    <row r="3067" spans="1:5" x14ac:dyDescent="0.25">
      <c r="A3067" t="s">
        <v>58</v>
      </c>
      <c r="B3067" t="s">
        <v>452</v>
      </c>
      <c r="C3067" s="40">
        <v>14.9</v>
      </c>
      <c r="D3067">
        <f t="shared" si="94"/>
        <v>55</v>
      </c>
      <c r="E3067" t="str">
        <f t="shared" si="95"/>
        <v>55. Cyprus</v>
      </c>
    </row>
    <row r="3068" spans="1:5" x14ac:dyDescent="0.25">
      <c r="A3068" t="s">
        <v>69</v>
      </c>
      <c r="B3068" t="s">
        <v>452</v>
      </c>
      <c r="C3068" s="40">
        <v>14.9</v>
      </c>
      <c r="D3068">
        <f t="shared" si="94"/>
        <v>56</v>
      </c>
      <c r="E3068" t="str">
        <f t="shared" si="95"/>
        <v>56. Estonia</v>
      </c>
    </row>
    <row r="3069" spans="1:5" x14ac:dyDescent="0.25">
      <c r="A3069" t="s">
        <v>187</v>
      </c>
      <c r="B3069" t="s">
        <v>452</v>
      </c>
      <c r="C3069" s="40">
        <v>14.9</v>
      </c>
      <c r="D3069">
        <f t="shared" si="94"/>
        <v>57</v>
      </c>
      <c r="E3069" t="str">
        <f t="shared" si="95"/>
        <v>57. Slovenia</v>
      </c>
    </row>
    <row r="3070" spans="1:5" x14ac:dyDescent="0.25">
      <c r="A3070" t="s">
        <v>74</v>
      </c>
      <c r="B3070" t="s">
        <v>452</v>
      </c>
      <c r="C3070" s="40">
        <v>14.6</v>
      </c>
      <c r="D3070">
        <f t="shared" si="94"/>
        <v>58</v>
      </c>
      <c r="E3070" t="str">
        <f t="shared" si="95"/>
        <v>58. Faroe Islands</v>
      </c>
    </row>
    <row r="3071" spans="1:5" x14ac:dyDescent="0.25">
      <c r="A3071" t="s">
        <v>138</v>
      </c>
      <c r="B3071" t="s">
        <v>452</v>
      </c>
      <c r="C3071" s="40">
        <v>14.4</v>
      </c>
      <c r="D3071">
        <f t="shared" si="94"/>
        <v>59</v>
      </c>
      <c r="E3071" t="str">
        <f t="shared" si="95"/>
        <v>59. Montenegro</v>
      </c>
    </row>
    <row r="3072" spans="1:5" x14ac:dyDescent="0.25">
      <c r="A3072" t="s">
        <v>63</v>
      </c>
      <c r="B3072" t="s">
        <v>452</v>
      </c>
      <c r="C3072" s="40">
        <v>14.2</v>
      </c>
      <c r="D3072">
        <f t="shared" si="94"/>
        <v>60</v>
      </c>
      <c r="E3072" t="str">
        <f t="shared" si="95"/>
        <v>60. Denmark</v>
      </c>
    </row>
    <row r="3073" spans="1:5" x14ac:dyDescent="0.25">
      <c r="A3073" t="s">
        <v>84</v>
      </c>
      <c r="B3073" t="s">
        <v>452</v>
      </c>
      <c r="C3073" s="40">
        <v>14.2</v>
      </c>
      <c r="D3073">
        <f t="shared" si="94"/>
        <v>61</v>
      </c>
      <c r="E3073" t="str">
        <f t="shared" si="95"/>
        <v>61. Greece</v>
      </c>
    </row>
    <row r="3074" spans="1:5" x14ac:dyDescent="0.25">
      <c r="A3074" t="s">
        <v>131</v>
      </c>
      <c r="B3074" t="s">
        <v>452</v>
      </c>
      <c r="C3074" s="40">
        <v>14.2</v>
      </c>
      <c r="D3074">
        <f t="shared" si="94"/>
        <v>62</v>
      </c>
      <c r="E3074" t="str">
        <f t="shared" si="95"/>
        <v>62. Maldives</v>
      </c>
    </row>
    <row r="3075" spans="1:5" x14ac:dyDescent="0.25">
      <c r="A3075" t="s">
        <v>73</v>
      </c>
      <c r="B3075" t="s">
        <v>452</v>
      </c>
      <c r="C3075" s="40">
        <v>13.8</v>
      </c>
      <c r="D3075">
        <f t="shared" ref="D3075:D3138" si="96">IF(ROW() = 2, 1, IF(B3075 = B3074, D3074 + 1, 1))</f>
        <v>63</v>
      </c>
      <c r="E3075" t="str">
        <f t="shared" ref="E3075:E3138" si="97">_xlfn.CONCAT(D3075, ". ", A3075)</f>
        <v>63. France</v>
      </c>
    </row>
    <row r="3076" spans="1:5" x14ac:dyDescent="0.25">
      <c r="A3076" t="s">
        <v>92</v>
      </c>
      <c r="B3076" t="s">
        <v>452</v>
      </c>
      <c r="C3076" s="40">
        <v>13.6</v>
      </c>
      <c r="D3076">
        <f t="shared" si="96"/>
        <v>64</v>
      </c>
      <c r="E3076" t="str">
        <f t="shared" si="97"/>
        <v>64. Croatia</v>
      </c>
    </row>
    <row r="3077" spans="1:5" x14ac:dyDescent="0.25">
      <c r="A3077" t="s">
        <v>207</v>
      </c>
      <c r="B3077" t="s">
        <v>452</v>
      </c>
      <c r="C3077" s="40">
        <v>13.4</v>
      </c>
      <c r="D3077">
        <f t="shared" si="96"/>
        <v>65</v>
      </c>
      <c r="E3077" t="str">
        <f t="shared" si="97"/>
        <v>65. Ukraine</v>
      </c>
    </row>
    <row r="3078" spans="1:5" x14ac:dyDescent="0.25">
      <c r="A3078" t="s">
        <v>83</v>
      </c>
      <c r="B3078" t="s">
        <v>452</v>
      </c>
      <c r="C3078" s="40">
        <v>13.2</v>
      </c>
      <c r="D3078">
        <f t="shared" si="96"/>
        <v>66</v>
      </c>
      <c r="E3078" t="str">
        <f t="shared" si="97"/>
        <v>66. Equatorial Guinea</v>
      </c>
    </row>
    <row r="3079" spans="1:5" x14ac:dyDescent="0.25">
      <c r="A3079" t="s">
        <v>62</v>
      </c>
      <c r="B3079" t="s">
        <v>452</v>
      </c>
      <c r="C3079" s="40">
        <v>12.7</v>
      </c>
      <c r="D3079">
        <f t="shared" si="96"/>
        <v>67</v>
      </c>
      <c r="E3079" t="str">
        <f t="shared" si="97"/>
        <v>67. Dominica</v>
      </c>
    </row>
    <row r="3080" spans="1:5" x14ac:dyDescent="0.25">
      <c r="A3080" t="s">
        <v>37</v>
      </c>
      <c r="B3080" t="s">
        <v>452</v>
      </c>
      <c r="C3080" s="40">
        <v>12.5</v>
      </c>
      <c r="D3080">
        <f t="shared" si="96"/>
        <v>68</v>
      </c>
      <c r="E3080" t="str">
        <f t="shared" si="97"/>
        <v>68. Barbados</v>
      </c>
    </row>
    <row r="3081" spans="1:5" x14ac:dyDescent="0.25">
      <c r="A3081" t="s">
        <v>54</v>
      </c>
      <c r="B3081" t="s">
        <v>452</v>
      </c>
      <c r="C3081" s="40">
        <v>12.2</v>
      </c>
      <c r="D3081">
        <f t="shared" si="96"/>
        <v>69</v>
      </c>
      <c r="E3081" t="str">
        <f t="shared" si="97"/>
        <v>69. Costa Rica</v>
      </c>
    </row>
    <row r="3082" spans="1:5" x14ac:dyDescent="0.25">
      <c r="A3082" t="s">
        <v>118</v>
      </c>
      <c r="B3082" t="s">
        <v>452</v>
      </c>
      <c r="C3082" s="40">
        <v>12.2</v>
      </c>
      <c r="D3082">
        <f t="shared" si="96"/>
        <v>70</v>
      </c>
      <c r="E3082" t="str">
        <f t="shared" si="97"/>
        <v>70. Libya</v>
      </c>
    </row>
    <row r="3083" spans="1:5" x14ac:dyDescent="0.25">
      <c r="A3083" t="s">
        <v>125</v>
      </c>
      <c r="B3083" t="s">
        <v>452</v>
      </c>
      <c r="C3083" s="40">
        <v>11.8</v>
      </c>
      <c r="D3083">
        <f t="shared" si="96"/>
        <v>71</v>
      </c>
      <c r="E3083" t="str">
        <f t="shared" si="97"/>
        <v>71. Latvia</v>
      </c>
    </row>
    <row r="3084" spans="1:5" x14ac:dyDescent="0.25">
      <c r="A3084" t="s">
        <v>32</v>
      </c>
      <c r="B3084" t="s">
        <v>452</v>
      </c>
      <c r="C3084" s="40">
        <v>11.6</v>
      </c>
      <c r="D3084">
        <f t="shared" si="96"/>
        <v>72</v>
      </c>
      <c r="E3084" t="str">
        <f t="shared" si="97"/>
        <v>72. Belarus</v>
      </c>
    </row>
    <row r="3085" spans="1:5" x14ac:dyDescent="0.25">
      <c r="A3085" t="s">
        <v>103</v>
      </c>
      <c r="B3085" t="s">
        <v>452</v>
      </c>
      <c r="C3085" s="40">
        <v>11</v>
      </c>
      <c r="D3085">
        <f t="shared" si="96"/>
        <v>73</v>
      </c>
      <c r="E3085" t="str">
        <f t="shared" si="97"/>
        <v>73. Italy</v>
      </c>
    </row>
    <row r="3086" spans="1:5" x14ac:dyDescent="0.25">
      <c r="A3086" t="s">
        <v>61</v>
      </c>
      <c r="B3086" t="s">
        <v>452</v>
      </c>
      <c r="C3086" s="40">
        <v>10.8</v>
      </c>
      <c r="D3086">
        <f t="shared" si="96"/>
        <v>74</v>
      </c>
      <c r="E3086" t="str">
        <f t="shared" si="97"/>
        <v>74. Djibouti</v>
      </c>
    </row>
    <row r="3087" spans="1:5" x14ac:dyDescent="0.25">
      <c r="A3087" t="s">
        <v>165</v>
      </c>
      <c r="B3087" t="s">
        <v>452</v>
      </c>
      <c r="C3087" s="40">
        <v>10.8</v>
      </c>
      <c r="D3087">
        <f t="shared" si="96"/>
        <v>75</v>
      </c>
      <c r="E3087" t="str">
        <f t="shared" si="97"/>
        <v>75. Portugal</v>
      </c>
    </row>
    <row r="3088" spans="1:5" x14ac:dyDescent="0.25">
      <c r="A3088" t="s">
        <v>168</v>
      </c>
      <c r="B3088" t="s">
        <v>452</v>
      </c>
      <c r="C3088" s="40">
        <v>10.7</v>
      </c>
      <c r="D3088">
        <f t="shared" si="96"/>
        <v>76</v>
      </c>
      <c r="E3088" t="str">
        <f t="shared" si="97"/>
        <v>76. French Polynesia</v>
      </c>
    </row>
    <row r="3089" spans="1:5" x14ac:dyDescent="0.25">
      <c r="A3089" t="s">
        <v>145</v>
      </c>
      <c r="B3089" t="s">
        <v>452</v>
      </c>
      <c r="C3089" s="40">
        <v>10.7</v>
      </c>
      <c r="D3089">
        <f t="shared" si="96"/>
        <v>77</v>
      </c>
      <c r="E3089" t="str">
        <f t="shared" si="97"/>
        <v>77. Malaysia</v>
      </c>
    </row>
    <row r="3090" spans="1:5" x14ac:dyDescent="0.25">
      <c r="A3090" t="s">
        <v>158</v>
      </c>
      <c r="B3090" t="s">
        <v>452</v>
      </c>
      <c r="C3090" s="40">
        <v>10.6</v>
      </c>
      <c r="D3090">
        <f t="shared" si="96"/>
        <v>78</v>
      </c>
      <c r="E3090" t="str">
        <f t="shared" si="97"/>
        <v>78. Panama</v>
      </c>
    </row>
    <row r="3091" spans="1:5" x14ac:dyDescent="0.25">
      <c r="A3091" t="s">
        <v>182</v>
      </c>
      <c r="B3091" t="s">
        <v>452</v>
      </c>
      <c r="C3091" s="40">
        <v>10.6</v>
      </c>
      <c r="D3091">
        <f t="shared" si="96"/>
        <v>79</v>
      </c>
      <c r="E3091" t="str">
        <f t="shared" si="97"/>
        <v>79. Serbia</v>
      </c>
    </row>
    <row r="3092" spans="1:5" x14ac:dyDescent="0.25">
      <c r="A3092" t="s">
        <v>86</v>
      </c>
      <c r="B3092" t="s">
        <v>452</v>
      </c>
      <c r="C3092" s="40">
        <v>10.4</v>
      </c>
      <c r="D3092">
        <f t="shared" si="96"/>
        <v>80</v>
      </c>
      <c r="E3092" t="str">
        <f t="shared" si="97"/>
        <v>80. Greenland</v>
      </c>
    </row>
    <row r="3093" spans="1:5" x14ac:dyDescent="0.25">
      <c r="A3093" t="s">
        <v>191</v>
      </c>
      <c r="B3093" t="s">
        <v>452</v>
      </c>
      <c r="C3093" s="40">
        <v>10.199999999999999</v>
      </c>
      <c r="D3093">
        <f t="shared" si="96"/>
        <v>81</v>
      </c>
      <c r="E3093" t="str">
        <f t="shared" si="97"/>
        <v>81. Seychelles</v>
      </c>
    </row>
    <row r="3094" spans="1:5" x14ac:dyDescent="0.25">
      <c r="A3094" t="s">
        <v>107</v>
      </c>
      <c r="B3094" t="s">
        <v>452</v>
      </c>
      <c r="C3094" s="40">
        <v>10.1</v>
      </c>
      <c r="D3094">
        <f t="shared" si="96"/>
        <v>82</v>
      </c>
      <c r="E3094" t="str">
        <f t="shared" si="97"/>
        <v>82. Kazakhstan</v>
      </c>
    </row>
    <row r="3095" spans="1:5" x14ac:dyDescent="0.25">
      <c r="A3095" t="s">
        <v>59</v>
      </c>
      <c r="B3095" t="s">
        <v>452</v>
      </c>
      <c r="C3095" s="40">
        <v>9.5</v>
      </c>
      <c r="D3095">
        <f t="shared" si="96"/>
        <v>83</v>
      </c>
      <c r="E3095" t="str">
        <f t="shared" si="97"/>
        <v>83. Czechia</v>
      </c>
    </row>
    <row r="3096" spans="1:5" x14ac:dyDescent="0.25">
      <c r="A3096" t="s">
        <v>17</v>
      </c>
      <c r="B3096" t="s">
        <v>452</v>
      </c>
      <c r="C3096" s="40">
        <v>9.1999999999999993</v>
      </c>
      <c r="D3096">
        <f t="shared" si="96"/>
        <v>84</v>
      </c>
      <c r="E3096" t="str">
        <f t="shared" si="97"/>
        <v>84. Armenia</v>
      </c>
    </row>
    <row r="3097" spans="1:5" x14ac:dyDescent="0.25">
      <c r="A3097" t="s">
        <v>71</v>
      </c>
      <c r="B3097" t="s">
        <v>452</v>
      </c>
      <c r="C3097" s="40">
        <v>9.1999999999999993</v>
      </c>
      <c r="D3097">
        <f t="shared" si="96"/>
        <v>85</v>
      </c>
      <c r="E3097" t="str">
        <f t="shared" si="97"/>
        <v>85. Finland</v>
      </c>
    </row>
    <row r="3098" spans="1:5" x14ac:dyDescent="0.25">
      <c r="A3098" t="s">
        <v>47</v>
      </c>
      <c r="B3098" t="s">
        <v>452</v>
      </c>
      <c r="C3098" s="40">
        <v>9</v>
      </c>
      <c r="D3098">
        <f t="shared" si="96"/>
        <v>86</v>
      </c>
      <c r="E3098" t="str">
        <f t="shared" si="97"/>
        <v>86. Cote d'Ivoire</v>
      </c>
    </row>
    <row r="3099" spans="1:5" x14ac:dyDescent="0.25">
      <c r="A3099" t="s">
        <v>133</v>
      </c>
      <c r="B3099" t="s">
        <v>452</v>
      </c>
      <c r="C3099" s="40">
        <v>8.8000000000000007</v>
      </c>
      <c r="D3099">
        <f t="shared" si="96"/>
        <v>87</v>
      </c>
      <c r="E3099" t="str">
        <f t="shared" si="97"/>
        <v>87. Marshall Islands</v>
      </c>
    </row>
    <row r="3100" spans="1:5" x14ac:dyDescent="0.25">
      <c r="A3100" t="s">
        <v>81</v>
      </c>
      <c r="B3100" t="s">
        <v>452</v>
      </c>
      <c r="C3100" s="40">
        <v>8.6</v>
      </c>
      <c r="D3100">
        <f t="shared" si="96"/>
        <v>88</v>
      </c>
      <c r="E3100" t="str">
        <f t="shared" si="97"/>
        <v>88. Gambia, The</v>
      </c>
    </row>
    <row r="3101" spans="1:5" x14ac:dyDescent="0.25">
      <c r="A3101" t="s">
        <v>134</v>
      </c>
      <c r="B3101" t="s">
        <v>452</v>
      </c>
      <c r="C3101" s="40">
        <v>8.3000000000000007</v>
      </c>
      <c r="D3101">
        <f t="shared" si="96"/>
        <v>89</v>
      </c>
      <c r="E3101" t="str">
        <f t="shared" si="97"/>
        <v>89. North Macedonia</v>
      </c>
    </row>
    <row r="3102" spans="1:5" x14ac:dyDescent="0.25">
      <c r="A3102" t="s">
        <v>185</v>
      </c>
      <c r="B3102" t="s">
        <v>452</v>
      </c>
      <c r="C3102" s="40">
        <v>8.1999999999999993</v>
      </c>
      <c r="D3102">
        <f t="shared" si="96"/>
        <v>90</v>
      </c>
      <c r="E3102" t="str">
        <f t="shared" si="97"/>
        <v>90. Suriname</v>
      </c>
    </row>
    <row r="3103" spans="1:5" x14ac:dyDescent="0.25">
      <c r="A3103" t="s">
        <v>203</v>
      </c>
      <c r="B3103" t="s">
        <v>452</v>
      </c>
      <c r="C3103" s="40">
        <v>8.1</v>
      </c>
      <c r="D3103">
        <f t="shared" si="96"/>
        <v>91</v>
      </c>
      <c r="E3103" t="str">
        <f t="shared" si="97"/>
        <v>91. Turkiye</v>
      </c>
    </row>
    <row r="3104" spans="1:5" x14ac:dyDescent="0.25">
      <c r="A3104" t="s">
        <v>45</v>
      </c>
      <c r="B3104" t="s">
        <v>452</v>
      </c>
      <c r="C3104" s="40">
        <v>7.8</v>
      </c>
      <c r="D3104">
        <f t="shared" si="96"/>
        <v>92</v>
      </c>
      <c r="E3104" t="str">
        <f t="shared" si="97"/>
        <v>92. Chile</v>
      </c>
    </row>
    <row r="3105" spans="1:5" x14ac:dyDescent="0.25">
      <c r="A3105" t="s">
        <v>183</v>
      </c>
      <c r="B3105" t="s">
        <v>452</v>
      </c>
      <c r="C3105" s="40">
        <v>7.7</v>
      </c>
      <c r="D3105">
        <f t="shared" si="96"/>
        <v>93</v>
      </c>
      <c r="E3105" t="str">
        <f t="shared" si="97"/>
        <v>93. South Sudan</v>
      </c>
    </row>
    <row r="3106" spans="1:5" x14ac:dyDescent="0.25">
      <c r="A3106" t="s">
        <v>201</v>
      </c>
      <c r="B3106" t="s">
        <v>452</v>
      </c>
      <c r="C3106" s="40">
        <v>7.5</v>
      </c>
      <c r="D3106">
        <f t="shared" si="96"/>
        <v>94</v>
      </c>
      <c r="E3106" t="str">
        <f t="shared" si="97"/>
        <v>94. Trinidad and Tobago</v>
      </c>
    </row>
    <row r="3107" spans="1:5" x14ac:dyDescent="0.25">
      <c r="A3107" t="s">
        <v>94</v>
      </c>
      <c r="B3107" t="s">
        <v>452</v>
      </c>
      <c r="C3107" s="40">
        <v>7.1</v>
      </c>
      <c r="D3107">
        <f t="shared" si="96"/>
        <v>95</v>
      </c>
      <c r="E3107" t="str">
        <f t="shared" si="97"/>
        <v>95. Hungary</v>
      </c>
    </row>
    <row r="3108" spans="1:5" x14ac:dyDescent="0.25">
      <c r="A3108" t="s">
        <v>39</v>
      </c>
      <c r="B3108" t="s">
        <v>452</v>
      </c>
      <c r="C3108" s="40">
        <v>7</v>
      </c>
      <c r="D3108">
        <f t="shared" si="96"/>
        <v>96</v>
      </c>
      <c r="E3108" t="str">
        <f t="shared" si="97"/>
        <v>96. Bhutan</v>
      </c>
    </row>
    <row r="3109" spans="1:5" x14ac:dyDescent="0.25">
      <c r="A3109" t="s">
        <v>164</v>
      </c>
      <c r="B3109" t="s">
        <v>452</v>
      </c>
      <c r="C3109" s="40">
        <v>6.9</v>
      </c>
      <c r="D3109">
        <f t="shared" si="96"/>
        <v>97</v>
      </c>
      <c r="E3109" t="str">
        <f t="shared" si="97"/>
        <v>97. Puerto Rico (US)</v>
      </c>
    </row>
    <row r="3110" spans="1:5" x14ac:dyDescent="0.25">
      <c r="A3110" t="s">
        <v>64</v>
      </c>
      <c r="B3110" t="s">
        <v>452</v>
      </c>
      <c r="C3110" s="40">
        <v>6.5</v>
      </c>
      <c r="D3110">
        <f t="shared" si="96"/>
        <v>98</v>
      </c>
      <c r="E3110" t="str">
        <f t="shared" si="97"/>
        <v>98. Dominican Republic</v>
      </c>
    </row>
    <row r="3111" spans="1:5" x14ac:dyDescent="0.25">
      <c r="A3111" t="s">
        <v>89</v>
      </c>
      <c r="B3111" t="s">
        <v>452</v>
      </c>
      <c r="C3111" s="40">
        <v>6.5</v>
      </c>
      <c r="D3111">
        <f t="shared" si="96"/>
        <v>99</v>
      </c>
      <c r="E3111" t="str">
        <f t="shared" si="97"/>
        <v>99. Guyana</v>
      </c>
    </row>
    <row r="3112" spans="1:5" x14ac:dyDescent="0.25">
      <c r="A3112" t="s">
        <v>194</v>
      </c>
      <c r="B3112" t="s">
        <v>452</v>
      </c>
      <c r="C3112" s="40">
        <v>6.3</v>
      </c>
      <c r="D3112">
        <f t="shared" si="96"/>
        <v>100</v>
      </c>
      <c r="E3112" t="str">
        <f t="shared" si="97"/>
        <v>100. Chad</v>
      </c>
    </row>
    <row r="3113" spans="1:5" x14ac:dyDescent="0.25">
      <c r="A3113" t="s">
        <v>85</v>
      </c>
      <c r="B3113" t="s">
        <v>452</v>
      </c>
      <c r="C3113" s="40">
        <v>6.3</v>
      </c>
      <c r="D3113">
        <f t="shared" si="96"/>
        <v>101</v>
      </c>
      <c r="E3113" t="str">
        <f t="shared" si="97"/>
        <v>101. Grenada</v>
      </c>
    </row>
    <row r="3114" spans="1:5" x14ac:dyDescent="0.25">
      <c r="A3114" t="s">
        <v>129</v>
      </c>
      <c r="B3114" t="s">
        <v>452</v>
      </c>
      <c r="C3114" s="40">
        <v>6.2</v>
      </c>
      <c r="D3114">
        <f t="shared" si="96"/>
        <v>102</v>
      </c>
      <c r="E3114" t="str">
        <f t="shared" si="97"/>
        <v>102. Moldova</v>
      </c>
    </row>
    <row r="3115" spans="1:5" x14ac:dyDescent="0.25">
      <c r="A3115" t="s">
        <v>50</v>
      </c>
      <c r="B3115" t="s">
        <v>452</v>
      </c>
      <c r="C3115" s="40">
        <v>6.1</v>
      </c>
      <c r="D3115">
        <f t="shared" si="96"/>
        <v>103</v>
      </c>
      <c r="E3115" t="str">
        <f t="shared" si="97"/>
        <v>103. Congo, Rep.</v>
      </c>
    </row>
    <row r="3116" spans="1:5" x14ac:dyDescent="0.25">
      <c r="A3116" t="s">
        <v>123</v>
      </c>
      <c r="B3116" t="s">
        <v>452</v>
      </c>
      <c r="C3116" s="40">
        <v>6.1</v>
      </c>
      <c r="D3116">
        <f t="shared" si="96"/>
        <v>104</v>
      </c>
      <c r="E3116" t="str">
        <f t="shared" si="97"/>
        <v>104. Lithuania</v>
      </c>
    </row>
    <row r="3117" spans="1:5" x14ac:dyDescent="0.25">
      <c r="A3117" t="s">
        <v>186</v>
      </c>
      <c r="B3117" t="s">
        <v>452</v>
      </c>
      <c r="C3117" s="40">
        <v>5.9</v>
      </c>
      <c r="D3117">
        <f t="shared" si="96"/>
        <v>105</v>
      </c>
      <c r="E3117" t="str">
        <f t="shared" si="97"/>
        <v>105. Slovak Republic</v>
      </c>
    </row>
    <row r="3118" spans="1:5" x14ac:dyDescent="0.25">
      <c r="A3118" t="s">
        <v>51</v>
      </c>
      <c r="B3118" t="s">
        <v>452</v>
      </c>
      <c r="C3118" s="40">
        <v>5.8</v>
      </c>
      <c r="D3118">
        <f t="shared" si="96"/>
        <v>106</v>
      </c>
      <c r="E3118" t="str">
        <f t="shared" si="97"/>
        <v>106. Colombia</v>
      </c>
    </row>
    <row r="3119" spans="1:5" x14ac:dyDescent="0.25">
      <c r="A3119" t="s">
        <v>159</v>
      </c>
      <c r="B3119" t="s">
        <v>452</v>
      </c>
      <c r="C3119" s="40">
        <v>5.4</v>
      </c>
      <c r="D3119">
        <f t="shared" si="96"/>
        <v>107</v>
      </c>
      <c r="E3119" t="str">
        <f t="shared" si="97"/>
        <v>107. Peru</v>
      </c>
    </row>
    <row r="3120" spans="1:5" x14ac:dyDescent="0.25">
      <c r="A3120" t="s">
        <v>171</v>
      </c>
      <c r="B3120" t="s">
        <v>452</v>
      </c>
      <c r="C3120" s="40">
        <v>5.3</v>
      </c>
      <c r="D3120">
        <f t="shared" si="96"/>
        <v>108</v>
      </c>
      <c r="E3120" t="str">
        <f t="shared" si="97"/>
        <v>108. Russian Federation</v>
      </c>
    </row>
    <row r="3121" spans="1:5" x14ac:dyDescent="0.25">
      <c r="A3121" t="s">
        <v>167</v>
      </c>
      <c r="B3121" t="s">
        <v>452</v>
      </c>
      <c r="C3121" s="40">
        <v>5</v>
      </c>
      <c r="D3121">
        <f t="shared" si="96"/>
        <v>109</v>
      </c>
      <c r="E3121" t="str">
        <f t="shared" si="97"/>
        <v>109. West Bank and Gaza</v>
      </c>
    </row>
    <row r="3122" spans="1:5" x14ac:dyDescent="0.25">
      <c r="A3122" t="s">
        <v>211</v>
      </c>
      <c r="B3122" t="s">
        <v>452</v>
      </c>
      <c r="C3122" s="40">
        <v>4.8</v>
      </c>
      <c r="D3122">
        <f t="shared" si="96"/>
        <v>110</v>
      </c>
      <c r="E3122" t="str">
        <f t="shared" si="97"/>
        <v>110. St. Vincent and the Grenadines</v>
      </c>
    </row>
    <row r="3123" spans="1:5" x14ac:dyDescent="0.25">
      <c r="A3123" t="s">
        <v>174</v>
      </c>
      <c r="B3123" t="s">
        <v>452</v>
      </c>
      <c r="C3123" s="40">
        <v>4.8</v>
      </c>
      <c r="D3123">
        <f t="shared" si="96"/>
        <v>111</v>
      </c>
      <c r="E3123" t="str">
        <f t="shared" si="97"/>
        <v>111. Sudan</v>
      </c>
    </row>
    <row r="3124" spans="1:5" x14ac:dyDescent="0.25">
      <c r="A3124" t="s">
        <v>208</v>
      </c>
      <c r="B3124" t="s">
        <v>452</v>
      </c>
      <c r="C3124" s="40">
        <v>4.7</v>
      </c>
      <c r="D3124">
        <f t="shared" si="96"/>
        <v>112</v>
      </c>
      <c r="E3124" t="str">
        <f t="shared" si="97"/>
        <v>112. Uruguay</v>
      </c>
    </row>
    <row r="3125" spans="1:5" x14ac:dyDescent="0.25">
      <c r="A3125" t="s">
        <v>40</v>
      </c>
      <c r="B3125" t="s">
        <v>452</v>
      </c>
      <c r="C3125" s="40">
        <v>4.5999999999999996</v>
      </c>
      <c r="D3125">
        <f t="shared" si="96"/>
        <v>113</v>
      </c>
      <c r="E3125" t="str">
        <f t="shared" si="97"/>
        <v>113. Botswana</v>
      </c>
    </row>
    <row r="3126" spans="1:5" x14ac:dyDescent="0.25">
      <c r="A3126" t="s">
        <v>163</v>
      </c>
      <c r="B3126" t="s">
        <v>452</v>
      </c>
      <c r="C3126" s="40">
        <v>4.5</v>
      </c>
      <c r="D3126">
        <f t="shared" si="96"/>
        <v>114</v>
      </c>
      <c r="E3126" t="str">
        <f t="shared" si="97"/>
        <v>114. Poland</v>
      </c>
    </row>
    <row r="3127" spans="1:5" x14ac:dyDescent="0.25">
      <c r="A3127" t="s">
        <v>119</v>
      </c>
      <c r="B3127" t="s">
        <v>452</v>
      </c>
      <c r="C3127" s="40">
        <v>4.5</v>
      </c>
      <c r="D3127">
        <f t="shared" si="96"/>
        <v>115</v>
      </c>
      <c r="E3127" t="str">
        <f t="shared" si="97"/>
        <v>115. St. Lucia</v>
      </c>
    </row>
    <row r="3128" spans="1:5" x14ac:dyDescent="0.25">
      <c r="A3128" t="s">
        <v>28</v>
      </c>
      <c r="B3128" t="s">
        <v>452</v>
      </c>
      <c r="C3128" s="40">
        <v>4.4000000000000004</v>
      </c>
      <c r="D3128">
        <f t="shared" si="96"/>
        <v>116</v>
      </c>
      <c r="E3128" t="str">
        <f t="shared" si="97"/>
        <v>116. Bulgaria</v>
      </c>
    </row>
    <row r="3129" spans="1:5" x14ac:dyDescent="0.25">
      <c r="A3129" t="s">
        <v>196</v>
      </c>
      <c r="B3129" t="s">
        <v>452</v>
      </c>
      <c r="C3129" s="40">
        <v>4.4000000000000004</v>
      </c>
      <c r="D3129">
        <f t="shared" si="96"/>
        <v>117</v>
      </c>
      <c r="E3129" t="str">
        <f t="shared" si="97"/>
        <v>117. Thailand</v>
      </c>
    </row>
    <row r="3130" spans="1:5" x14ac:dyDescent="0.25">
      <c r="A3130" t="s">
        <v>223</v>
      </c>
      <c r="B3130" t="s">
        <v>452</v>
      </c>
      <c r="C3130" s="40">
        <v>4.4000000000000004</v>
      </c>
      <c r="D3130">
        <f t="shared" si="96"/>
        <v>118</v>
      </c>
      <c r="E3130" t="str">
        <f t="shared" si="97"/>
        <v>118. Venezuela, RB</v>
      </c>
    </row>
    <row r="3131" spans="1:5" x14ac:dyDescent="0.25">
      <c r="A3131" t="s">
        <v>16</v>
      </c>
      <c r="B3131" t="s">
        <v>452</v>
      </c>
      <c r="C3131" s="40">
        <v>4.3</v>
      </c>
      <c r="D3131">
        <f t="shared" si="96"/>
        <v>119</v>
      </c>
      <c r="E3131" t="str">
        <f t="shared" si="97"/>
        <v>119. Argentina</v>
      </c>
    </row>
    <row r="3132" spans="1:5" x14ac:dyDescent="0.25">
      <c r="A3132" t="s">
        <v>99</v>
      </c>
      <c r="B3132" t="s">
        <v>452</v>
      </c>
      <c r="C3132" s="40">
        <v>4.2</v>
      </c>
      <c r="D3132">
        <f t="shared" si="96"/>
        <v>120</v>
      </c>
      <c r="E3132" t="str">
        <f t="shared" si="97"/>
        <v>120. Iran, Islamic Rep.</v>
      </c>
    </row>
    <row r="3133" spans="1:5" x14ac:dyDescent="0.25">
      <c r="A3133" t="s">
        <v>66</v>
      </c>
      <c r="B3133" t="s">
        <v>452</v>
      </c>
      <c r="C3133" s="40">
        <v>4.0999999999999996</v>
      </c>
      <c r="D3133">
        <f t="shared" si="96"/>
        <v>121</v>
      </c>
      <c r="E3133" t="str">
        <f t="shared" si="97"/>
        <v>121. Ecuador</v>
      </c>
    </row>
    <row r="3134" spans="1:5" x14ac:dyDescent="0.25">
      <c r="A3134" t="s">
        <v>218</v>
      </c>
      <c r="B3134" t="s">
        <v>452</v>
      </c>
      <c r="C3134" s="40">
        <v>4.0999999999999996</v>
      </c>
      <c r="D3134">
        <f t="shared" si="96"/>
        <v>122</v>
      </c>
      <c r="E3134" t="str">
        <f t="shared" si="97"/>
        <v>122. South Africa</v>
      </c>
    </row>
    <row r="3135" spans="1:5" x14ac:dyDescent="0.25">
      <c r="A3135" t="s">
        <v>206</v>
      </c>
      <c r="B3135" t="s">
        <v>452</v>
      </c>
      <c r="C3135" s="40">
        <v>4.0999999999999996</v>
      </c>
      <c r="D3135">
        <f t="shared" si="96"/>
        <v>123</v>
      </c>
      <c r="E3135" t="str">
        <f t="shared" si="97"/>
        <v>123. Uganda</v>
      </c>
    </row>
    <row r="3136" spans="1:5" x14ac:dyDescent="0.25">
      <c r="A3136" t="s">
        <v>142</v>
      </c>
      <c r="B3136" t="s">
        <v>452</v>
      </c>
      <c r="C3136" s="40">
        <v>3.8</v>
      </c>
      <c r="D3136">
        <f t="shared" si="96"/>
        <v>124</v>
      </c>
      <c r="E3136" t="str">
        <f t="shared" si="97"/>
        <v>124. Mauritania</v>
      </c>
    </row>
    <row r="3137" spans="1:5" x14ac:dyDescent="0.25">
      <c r="A3137" t="s">
        <v>146</v>
      </c>
      <c r="B3137" t="s">
        <v>452</v>
      </c>
      <c r="C3137" s="40">
        <v>3.8</v>
      </c>
      <c r="D3137">
        <f t="shared" si="96"/>
        <v>125</v>
      </c>
      <c r="E3137" t="str">
        <f t="shared" si="97"/>
        <v>125. Namibia</v>
      </c>
    </row>
    <row r="3138" spans="1:5" x14ac:dyDescent="0.25">
      <c r="A3138" t="s">
        <v>172</v>
      </c>
      <c r="B3138" t="s">
        <v>452</v>
      </c>
      <c r="C3138" s="40">
        <v>3.6</v>
      </c>
      <c r="D3138">
        <f t="shared" si="96"/>
        <v>126</v>
      </c>
      <c r="E3138" t="str">
        <f t="shared" si="97"/>
        <v>126. Rwanda</v>
      </c>
    </row>
    <row r="3139" spans="1:5" x14ac:dyDescent="0.25">
      <c r="A3139" t="s">
        <v>192</v>
      </c>
      <c r="B3139" t="s">
        <v>452</v>
      </c>
      <c r="C3139" s="40">
        <v>3.6</v>
      </c>
      <c r="D3139">
        <f t="shared" ref="D3139:D3202" si="98">IF(ROW() = 2, 1, IF(B3139 = B3138, D3138 + 1, 1))</f>
        <v>127</v>
      </c>
      <c r="E3139" t="str">
        <f t="shared" ref="E3139:E3202" si="99">_xlfn.CONCAT(D3139, ". ", A3139)</f>
        <v>127. Syrian Arab Republic</v>
      </c>
    </row>
    <row r="3140" spans="1:5" x14ac:dyDescent="0.25">
      <c r="A3140" t="s">
        <v>113</v>
      </c>
      <c r="B3140" t="s">
        <v>452</v>
      </c>
      <c r="C3140" s="40">
        <v>3.5</v>
      </c>
      <c r="D3140">
        <f t="shared" si="98"/>
        <v>128</v>
      </c>
      <c r="E3140" t="str">
        <f t="shared" si="99"/>
        <v>128. Korea, Rep.</v>
      </c>
    </row>
    <row r="3141" spans="1:5" x14ac:dyDescent="0.25">
      <c r="A3141" t="s">
        <v>170</v>
      </c>
      <c r="B3141" t="s">
        <v>452</v>
      </c>
      <c r="C3141" s="40">
        <v>3.4</v>
      </c>
      <c r="D3141">
        <f t="shared" si="98"/>
        <v>129</v>
      </c>
      <c r="E3141" t="str">
        <f t="shared" si="99"/>
        <v>129. Romania</v>
      </c>
    </row>
    <row r="3142" spans="1:5" x14ac:dyDescent="0.25">
      <c r="A3142" t="s">
        <v>200</v>
      </c>
      <c r="B3142" t="s">
        <v>452</v>
      </c>
      <c r="C3142" s="40">
        <v>3.4</v>
      </c>
      <c r="D3142">
        <f t="shared" si="98"/>
        <v>130</v>
      </c>
      <c r="E3142" t="str">
        <f t="shared" si="99"/>
        <v>130. Tonga</v>
      </c>
    </row>
    <row r="3143" spans="1:5" x14ac:dyDescent="0.25">
      <c r="A3143" t="s">
        <v>210</v>
      </c>
      <c r="B3143" t="s">
        <v>452</v>
      </c>
      <c r="C3143" s="40">
        <v>3.2</v>
      </c>
      <c r="D3143">
        <f t="shared" si="98"/>
        <v>131</v>
      </c>
      <c r="E3143" t="str">
        <f t="shared" si="99"/>
        <v>131. Uzbekistan</v>
      </c>
    </row>
    <row r="3144" spans="1:5" x14ac:dyDescent="0.25">
      <c r="A3144" t="s">
        <v>26</v>
      </c>
      <c r="B3144" t="s">
        <v>452</v>
      </c>
      <c r="C3144" s="40">
        <v>3.1</v>
      </c>
      <c r="D3144">
        <f t="shared" si="98"/>
        <v>132</v>
      </c>
      <c r="E3144" t="str">
        <f t="shared" si="99"/>
        <v>132. Burkina Faso</v>
      </c>
    </row>
    <row r="3145" spans="1:5" x14ac:dyDescent="0.25">
      <c r="A3145" t="s">
        <v>53</v>
      </c>
      <c r="B3145" t="s">
        <v>452</v>
      </c>
      <c r="C3145" s="40">
        <v>3.1</v>
      </c>
      <c r="D3145">
        <f t="shared" si="98"/>
        <v>133</v>
      </c>
      <c r="E3145" t="str">
        <f t="shared" si="99"/>
        <v>133. Cabo Verde</v>
      </c>
    </row>
    <row r="3146" spans="1:5" x14ac:dyDescent="0.25">
      <c r="A3146" t="s">
        <v>195</v>
      </c>
      <c r="B3146" t="s">
        <v>452</v>
      </c>
      <c r="C3146" s="40">
        <v>3</v>
      </c>
      <c r="D3146">
        <f t="shared" si="98"/>
        <v>134</v>
      </c>
      <c r="E3146" t="str">
        <f t="shared" si="99"/>
        <v>134. Togo</v>
      </c>
    </row>
    <row r="3147" spans="1:5" x14ac:dyDescent="0.25">
      <c r="A3147" t="s">
        <v>25</v>
      </c>
      <c r="B3147" t="s">
        <v>452</v>
      </c>
      <c r="C3147" s="40">
        <v>2.9</v>
      </c>
      <c r="D3147">
        <f t="shared" si="98"/>
        <v>135</v>
      </c>
      <c r="E3147" t="str">
        <f t="shared" si="99"/>
        <v>135. Benin</v>
      </c>
    </row>
    <row r="3148" spans="1:5" x14ac:dyDescent="0.25">
      <c r="A3148" t="s">
        <v>23</v>
      </c>
      <c r="B3148" t="s">
        <v>452</v>
      </c>
      <c r="C3148" s="40">
        <v>2.8</v>
      </c>
      <c r="D3148">
        <f t="shared" si="98"/>
        <v>136</v>
      </c>
      <c r="E3148" t="str">
        <f t="shared" si="99"/>
        <v>136. Burundi</v>
      </c>
    </row>
    <row r="3149" spans="1:5" x14ac:dyDescent="0.25">
      <c r="A3149" t="s">
        <v>106</v>
      </c>
      <c r="B3149" t="s">
        <v>452</v>
      </c>
      <c r="C3149" s="40">
        <v>2.8</v>
      </c>
      <c r="D3149">
        <f t="shared" si="98"/>
        <v>137</v>
      </c>
      <c r="E3149" t="str">
        <f t="shared" si="99"/>
        <v>137. Japan</v>
      </c>
    </row>
    <row r="3150" spans="1:5" x14ac:dyDescent="0.25">
      <c r="A3150" t="s">
        <v>189</v>
      </c>
      <c r="B3150" t="s">
        <v>452</v>
      </c>
      <c r="C3150" s="40">
        <v>2.7</v>
      </c>
      <c r="D3150">
        <f t="shared" si="98"/>
        <v>138</v>
      </c>
      <c r="E3150" t="str">
        <f t="shared" si="99"/>
        <v>138. Eswatini</v>
      </c>
    </row>
    <row r="3151" spans="1:5" x14ac:dyDescent="0.25">
      <c r="A3151" t="s">
        <v>109</v>
      </c>
      <c r="B3151" t="s">
        <v>452</v>
      </c>
      <c r="C3151" s="40">
        <v>2.7</v>
      </c>
      <c r="D3151">
        <f t="shared" si="98"/>
        <v>139</v>
      </c>
      <c r="E3151" t="str">
        <f t="shared" si="99"/>
        <v>139. Kyrgyz Republic</v>
      </c>
    </row>
    <row r="3152" spans="1:5" x14ac:dyDescent="0.25">
      <c r="A3152" t="s">
        <v>75</v>
      </c>
      <c r="B3152" t="s">
        <v>452</v>
      </c>
      <c r="C3152" s="40">
        <v>2.6</v>
      </c>
      <c r="D3152">
        <f t="shared" si="98"/>
        <v>140</v>
      </c>
      <c r="E3152" t="str">
        <f t="shared" si="99"/>
        <v>140. Micronesia, Fed. Sts.</v>
      </c>
    </row>
    <row r="3153" spans="1:5" x14ac:dyDescent="0.25">
      <c r="A3153" t="s">
        <v>166</v>
      </c>
      <c r="B3153" t="s">
        <v>452</v>
      </c>
      <c r="C3153" s="40">
        <v>2.6</v>
      </c>
      <c r="D3153">
        <f t="shared" si="98"/>
        <v>141</v>
      </c>
      <c r="E3153" t="str">
        <f t="shared" si="99"/>
        <v>141. Paraguay</v>
      </c>
    </row>
    <row r="3154" spans="1:5" x14ac:dyDescent="0.25">
      <c r="A3154" t="s">
        <v>197</v>
      </c>
      <c r="B3154" t="s">
        <v>452</v>
      </c>
      <c r="C3154" s="40">
        <v>2.6</v>
      </c>
      <c r="D3154">
        <f t="shared" si="98"/>
        <v>142</v>
      </c>
      <c r="E3154" t="str">
        <f t="shared" si="99"/>
        <v>142. Tajikistan</v>
      </c>
    </row>
    <row r="3155" spans="1:5" x14ac:dyDescent="0.25">
      <c r="A3155" t="s">
        <v>198</v>
      </c>
      <c r="B3155" t="s">
        <v>452</v>
      </c>
      <c r="C3155" s="40">
        <v>2.6</v>
      </c>
      <c r="D3155">
        <f t="shared" si="98"/>
        <v>143</v>
      </c>
      <c r="E3155" t="str">
        <f t="shared" si="99"/>
        <v>143. Turkmenistan</v>
      </c>
    </row>
    <row r="3156" spans="1:5" x14ac:dyDescent="0.25">
      <c r="A3156" t="s">
        <v>204</v>
      </c>
      <c r="B3156" t="s">
        <v>452</v>
      </c>
      <c r="C3156" s="40">
        <v>2.6</v>
      </c>
      <c r="D3156">
        <f t="shared" si="98"/>
        <v>144</v>
      </c>
      <c r="E3156" t="str">
        <f t="shared" si="99"/>
        <v>144. Tuvalu</v>
      </c>
    </row>
    <row r="3157" spans="1:5" x14ac:dyDescent="0.25">
      <c r="A3157" t="s">
        <v>220</v>
      </c>
      <c r="B3157" t="s">
        <v>452</v>
      </c>
      <c r="C3157" s="40">
        <v>2.6</v>
      </c>
      <c r="D3157">
        <f t="shared" si="98"/>
        <v>145</v>
      </c>
      <c r="E3157" t="str">
        <f t="shared" si="99"/>
        <v>145. Zimbabwe</v>
      </c>
    </row>
    <row r="3158" spans="1:5" x14ac:dyDescent="0.25">
      <c r="A3158" t="s">
        <v>111</v>
      </c>
      <c r="B3158" t="s">
        <v>452</v>
      </c>
      <c r="C3158" s="40">
        <v>2.5</v>
      </c>
      <c r="D3158">
        <f t="shared" si="98"/>
        <v>146</v>
      </c>
      <c r="E3158" t="str">
        <f t="shared" si="99"/>
        <v>146. Kiribati</v>
      </c>
    </row>
    <row r="3159" spans="1:5" x14ac:dyDescent="0.25">
      <c r="A3159" t="s">
        <v>143</v>
      </c>
      <c r="B3159" t="s">
        <v>452</v>
      </c>
      <c r="C3159" s="40">
        <v>2.2999999999999998</v>
      </c>
      <c r="D3159">
        <f t="shared" si="98"/>
        <v>147</v>
      </c>
      <c r="E3159" t="str">
        <f t="shared" si="99"/>
        <v>147. Mauritius</v>
      </c>
    </row>
    <row r="3160" spans="1:5" x14ac:dyDescent="0.25">
      <c r="A3160" t="s">
        <v>48</v>
      </c>
      <c r="B3160" t="s">
        <v>452</v>
      </c>
      <c r="C3160" s="40">
        <v>2.2000000000000002</v>
      </c>
      <c r="D3160">
        <f t="shared" si="98"/>
        <v>148</v>
      </c>
      <c r="E3160" t="str">
        <f t="shared" si="99"/>
        <v>148. Cameroon</v>
      </c>
    </row>
    <row r="3161" spans="1:5" x14ac:dyDescent="0.25">
      <c r="A3161" t="s">
        <v>135</v>
      </c>
      <c r="B3161" t="s">
        <v>452</v>
      </c>
      <c r="C3161" s="40">
        <v>2.2000000000000002</v>
      </c>
      <c r="D3161">
        <f t="shared" si="98"/>
        <v>149</v>
      </c>
      <c r="E3161" t="str">
        <f t="shared" si="99"/>
        <v>149. Mali</v>
      </c>
    </row>
    <row r="3162" spans="1:5" x14ac:dyDescent="0.25">
      <c r="A3162" t="s">
        <v>22</v>
      </c>
      <c r="B3162" t="s">
        <v>452</v>
      </c>
      <c r="C3162" s="40">
        <v>2.1</v>
      </c>
      <c r="D3162">
        <f t="shared" si="98"/>
        <v>150</v>
      </c>
      <c r="E3162" t="str">
        <f t="shared" si="99"/>
        <v>150. Azerbaijan</v>
      </c>
    </row>
    <row r="3163" spans="1:5" x14ac:dyDescent="0.25">
      <c r="A3163" t="s">
        <v>78</v>
      </c>
      <c r="B3163" t="s">
        <v>452</v>
      </c>
      <c r="C3163" s="40">
        <v>2.1</v>
      </c>
      <c r="D3163">
        <f t="shared" si="98"/>
        <v>151</v>
      </c>
      <c r="E3163" t="str">
        <f t="shared" si="99"/>
        <v>151. Georgia</v>
      </c>
    </row>
    <row r="3164" spans="1:5" x14ac:dyDescent="0.25">
      <c r="A3164" t="s">
        <v>12</v>
      </c>
      <c r="B3164" t="s">
        <v>452</v>
      </c>
      <c r="C3164" s="40">
        <v>1.8</v>
      </c>
      <c r="D3164">
        <f t="shared" si="98"/>
        <v>152</v>
      </c>
      <c r="E3164" t="str">
        <f t="shared" si="99"/>
        <v>152. Angola</v>
      </c>
    </row>
    <row r="3165" spans="1:5" x14ac:dyDescent="0.25">
      <c r="A3165" t="s">
        <v>41</v>
      </c>
      <c r="B3165" t="s">
        <v>452</v>
      </c>
      <c r="C3165" s="40">
        <v>1.8</v>
      </c>
      <c r="D3165">
        <f t="shared" si="98"/>
        <v>153</v>
      </c>
      <c r="E3165" t="str">
        <f t="shared" si="99"/>
        <v>153. Central African Republic</v>
      </c>
    </row>
    <row r="3166" spans="1:5" x14ac:dyDescent="0.25">
      <c r="A3166" t="s">
        <v>108</v>
      </c>
      <c r="B3166" t="s">
        <v>452</v>
      </c>
      <c r="C3166" s="40">
        <v>1.8</v>
      </c>
      <c r="D3166">
        <f t="shared" si="98"/>
        <v>154</v>
      </c>
      <c r="E3166" t="str">
        <f t="shared" si="99"/>
        <v>154. Kenya</v>
      </c>
    </row>
    <row r="3167" spans="1:5" x14ac:dyDescent="0.25">
      <c r="A3167" t="s">
        <v>215</v>
      </c>
      <c r="B3167" t="s">
        <v>452</v>
      </c>
      <c r="C3167" s="40">
        <v>1.8</v>
      </c>
      <c r="D3167">
        <f t="shared" si="98"/>
        <v>155</v>
      </c>
      <c r="E3167" t="str">
        <f t="shared" si="99"/>
        <v>155. Samoa</v>
      </c>
    </row>
    <row r="3168" spans="1:5" x14ac:dyDescent="0.25">
      <c r="A3168" t="s">
        <v>13</v>
      </c>
      <c r="B3168" t="s">
        <v>452</v>
      </c>
      <c r="C3168" s="40">
        <v>1.7</v>
      </c>
      <c r="D3168">
        <f t="shared" si="98"/>
        <v>156</v>
      </c>
      <c r="E3168" t="str">
        <f t="shared" si="99"/>
        <v>156. Albania</v>
      </c>
    </row>
    <row r="3169" spans="1:5" x14ac:dyDescent="0.25">
      <c r="A3169" t="s">
        <v>27</v>
      </c>
      <c r="B3169" t="s">
        <v>452</v>
      </c>
      <c r="C3169" s="40">
        <v>1.7</v>
      </c>
      <c r="D3169">
        <f t="shared" si="98"/>
        <v>157</v>
      </c>
      <c r="E3169" t="str">
        <f t="shared" si="99"/>
        <v>157. Bangladesh</v>
      </c>
    </row>
    <row r="3170" spans="1:5" x14ac:dyDescent="0.25">
      <c r="A3170" t="s">
        <v>148</v>
      </c>
      <c r="B3170" t="s">
        <v>452</v>
      </c>
      <c r="C3170" s="40">
        <v>1.7</v>
      </c>
      <c r="D3170">
        <f t="shared" si="98"/>
        <v>158</v>
      </c>
      <c r="E3170" t="str">
        <f t="shared" si="99"/>
        <v>158. Niger</v>
      </c>
    </row>
    <row r="3171" spans="1:5" x14ac:dyDescent="0.25">
      <c r="A3171" t="s">
        <v>157</v>
      </c>
      <c r="B3171" t="s">
        <v>452</v>
      </c>
      <c r="C3171" s="40">
        <v>1.7</v>
      </c>
      <c r="D3171">
        <f t="shared" si="98"/>
        <v>159</v>
      </c>
      <c r="E3171" t="str">
        <f t="shared" si="99"/>
        <v>159. Pakistan</v>
      </c>
    </row>
    <row r="3172" spans="1:5" x14ac:dyDescent="0.25">
      <c r="A3172" t="s">
        <v>153</v>
      </c>
      <c r="B3172" t="s">
        <v>452</v>
      </c>
      <c r="C3172" s="40">
        <v>1.6</v>
      </c>
      <c r="D3172">
        <f t="shared" si="98"/>
        <v>160</v>
      </c>
      <c r="E3172" t="str">
        <f t="shared" si="99"/>
        <v>160. Nepal</v>
      </c>
    </row>
    <row r="3173" spans="1:5" x14ac:dyDescent="0.25">
      <c r="A3173" t="s">
        <v>35</v>
      </c>
      <c r="B3173" t="s">
        <v>452</v>
      </c>
      <c r="C3173" s="40">
        <v>1.5</v>
      </c>
      <c r="D3173">
        <f t="shared" si="98"/>
        <v>161</v>
      </c>
      <c r="E3173" t="str">
        <f t="shared" si="99"/>
        <v>161. Bolivia</v>
      </c>
    </row>
    <row r="3174" spans="1:5" x14ac:dyDescent="0.25">
      <c r="A3174" t="s">
        <v>72</v>
      </c>
      <c r="B3174" t="s">
        <v>452</v>
      </c>
      <c r="C3174" s="40">
        <v>1.5</v>
      </c>
      <c r="D3174">
        <f t="shared" si="98"/>
        <v>162</v>
      </c>
      <c r="E3174" t="str">
        <f t="shared" si="99"/>
        <v>162. Fiji</v>
      </c>
    </row>
    <row r="3175" spans="1:5" x14ac:dyDescent="0.25">
      <c r="A3175" t="s">
        <v>79</v>
      </c>
      <c r="B3175" t="s">
        <v>452</v>
      </c>
      <c r="C3175" s="40">
        <v>1.5</v>
      </c>
      <c r="D3175">
        <f t="shared" si="98"/>
        <v>163</v>
      </c>
      <c r="E3175" t="str">
        <f t="shared" si="99"/>
        <v>163. Ghana</v>
      </c>
    </row>
    <row r="3176" spans="1:5" x14ac:dyDescent="0.25">
      <c r="A3176" t="s">
        <v>175</v>
      </c>
      <c r="B3176" t="s">
        <v>452</v>
      </c>
      <c r="C3176" s="40">
        <v>1.5</v>
      </c>
      <c r="D3176">
        <f t="shared" si="98"/>
        <v>164</v>
      </c>
      <c r="E3176" t="str">
        <f t="shared" si="99"/>
        <v>164. Senegal</v>
      </c>
    </row>
    <row r="3177" spans="1:5" x14ac:dyDescent="0.25">
      <c r="A3177" t="s">
        <v>52</v>
      </c>
      <c r="B3177" t="s">
        <v>452</v>
      </c>
      <c r="C3177" s="40">
        <v>1.4</v>
      </c>
      <c r="D3177">
        <f t="shared" si="98"/>
        <v>165</v>
      </c>
      <c r="E3177" t="str">
        <f t="shared" si="99"/>
        <v>165. Comoros</v>
      </c>
    </row>
    <row r="3178" spans="1:5" x14ac:dyDescent="0.25">
      <c r="A3178" t="s">
        <v>117</v>
      </c>
      <c r="B3178" t="s">
        <v>452</v>
      </c>
      <c r="C3178" s="40">
        <v>1.3</v>
      </c>
      <c r="D3178">
        <f t="shared" si="98"/>
        <v>166</v>
      </c>
      <c r="E3178" t="str">
        <f t="shared" si="99"/>
        <v>166. Liberia</v>
      </c>
    </row>
    <row r="3179" spans="1:5" x14ac:dyDescent="0.25">
      <c r="A3179" t="s">
        <v>132</v>
      </c>
      <c r="B3179" t="s">
        <v>452</v>
      </c>
      <c r="C3179" s="40">
        <v>1.3</v>
      </c>
      <c r="D3179">
        <f t="shared" si="98"/>
        <v>167</v>
      </c>
      <c r="E3179" t="str">
        <f t="shared" si="99"/>
        <v>167. Mexico</v>
      </c>
    </row>
    <row r="3180" spans="1:5" x14ac:dyDescent="0.25">
      <c r="A3180" t="s">
        <v>219</v>
      </c>
      <c r="B3180" t="s">
        <v>452</v>
      </c>
      <c r="C3180" s="40">
        <v>1.2</v>
      </c>
      <c r="D3180">
        <f t="shared" si="98"/>
        <v>168</v>
      </c>
      <c r="E3180" t="str">
        <f t="shared" si="99"/>
        <v>168. Zambia</v>
      </c>
    </row>
    <row r="3181" spans="1:5" x14ac:dyDescent="0.25">
      <c r="A3181" t="s">
        <v>31</v>
      </c>
      <c r="B3181" t="s">
        <v>452</v>
      </c>
      <c r="C3181" s="40">
        <v>1.1000000000000001</v>
      </c>
      <c r="D3181">
        <f t="shared" si="98"/>
        <v>169</v>
      </c>
      <c r="E3181" t="str">
        <f t="shared" si="99"/>
        <v>169. Bosnia and Herzegovina</v>
      </c>
    </row>
    <row r="3182" spans="1:5" x14ac:dyDescent="0.25">
      <c r="A3182" t="s">
        <v>49</v>
      </c>
      <c r="B3182" t="s">
        <v>452</v>
      </c>
      <c r="C3182" s="40">
        <v>1</v>
      </c>
      <c r="D3182">
        <f t="shared" si="98"/>
        <v>170</v>
      </c>
      <c r="E3182" t="str">
        <f t="shared" si="99"/>
        <v>170. Congo, Dem. Rep.</v>
      </c>
    </row>
    <row r="3183" spans="1:5" x14ac:dyDescent="0.25">
      <c r="A3183" t="s">
        <v>67</v>
      </c>
      <c r="B3183" t="s">
        <v>452</v>
      </c>
      <c r="C3183" s="40">
        <v>1</v>
      </c>
      <c r="D3183">
        <f t="shared" si="98"/>
        <v>171</v>
      </c>
      <c r="E3183" t="str">
        <f t="shared" si="99"/>
        <v>171. Egypt, Arab Rep.</v>
      </c>
    </row>
    <row r="3184" spans="1:5" x14ac:dyDescent="0.25">
      <c r="A3184" t="s">
        <v>141</v>
      </c>
      <c r="B3184" t="s">
        <v>452</v>
      </c>
      <c r="C3184" s="40">
        <v>1</v>
      </c>
      <c r="D3184">
        <f t="shared" si="98"/>
        <v>172</v>
      </c>
      <c r="E3184" t="str">
        <f t="shared" si="99"/>
        <v>172. Mozambique</v>
      </c>
    </row>
    <row r="3185" spans="1:5" x14ac:dyDescent="0.25">
      <c r="A3185" t="s">
        <v>214</v>
      </c>
      <c r="B3185" t="s">
        <v>452</v>
      </c>
      <c r="C3185" s="40">
        <v>1</v>
      </c>
      <c r="D3185">
        <f t="shared" si="98"/>
        <v>173</v>
      </c>
      <c r="E3185" t="str">
        <f t="shared" si="99"/>
        <v>173. Vanuatu</v>
      </c>
    </row>
    <row r="3186" spans="1:5" x14ac:dyDescent="0.25">
      <c r="A3186" t="s">
        <v>217</v>
      </c>
      <c r="B3186" t="s">
        <v>452</v>
      </c>
      <c r="C3186" s="40">
        <v>1</v>
      </c>
      <c r="D3186">
        <f t="shared" si="98"/>
        <v>174</v>
      </c>
      <c r="E3186" t="str">
        <f t="shared" si="99"/>
        <v>174. Yemen, Rep.</v>
      </c>
    </row>
    <row r="3187" spans="1:5" x14ac:dyDescent="0.25">
      <c r="A3187" t="s">
        <v>70</v>
      </c>
      <c r="B3187" t="s">
        <v>452</v>
      </c>
      <c r="C3187" s="40">
        <v>0.9</v>
      </c>
      <c r="D3187">
        <f t="shared" si="98"/>
        <v>175</v>
      </c>
      <c r="E3187" t="str">
        <f t="shared" si="99"/>
        <v>175. Ethiopia</v>
      </c>
    </row>
    <row r="3188" spans="1:5" x14ac:dyDescent="0.25">
      <c r="A3188" t="s">
        <v>144</v>
      </c>
      <c r="B3188" t="s">
        <v>452</v>
      </c>
      <c r="C3188" s="40">
        <v>0.9</v>
      </c>
      <c r="D3188">
        <f t="shared" si="98"/>
        <v>176</v>
      </c>
      <c r="E3188" t="str">
        <f t="shared" si="99"/>
        <v>176. Malawi</v>
      </c>
    </row>
    <row r="3189" spans="1:5" x14ac:dyDescent="0.25">
      <c r="A3189" t="s">
        <v>80</v>
      </c>
      <c r="B3189" t="s">
        <v>452</v>
      </c>
      <c r="C3189" s="40">
        <v>0.8</v>
      </c>
      <c r="D3189">
        <f t="shared" si="98"/>
        <v>177</v>
      </c>
      <c r="E3189" t="str">
        <f t="shared" si="99"/>
        <v>177. Guinea</v>
      </c>
    </row>
    <row r="3190" spans="1:5" x14ac:dyDescent="0.25">
      <c r="A3190" t="s">
        <v>100</v>
      </c>
      <c r="B3190" t="s">
        <v>452</v>
      </c>
      <c r="C3190" s="40">
        <v>0.8</v>
      </c>
      <c r="D3190">
        <f t="shared" si="98"/>
        <v>178</v>
      </c>
      <c r="E3190" t="str">
        <f t="shared" si="99"/>
        <v>178. Iraq</v>
      </c>
    </row>
    <row r="3191" spans="1:5" x14ac:dyDescent="0.25">
      <c r="A3191" t="s">
        <v>104</v>
      </c>
      <c r="B3191" t="s">
        <v>452</v>
      </c>
      <c r="C3191" s="40">
        <v>0.8</v>
      </c>
      <c r="D3191">
        <f t="shared" si="98"/>
        <v>179</v>
      </c>
      <c r="E3191" t="str">
        <f t="shared" si="99"/>
        <v>179. Jamaica</v>
      </c>
    </row>
    <row r="3192" spans="1:5" x14ac:dyDescent="0.25">
      <c r="A3192" t="s">
        <v>184</v>
      </c>
      <c r="B3192" t="s">
        <v>452</v>
      </c>
      <c r="C3192" s="40">
        <v>0.8</v>
      </c>
      <c r="D3192">
        <f t="shared" si="98"/>
        <v>180</v>
      </c>
      <c r="E3192" t="str">
        <f t="shared" si="99"/>
        <v>180. Sao Tome and Principe</v>
      </c>
    </row>
    <row r="3193" spans="1:5" x14ac:dyDescent="0.25">
      <c r="A3193" t="s">
        <v>36</v>
      </c>
      <c r="B3193" t="s">
        <v>452</v>
      </c>
      <c r="C3193" s="40">
        <v>0.7</v>
      </c>
      <c r="D3193">
        <f t="shared" si="98"/>
        <v>181</v>
      </c>
      <c r="E3193" t="str">
        <f t="shared" si="99"/>
        <v>181. Brazil</v>
      </c>
    </row>
    <row r="3194" spans="1:5" x14ac:dyDescent="0.25">
      <c r="A3194" t="s">
        <v>179</v>
      </c>
      <c r="B3194" t="s">
        <v>452</v>
      </c>
      <c r="C3194" s="40">
        <v>0.7</v>
      </c>
      <c r="D3194">
        <f t="shared" si="98"/>
        <v>182</v>
      </c>
      <c r="E3194" t="str">
        <f t="shared" si="99"/>
        <v>182. El Salvador</v>
      </c>
    </row>
    <row r="3195" spans="1:5" x14ac:dyDescent="0.25">
      <c r="A3195" t="s">
        <v>82</v>
      </c>
      <c r="B3195" t="s">
        <v>452</v>
      </c>
      <c r="C3195" s="40">
        <v>0.7</v>
      </c>
      <c r="D3195">
        <f t="shared" si="98"/>
        <v>183</v>
      </c>
      <c r="E3195" t="str">
        <f t="shared" si="99"/>
        <v>183. Guinea-Bissau</v>
      </c>
    </row>
    <row r="3196" spans="1:5" x14ac:dyDescent="0.25">
      <c r="A3196" t="s">
        <v>115</v>
      </c>
      <c r="B3196" t="s">
        <v>452</v>
      </c>
      <c r="C3196" s="40">
        <v>0.7</v>
      </c>
      <c r="D3196">
        <f t="shared" si="98"/>
        <v>184</v>
      </c>
      <c r="E3196" t="str">
        <f t="shared" si="99"/>
        <v>184. Lao PDR</v>
      </c>
    </row>
    <row r="3197" spans="1:5" x14ac:dyDescent="0.25">
      <c r="A3197" t="s">
        <v>205</v>
      </c>
      <c r="B3197" t="s">
        <v>452</v>
      </c>
      <c r="C3197" s="40">
        <v>0.7</v>
      </c>
      <c r="D3197">
        <f t="shared" si="98"/>
        <v>185</v>
      </c>
      <c r="E3197" t="str">
        <f t="shared" si="99"/>
        <v>185. Tanzania</v>
      </c>
    </row>
    <row r="3198" spans="1:5" x14ac:dyDescent="0.25">
      <c r="A3198" t="s">
        <v>65</v>
      </c>
      <c r="B3198" t="s">
        <v>452</v>
      </c>
      <c r="C3198" s="40">
        <v>0.6</v>
      </c>
      <c r="D3198">
        <f t="shared" si="98"/>
        <v>186</v>
      </c>
      <c r="E3198" t="str">
        <f t="shared" si="99"/>
        <v>186. Algeria</v>
      </c>
    </row>
    <row r="3199" spans="1:5" x14ac:dyDescent="0.25">
      <c r="A3199" t="s">
        <v>122</v>
      </c>
      <c r="B3199" t="s">
        <v>452</v>
      </c>
      <c r="C3199" s="40">
        <v>0.6</v>
      </c>
      <c r="D3199">
        <f t="shared" si="98"/>
        <v>187</v>
      </c>
      <c r="E3199" t="str">
        <f t="shared" si="99"/>
        <v>187. Lesotho</v>
      </c>
    </row>
    <row r="3200" spans="1:5" x14ac:dyDescent="0.25">
      <c r="A3200" t="s">
        <v>139</v>
      </c>
      <c r="B3200" t="s">
        <v>452</v>
      </c>
      <c r="C3200" s="40">
        <v>0.6</v>
      </c>
      <c r="D3200">
        <f t="shared" si="98"/>
        <v>188</v>
      </c>
      <c r="E3200" t="str">
        <f t="shared" si="99"/>
        <v>188. Mongolia</v>
      </c>
    </row>
    <row r="3201" spans="1:5" x14ac:dyDescent="0.25">
      <c r="A3201" t="s">
        <v>150</v>
      </c>
      <c r="B3201" t="s">
        <v>452</v>
      </c>
      <c r="C3201" s="40">
        <v>0.6</v>
      </c>
      <c r="D3201">
        <f t="shared" si="98"/>
        <v>189</v>
      </c>
      <c r="E3201" t="str">
        <f t="shared" si="99"/>
        <v>189. Nicaragua</v>
      </c>
    </row>
    <row r="3202" spans="1:5" x14ac:dyDescent="0.25">
      <c r="A3202" t="s">
        <v>149</v>
      </c>
      <c r="B3202" t="s">
        <v>452</v>
      </c>
      <c r="C3202" s="40">
        <v>0.6</v>
      </c>
      <c r="D3202">
        <f t="shared" si="98"/>
        <v>190</v>
      </c>
      <c r="E3202" t="str">
        <f t="shared" si="99"/>
        <v>190. Nigeria</v>
      </c>
    </row>
    <row r="3203" spans="1:5" x14ac:dyDescent="0.25">
      <c r="A3203" t="s">
        <v>178</v>
      </c>
      <c r="B3203" t="s">
        <v>452</v>
      </c>
      <c r="C3203" s="40">
        <v>0.6</v>
      </c>
      <c r="D3203">
        <f t="shared" ref="D3203:D3266" si="100">IF(ROW() = 2, 1, IF(B3203 = B3202, D3202 + 1, 1))</f>
        <v>191</v>
      </c>
      <c r="E3203" t="str">
        <f t="shared" ref="E3203:E3266" si="101">_xlfn.CONCAT(D3203, ". ", A3203)</f>
        <v>191. Sierra Leone</v>
      </c>
    </row>
    <row r="3204" spans="1:5" x14ac:dyDescent="0.25">
      <c r="A3204" t="s">
        <v>199</v>
      </c>
      <c r="B3204" t="s">
        <v>452</v>
      </c>
      <c r="C3204" s="40">
        <v>0.6</v>
      </c>
      <c r="D3204">
        <f t="shared" si="100"/>
        <v>192</v>
      </c>
      <c r="E3204" t="str">
        <f t="shared" si="101"/>
        <v>192. Timor-Leste</v>
      </c>
    </row>
    <row r="3205" spans="1:5" x14ac:dyDescent="0.25">
      <c r="A3205" t="s">
        <v>110</v>
      </c>
      <c r="B3205" t="s">
        <v>452</v>
      </c>
      <c r="C3205" s="40">
        <v>0.5</v>
      </c>
      <c r="D3205">
        <f t="shared" si="100"/>
        <v>193</v>
      </c>
      <c r="E3205" t="str">
        <f t="shared" si="101"/>
        <v>193. Cambodia</v>
      </c>
    </row>
    <row r="3206" spans="1:5" x14ac:dyDescent="0.25">
      <c r="A3206" t="s">
        <v>87</v>
      </c>
      <c r="B3206" t="s">
        <v>452</v>
      </c>
      <c r="C3206" s="40">
        <v>0.5</v>
      </c>
      <c r="D3206">
        <f t="shared" si="100"/>
        <v>194</v>
      </c>
      <c r="E3206" t="str">
        <f t="shared" si="101"/>
        <v>194. Guatemala</v>
      </c>
    </row>
    <row r="3207" spans="1:5" x14ac:dyDescent="0.25">
      <c r="A3207" t="s">
        <v>202</v>
      </c>
      <c r="B3207" t="s">
        <v>452</v>
      </c>
      <c r="C3207" s="40">
        <v>0.5</v>
      </c>
      <c r="D3207">
        <f t="shared" si="100"/>
        <v>195</v>
      </c>
      <c r="E3207" t="str">
        <f t="shared" si="101"/>
        <v>195. Tunisia</v>
      </c>
    </row>
    <row r="3208" spans="1:5" x14ac:dyDescent="0.25">
      <c r="A3208" t="s">
        <v>224</v>
      </c>
      <c r="B3208" t="s">
        <v>452</v>
      </c>
      <c r="C3208" s="40">
        <v>0.4</v>
      </c>
      <c r="D3208">
        <f t="shared" si="100"/>
        <v>196</v>
      </c>
      <c r="E3208" t="str">
        <f t="shared" si="101"/>
        <v>196. Eritrea</v>
      </c>
    </row>
    <row r="3209" spans="1:5" x14ac:dyDescent="0.25">
      <c r="A3209" t="s">
        <v>91</v>
      </c>
      <c r="B3209" t="s">
        <v>452</v>
      </c>
      <c r="C3209" s="40">
        <v>0.4</v>
      </c>
      <c r="D3209">
        <f t="shared" si="100"/>
        <v>197</v>
      </c>
      <c r="E3209" t="str">
        <f t="shared" si="101"/>
        <v>197. Honduras</v>
      </c>
    </row>
    <row r="3210" spans="1:5" x14ac:dyDescent="0.25">
      <c r="A3210" t="s">
        <v>222</v>
      </c>
      <c r="B3210" t="s">
        <v>452</v>
      </c>
      <c r="C3210" s="40">
        <v>0.4</v>
      </c>
      <c r="D3210">
        <f t="shared" si="100"/>
        <v>198</v>
      </c>
      <c r="E3210" t="str">
        <f t="shared" si="101"/>
        <v>198. Somalia, Fed. Rep.</v>
      </c>
    </row>
    <row r="3211" spans="1:5" x14ac:dyDescent="0.25">
      <c r="A3211" t="s">
        <v>97</v>
      </c>
      <c r="B3211" t="s">
        <v>452</v>
      </c>
      <c r="C3211" s="40">
        <v>0.3</v>
      </c>
      <c r="D3211">
        <f t="shared" si="100"/>
        <v>199</v>
      </c>
      <c r="E3211" t="str">
        <f t="shared" si="101"/>
        <v>199. India</v>
      </c>
    </row>
    <row r="3212" spans="1:5" x14ac:dyDescent="0.25">
      <c r="A3212" t="s">
        <v>127</v>
      </c>
      <c r="B3212" t="s">
        <v>452</v>
      </c>
      <c r="C3212" s="40">
        <v>0.3</v>
      </c>
      <c r="D3212">
        <f t="shared" si="100"/>
        <v>200</v>
      </c>
      <c r="E3212" t="str">
        <f t="shared" si="101"/>
        <v>200. Morocco</v>
      </c>
    </row>
    <row r="3213" spans="1:5" x14ac:dyDescent="0.25">
      <c r="A3213" t="s">
        <v>162</v>
      </c>
      <c r="B3213" t="s">
        <v>452</v>
      </c>
      <c r="C3213" s="40">
        <v>0.3</v>
      </c>
      <c r="D3213">
        <f t="shared" si="100"/>
        <v>201</v>
      </c>
      <c r="E3213" t="str">
        <f t="shared" si="101"/>
        <v>201. Papua New Guinea</v>
      </c>
    </row>
    <row r="3214" spans="1:5" x14ac:dyDescent="0.25">
      <c r="A3214" t="s">
        <v>177</v>
      </c>
      <c r="B3214" t="s">
        <v>452</v>
      </c>
      <c r="C3214" s="40">
        <v>0.3</v>
      </c>
      <c r="D3214">
        <f t="shared" si="100"/>
        <v>202</v>
      </c>
      <c r="E3214" t="str">
        <f t="shared" si="101"/>
        <v>202. Solomon Islands</v>
      </c>
    </row>
    <row r="3215" spans="1:5" x14ac:dyDescent="0.25">
      <c r="A3215" t="s">
        <v>213</v>
      </c>
      <c r="B3215" t="s">
        <v>452</v>
      </c>
      <c r="C3215" s="40">
        <v>0.3</v>
      </c>
      <c r="D3215">
        <f t="shared" si="100"/>
        <v>203</v>
      </c>
      <c r="E3215" t="str">
        <f t="shared" si="101"/>
        <v>203. Viet Nam</v>
      </c>
    </row>
    <row r="3216" spans="1:5" x14ac:dyDescent="0.25">
      <c r="A3216" t="s">
        <v>11</v>
      </c>
      <c r="B3216" t="s">
        <v>452</v>
      </c>
      <c r="C3216" s="40">
        <v>0.2</v>
      </c>
      <c r="D3216">
        <f t="shared" si="100"/>
        <v>204</v>
      </c>
      <c r="E3216" t="str">
        <f t="shared" si="101"/>
        <v>204. Afghanistan</v>
      </c>
    </row>
    <row r="3217" spans="1:5" x14ac:dyDescent="0.25">
      <c r="A3217" t="s">
        <v>93</v>
      </c>
      <c r="B3217" t="s">
        <v>452</v>
      </c>
      <c r="C3217" s="40">
        <v>0.2</v>
      </c>
      <c r="D3217">
        <f t="shared" si="100"/>
        <v>205</v>
      </c>
      <c r="E3217" t="str">
        <f t="shared" si="101"/>
        <v>205. Haiti</v>
      </c>
    </row>
    <row r="3218" spans="1:5" x14ac:dyDescent="0.25">
      <c r="A3218" t="s">
        <v>95</v>
      </c>
      <c r="B3218" t="s">
        <v>452</v>
      </c>
      <c r="C3218" s="40">
        <v>0.2</v>
      </c>
      <c r="D3218">
        <f t="shared" si="100"/>
        <v>206</v>
      </c>
      <c r="E3218" t="str">
        <f t="shared" si="101"/>
        <v>206. Indonesia</v>
      </c>
    </row>
    <row r="3219" spans="1:5" x14ac:dyDescent="0.25">
      <c r="A3219" t="s">
        <v>385</v>
      </c>
      <c r="B3219" t="s">
        <v>452</v>
      </c>
      <c r="C3219" s="40">
        <v>0.2</v>
      </c>
      <c r="D3219">
        <f t="shared" si="100"/>
        <v>207</v>
      </c>
      <c r="E3219" t="str">
        <f t="shared" si="101"/>
        <v>207. Korea, Dem. People's Rep.</v>
      </c>
    </row>
    <row r="3220" spans="1:5" x14ac:dyDescent="0.25">
      <c r="A3220" t="s">
        <v>121</v>
      </c>
      <c r="B3220" t="s">
        <v>452</v>
      </c>
      <c r="C3220" s="40">
        <v>0.2</v>
      </c>
      <c r="D3220">
        <f t="shared" si="100"/>
        <v>208</v>
      </c>
      <c r="E3220" t="str">
        <f t="shared" si="101"/>
        <v>208. Sri Lanka</v>
      </c>
    </row>
    <row r="3221" spans="1:5" x14ac:dyDescent="0.25">
      <c r="A3221" t="s">
        <v>46</v>
      </c>
      <c r="B3221" t="s">
        <v>452</v>
      </c>
      <c r="C3221" s="40">
        <v>0.1</v>
      </c>
      <c r="D3221">
        <f t="shared" si="100"/>
        <v>209</v>
      </c>
      <c r="E3221" t="str">
        <f t="shared" si="101"/>
        <v>209. China</v>
      </c>
    </row>
    <row r="3222" spans="1:5" x14ac:dyDescent="0.25">
      <c r="A3222" t="s">
        <v>130</v>
      </c>
      <c r="B3222" t="s">
        <v>452</v>
      </c>
      <c r="C3222" s="40">
        <v>0.1</v>
      </c>
      <c r="D3222">
        <f t="shared" si="100"/>
        <v>210</v>
      </c>
      <c r="E3222" t="str">
        <f t="shared" si="101"/>
        <v>210. Madagascar</v>
      </c>
    </row>
    <row r="3223" spans="1:5" x14ac:dyDescent="0.25">
      <c r="A3223" t="s">
        <v>137</v>
      </c>
      <c r="B3223" t="s">
        <v>452</v>
      </c>
      <c r="C3223" s="40">
        <v>0.1</v>
      </c>
      <c r="D3223">
        <f t="shared" si="100"/>
        <v>211</v>
      </c>
      <c r="E3223" t="str">
        <f t="shared" si="101"/>
        <v>211. Myanmar</v>
      </c>
    </row>
    <row r="3224" spans="1:5" x14ac:dyDescent="0.25">
      <c r="A3224" t="s">
        <v>160</v>
      </c>
      <c r="B3224" t="s">
        <v>452</v>
      </c>
      <c r="C3224" s="40">
        <v>0.1</v>
      </c>
      <c r="D3224">
        <f t="shared" si="100"/>
        <v>212</v>
      </c>
      <c r="E3224" t="str">
        <f t="shared" si="101"/>
        <v>212. Philippines</v>
      </c>
    </row>
    <row r="3225" spans="1:5" x14ac:dyDescent="0.25">
      <c r="A3225" s="40" t="s">
        <v>171</v>
      </c>
      <c r="B3225" s="40" t="s">
        <v>398</v>
      </c>
      <c r="C3225" s="40">
        <v>16376.9</v>
      </c>
      <c r="D3225">
        <f t="shared" si="100"/>
        <v>1</v>
      </c>
      <c r="E3225" t="str">
        <f t="shared" si="101"/>
        <v>1. Russian Federation</v>
      </c>
    </row>
    <row r="3226" spans="1:5" x14ac:dyDescent="0.25">
      <c r="A3226" s="40" t="s">
        <v>46</v>
      </c>
      <c r="B3226" s="40" t="s">
        <v>398</v>
      </c>
      <c r="C3226" s="40">
        <v>9388.2000000000007</v>
      </c>
      <c r="D3226">
        <f t="shared" si="100"/>
        <v>2</v>
      </c>
      <c r="E3226" t="str">
        <f t="shared" si="101"/>
        <v>2. China</v>
      </c>
    </row>
    <row r="3227" spans="1:5" x14ac:dyDescent="0.25">
      <c r="A3227" s="40" t="s">
        <v>209</v>
      </c>
      <c r="B3227" s="40" t="s">
        <v>398</v>
      </c>
      <c r="C3227" s="40">
        <v>9147.4</v>
      </c>
      <c r="D3227">
        <f t="shared" si="100"/>
        <v>3</v>
      </c>
      <c r="E3227" t="str">
        <f t="shared" si="101"/>
        <v>3. United States</v>
      </c>
    </row>
    <row r="3228" spans="1:5" x14ac:dyDescent="0.25">
      <c r="A3228" s="40" t="s">
        <v>42</v>
      </c>
      <c r="B3228" s="40" t="s">
        <v>398</v>
      </c>
      <c r="C3228" s="40">
        <v>8788.7000000000007</v>
      </c>
      <c r="D3228">
        <f t="shared" si="100"/>
        <v>4</v>
      </c>
      <c r="E3228" t="str">
        <f t="shared" si="101"/>
        <v>4. Canada</v>
      </c>
    </row>
    <row r="3229" spans="1:5" x14ac:dyDescent="0.25">
      <c r="A3229" s="40" t="s">
        <v>36</v>
      </c>
      <c r="B3229" s="40" t="s">
        <v>398</v>
      </c>
      <c r="C3229" s="40">
        <v>8358.1</v>
      </c>
      <c r="D3229">
        <f t="shared" si="100"/>
        <v>5</v>
      </c>
      <c r="E3229" t="str">
        <f t="shared" si="101"/>
        <v>5. Brazil</v>
      </c>
    </row>
    <row r="3230" spans="1:5" x14ac:dyDescent="0.25">
      <c r="A3230" s="40" t="s">
        <v>20</v>
      </c>
      <c r="B3230" s="40" t="s">
        <v>398</v>
      </c>
      <c r="C3230" s="40">
        <v>7692</v>
      </c>
      <c r="D3230">
        <f t="shared" si="100"/>
        <v>6</v>
      </c>
      <c r="E3230" t="str">
        <f t="shared" si="101"/>
        <v>6. Australia</v>
      </c>
    </row>
    <row r="3231" spans="1:5" x14ac:dyDescent="0.25">
      <c r="A3231" s="40" t="s">
        <v>97</v>
      </c>
      <c r="B3231" s="40" t="s">
        <v>398</v>
      </c>
      <c r="C3231" s="40">
        <v>2973.2</v>
      </c>
      <c r="D3231">
        <f t="shared" si="100"/>
        <v>7</v>
      </c>
      <c r="E3231" t="str">
        <f t="shared" si="101"/>
        <v>7. India</v>
      </c>
    </row>
    <row r="3232" spans="1:5" x14ac:dyDescent="0.25">
      <c r="A3232" s="40" t="s">
        <v>16</v>
      </c>
      <c r="B3232" s="40" t="s">
        <v>398</v>
      </c>
      <c r="C3232" s="40">
        <v>2736.7</v>
      </c>
      <c r="D3232">
        <f t="shared" si="100"/>
        <v>8</v>
      </c>
      <c r="E3232" t="str">
        <f t="shared" si="101"/>
        <v>8. Argentina</v>
      </c>
    </row>
    <row r="3233" spans="1:5" x14ac:dyDescent="0.25">
      <c r="A3233" s="40" t="s">
        <v>107</v>
      </c>
      <c r="B3233" s="40" t="s">
        <v>398</v>
      </c>
      <c r="C3233" s="40">
        <v>2699.7</v>
      </c>
      <c r="D3233">
        <f t="shared" si="100"/>
        <v>9</v>
      </c>
      <c r="E3233" t="str">
        <f t="shared" si="101"/>
        <v>9. Kazakhstan</v>
      </c>
    </row>
    <row r="3234" spans="1:5" x14ac:dyDescent="0.25">
      <c r="A3234" s="40" t="s">
        <v>65</v>
      </c>
      <c r="B3234" s="40" t="s">
        <v>398</v>
      </c>
      <c r="C3234" s="40">
        <v>2381.6999999999998</v>
      </c>
      <c r="D3234">
        <f t="shared" si="100"/>
        <v>10</v>
      </c>
      <c r="E3234" t="str">
        <f t="shared" si="101"/>
        <v>10. Algeria</v>
      </c>
    </row>
    <row r="3235" spans="1:5" x14ac:dyDescent="0.25">
      <c r="A3235" s="40" t="s">
        <v>49</v>
      </c>
      <c r="B3235" s="40" t="s">
        <v>398</v>
      </c>
      <c r="C3235" s="40">
        <v>2267.1</v>
      </c>
      <c r="D3235">
        <f t="shared" si="100"/>
        <v>11</v>
      </c>
      <c r="E3235" t="str">
        <f t="shared" si="101"/>
        <v>11. Congo, Dem. Rep.</v>
      </c>
    </row>
    <row r="3236" spans="1:5" x14ac:dyDescent="0.25">
      <c r="A3236" s="40" t="s">
        <v>173</v>
      </c>
      <c r="B3236" s="40" t="s">
        <v>398</v>
      </c>
      <c r="C3236" s="40">
        <v>2149.6999999999998</v>
      </c>
      <c r="D3236">
        <f t="shared" si="100"/>
        <v>12</v>
      </c>
      <c r="E3236" t="str">
        <f t="shared" si="101"/>
        <v>12. Saudi Arabia</v>
      </c>
    </row>
    <row r="3237" spans="1:5" x14ac:dyDescent="0.25">
      <c r="A3237" s="40" t="s">
        <v>132</v>
      </c>
      <c r="B3237" s="40" t="s">
        <v>398</v>
      </c>
      <c r="C3237" s="40">
        <v>1944</v>
      </c>
      <c r="D3237">
        <f t="shared" si="100"/>
        <v>13</v>
      </c>
      <c r="E3237" t="str">
        <f t="shared" si="101"/>
        <v>13. Mexico</v>
      </c>
    </row>
    <row r="3238" spans="1:5" x14ac:dyDescent="0.25">
      <c r="A3238" s="40" t="s">
        <v>95</v>
      </c>
      <c r="B3238" s="40" t="s">
        <v>398</v>
      </c>
      <c r="C3238" s="40">
        <v>1892.6</v>
      </c>
      <c r="D3238">
        <f t="shared" si="100"/>
        <v>14</v>
      </c>
      <c r="E3238" t="str">
        <f t="shared" si="101"/>
        <v>14. Indonesia</v>
      </c>
    </row>
    <row r="3239" spans="1:5" x14ac:dyDescent="0.25">
      <c r="A3239" s="40" t="s">
        <v>174</v>
      </c>
      <c r="B3239" s="40" t="s">
        <v>398</v>
      </c>
      <c r="C3239" s="40">
        <v>1868</v>
      </c>
      <c r="D3239">
        <f t="shared" si="100"/>
        <v>15</v>
      </c>
      <c r="E3239" t="str">
        <f t="shared" si="101"/>
        <v>15. Sudan</v>
      </c>
    </row>
    <row r="3240" spans="1:5" x14ac:dyDescent="0.25">
      <c r="A3240" s="40" t="s">
        <v>118</v>
      </c>
      <c r="B3240" s="40" t="s">
        <v>398</v>
      </c>
      <c r="C3240" s="40">
        <v>1759.5</v>
      </c>
      <c r="D3240">
        <f t="shared" si="100"/>
        <v>16</v>
      </c>
      <c r="E3240" t="str">
        <f t="shared" si="101"/>
        <v>16. Libya</v>
      </c>
    </row>
    <row r="3241" spans="1:5" x14ac:dyDescent="0.25">
      <c r="A3241" s="40" t="s">
        <v>99</v>
      </c>
      <c r="B3241" s="40" t="s">
        <v>398</v>
      </c>
      <c r="C3241" s="40">
        <v>1622.5</v>
      </c>
      <c r="D3241">
        <f t="shared" si="100"/>
        <v>17</v>
      </c>
      <c r="E3241" t="str">
        <f t="shared" si="101"/>
        <v>17. Iran, Islamic Rep.</v>
      </c>
    </row>
    <row r="3242" spans="1:5" x14ac:dyDescent="0.25">
      <c r="A3242" s="40" t="s">
        <v>139</v>
      </c>
      <c r="B3242" s="40" t="s">
        <v>398</v>
      </c>
      <c r="C3242" s="40">
        <v>1558.5</v>
      </c>
      <c r="D3242">
        <f t="shared" si="100"/>
        <v>18</v>
      </c>
      <c r="E3242" t="str">
        <f t="shared" si="101"/>
        <v>18. Mongolia</v>
      </c>
    </row>
    <row r="3243" spans="1:5" x14ac:dyDescent="0.25">
      <c r="A3243" s="40" t="s">
        <v>159</v>
      </c>
      <c r="B3243" s="40" t="s">
        <v>398</v>
      </c>
      <c r="C3243" s="40">
        <v>1280</v>
      </c>
      <c r="D3243">
        <f t="shared" si="100"/>
        <v>19</v>
      </c>
      <c r="E3243" t="str">
        <f t="shared" si="101"/>
        <v>19. Peru</v>
      </c>
    </row>
    <row r="3244" spans="1:5" x14ac:dyDescent="0.25">
      <c r="A3244" s="40" t="s">
        <v>148</v>
      </c>
      <c r="B3244" s="40" t="s">
        <v>398</v>
      </c>
      <c r="C3244" s="40">
        <v>1266.7</v>
      </c>
      <c r="D3244">
        <f t="shared" si="100"/>
        <v>20</v>
      </c>
      <c r="E3244" t="str">
        <f t="shared" si="101"/>
        <v>20. Niger</v>
      </c>
    </row>
    <row r="3245" spans="1:5" x14ac:dyDescent="0.25">
      <c r="A3245" s="40" t="s">
        <v>194</v>
      </c>
      <c r="B3245" s="40" t="s">
        <v>398</v>
      </c>
      <c r="C3245" s="40">
        <v>1259.2</v>
      </c>
      <c r="D3245">
        <f t="shared" si="100"/>
        <v>21</v>
      </c>
      <c r="E3245" t="str">
        <f t="shared" si="101"/>
        <v>21. Chad</v>
      </c>
    </row>
    <row r="3246" spans="1:5" x14ac:dyDescent="0.25">
      <c r="A3246" s="40" t="s">
        <v>12</v>
      </c>
      <c r="B3246" s="40" t="s">
        <v>398</v>
      </c>
      <c r="C3246" s="40">
        <v>1246.7</v>
      </c>
      <c r="D3246">
        <f t="shared" si="100"/>
        <v>22</v>
      </c>
      <c r="E3246" t="str">
        <f t="shared" si="101"/>
        <v>22. Angola</v>
      </c>
    </row>
    <row r="3247" spans="1:5" x14ac:dyDescent="0.25">
      <c r="A3247" s="40" t="s">
        <v>135</v>
      </c>
      <c r="B3247" s="40" t="s">
        <v>398</v>
      </c>
      <c r="C3247" s="40">
        <v>1220.2</v>
      </c>
      <c r="D3247">
        <f t="shared" si="100"/>
        <v>23</v>
      </c>
      <c r="E3247" t="str">
        <f t="shared" si="101"/>
        <v>23. Mali</v>
      </c>
    </row>
    <row r="3248" spans="1:5" x14ac:dyDescent="0.25">
      <c r="A3248" s="40" t="s">
        <v>218</v>
      </c>
      <c r="B3248" s="40" t="s">
        <v>398</v>
      </c>
      <c r="C3248" s="40">
        <v>1213.0999999999999</v>
      </c>
      <c r="D3248">
        <f t="shared" si="100"/>
        <v>24</v>
      </c>
      <c r="E3248" t="str">
        <f t="shared" si="101"/>
        <v>24. South Africa</v>
      </c>
    </row>
    <row r="3249" spans="1:5" x14ac:dyDescent="0.25">
      <c r="A3249" s="40" t="s">
        <v>70</v>
      </c>
      <c r="B3249" s="40" t="s">
        <v>398</v>
      </c>
      <c r="C3249" s="40">
        <v>1128.5</v>
      </c>
      <c r="D3249">
        <f t="shared" si="100"/>
        <v>25</v>
      </c>
      <c r="E3249" t="str">
        <f t="shared" si="101"/>
        <v>25. Ethiopia</v>
      </c>
    </row>
    <row r="3250" spans="1:5" x14ac:dyDescent="0.25">
      <c r="A3250" s="40" t="s">
        <v>51</v>
      </c>
      <c r="B3250" s="40" t="s">
        <v>398</v>
      </c>
      <c r="C3250" s="40">
        <v>1109.5</v>
      </c>
      <c r="D3250">
        <f t="shared" si="100"/>
        <v>26</v>
      </c>
      <c r="E3250" t="str">
        <f t="shared" si="101"/>
        <v>26. Colombia</v>
      </c>
    </row>
    <row r="3251" spans="1:5" x14ac:dyDescent="0.25">
      <c r="A3251" s="40" t="s">
        <v>35</v>
      </c>
      <c r="B3251" s="40" t="s">
        <v>398</v>
      </c>
      <c r="C3251" s="40">
        <v>1083.3</v>
      </c>
      <c r="D3251">
        <f t="shared" si="100"/>
        <v>27</v>
      </c>
      <c r="E3251" t="str">
        <f t="shared" si="101"/>
        <v>27. Bolivia</v>
      </c>
    </row>
    <row r="3252" spans="1:5" x14ac:dyDescent="0.25">
      <c r="A3252" s="40" t="s">
        <v>142</v>
      </c>
      <c r="B3252" s="40" t="s">
        <v>398</v>
      </c>
      <c r="C3252" s="40">
        <v>1030.7</v>
      </c>
      <c r="D3252">
        <f t="shared" si="100"/>
        <v>28</v>
      </c>
      <c r="E3252" t="str">
        <f t="shared" si="101"/>
        <v>28. Mauritania</v>
      </c>
    </row>
    <row r="3253" spans="1:5" x14ac:dyDescent="0.25">
      <c r="A3253" s="40" t="s">
        <v>67</v>
      </c>
      <c r="B3253" s="40" t="s">
        <v>398</v>
      </c>
      <c r="C3253" s="40">
        <v>995.5</v>
      </c>
      <c r="D3253">
        <f t="shared" si="100"/>
        <v>29</v>
      </c>
      <c r="E3253" t="str">
        <f t="shared" si="101"/>
        <v>29. Egypt, Arab Rep.</v>
      </c>
    </row>
    <row r="3254" spans="1:5" x14ac:dyDescent="0.25">
      <c r="A3254" s="40" t="s">
        <v>149</v>
      </c>
      <c r="B3254" s="40" t="s">
        <v>398</v>
      </c>
      <c r="C3254" s="40">
        <v>910.8</v>
      </c>
      <c r="D3254">
        <f t="shared" si="100"/>
        <v>30</v>
      </c>
      <c r="E3254" t="str">
        <f t="shared" si="101"/>
        <v>30. Nigeria</v>
      </c>
    </row>
    <row r="3255" spans="1:5" x14ac:dyDescent="0.25">
      <c r="A3255" s="40" t="s">
        <v>205</v>
      </c>
      <c r="B3255" s="40" t="s">
        <v>398</v>
      </c>
      <c r="C3255" s="40">
        <v>885.8</v>
      </c>
      <c r="D3255">
        <f t="shared" si="100"/>
        <v>31</v>
      </c>
      <c r="E3255" t="str">
        <f t="shared" si="101"/>
        <v>31. Tanzania</v>
      </c>
    </row>
    <row r="3256" spans="1:5" x14ac:dyDescent="0.25">
      <c r="A3256" s="40" t="s">
        <v>223</v>
      </c>
      <c r="B3256" s="40" t="s">
        <v>398</v>
      </c>
      <c r="C3256" s="40">
        <v>882.1</v>
      </c>
      <c r="D3256">
        <f t="shared" si="100"/>
        <v>32</v>
      </c>
      <c r="E3256" t="str">
        <f t="shared" si="101"/>
        <v>32. Venezuela, RB</v>
      </c>
    </row>
    <row r="3257" spans="1:5" x14ac:dyDescent="0.25">
      <c r="A3257" s="40" t="s">
        <v>146</v>
      </c>
      <c r="B3257" s="40" t="s">
        <v>398</v>
      </c>
      <c r="C3257" s="40">
        <v>823.3</v>
      </c>
      <c r="D3257">
        <f t="shared" si="100"/>
        <v>33</v>
      </c>
      <c r="E3257" t="str">
        <f t="shared" si="101"/>
        <v>33. Namibia</v>
      </c>
    </row>
    <row r="3258" spans="1:5" x14ac:dyDescent="0.25">
      <c r="A3258" s="40" t="s">
        <v>141</v>
      </c>
      <c r="B3258" s="40" t="s">
        <v>398</v>
      </c>
      <c r="C3258" s="40">
        <v>786.4</v>
      </c>
      <c r="D3258">
        <f t="shared" si="100"/>
        <v>34</v>
      </c>
      <c r="E3258" t="str">
        <f t="shared" si="101"/>
        <v>34. Mozambique</v>
      </c>
    </row>
    <row r="3259" spans="1:5" x14ac:dyDescent="0.25">
      <c r="A3259" s="40" t="s">
        <v>157</v>
      </c>
      <c r="B3259" s="40" t="s">
        <v>398</v>
      </c>
      <c r="C3259" s="40">
        <v>770.9</v>
      </c>
      <c r="D3259">
        <f t="shared" si="100"/>
        <v>35</v>
      </c>
      <c r="E3259" t="str">
        <f t="shared" si="101"/>
        <v>35. Pakistan</v>
      </c>
    </row>
    <row r="3260" spans="1:5" x14ac:dyDescent="0.25">
      <c r="A3260" s="40" t="s">
        <v>203</v>
      </c>
      <c r="B3260" s="40" t="s">
        <v>398</v>
      </c>
      <c r="C3260" s="40">
        <v>769.6</v>
      </c>
      <c r="D3260">
        <f t="shared" si="100"/>
        <v>36</v>
      </c>
      <c r="E3260" t="str">
        <f t="shared" si="101"/>
        <v>36. Turkiye</v>
      </c>
    </row>
    <row r="3261" spans="1:5" x14ac:dyDescent="0.25">
      <c r="A3261" s="40" t="s">
        <v>219</v>
      </c>
      <c r="B3261" s="40" t="s">
        <v>398</v>
      </c>
      <c r="C3261" s="40">
        <v>743.4</v>
      </c>
      <c r="D3261">
        <f t="shared" si="100"/>
        <v>37</v>
      </c>
      <c r="E3261" t="str">
        <f t="shared" si="101"/>
        <v>37. Zambia</v>
      </c>
    </row>
    <row r="3262" spans="1:5" x14ac:dyDescent="0.25">
      <c r="A3262" s="40" t="s">
        <v>45</v>
      </c>
      <c r="B3262" s="40" t="s">
        <v>398</v>
      </c>
      <c r="C3262" s="40">
        <v>742.8</v>
      </c>
      <c r="D3262">
        <f t="shared" si="100"/>
        <v>38</v>
      </c>
      <c r="E3262" t="str">
        <f t="shared" si="101"/>
        <v>38. Chile</v>
      </c>
    </row>
    <row r="3263" spans="1:5" x14ac:dyDescent="0.25">
      <c r="A3263" s="40" t="s">
        <v>137</v>
      </c>
      <c r="B3263" s="40" t="s">
        <v>398</v>
      </c>
      <c r="C3263" s="40">
        <v>652.70000000000005</v>
      </c>
      <c r="D3263">
        <f t="shared" si="100"/>
        <v>39</v>
      </c>
      <c r="E3263" t="str">
        <f t="shared" si="101"/>
        <v>39. Myanmar</v>
      </c>
    </row>
    <row r="3264" spans="1:5" x14ac:dyDescent="0.25">
      <c r="A3264" s="40" t="s">
        <v>11</v>
      </c>
      <c r="B3264" s="40" t="s">
        <v>398</v>
      </c>
      <c r="C3264" s="40">
        <v>652.20000000000005</v>
      </c>
      <c r="D3264">
        <f t="shared" si="100"/>
        <v>40</v>
      </c>
      <c r="E3264" t="str">
        <f t="shared" si="101"/>
        <v>40. Afghanistan</v>
      </c>
    </row>
    <row r="3265" spans="1:5" x14ac:dyDescent="0.25">
      <c r="A3265" s="40" t="s">
        <v>183</v>
      </c>
      <c r="B3265" s="40" t="s">
        <v>398</v>
      </c>
      <c r="C3265" s="40">
        <v>631.9</v>
      </c>
      <c r="D3265">
        <f t="shared" si="100"/>
        <v>41</v>
      </c>
      <c r="E3265" t="str">
        <f t="shared" si="101"/>
        <v>41. South Sudan</v>
      </c>
    </row>
    <row r="3266" spans="1:5" x14ac:dyDescent="0.25">
      <c r="A3266" s="40" t="s">
        <v>222</v>
      </c>
      <c r="B3266" s="40" t="s">
        <v>398</v>
      </c>
      <c r="C3266" s="40">
        <v>627.29999999999995</v>
      </c>
      <c r="D3266">
        <f t="shared" si="100"/>
        <v>42</v>
      </c>
      <c r="E3266" t="str">
        <f t="shared" si="101"/>
        <v>42. Somalia, Fed. Rep.</v>
      </c>
    </row>
    <row r="3267" spans="1:5" x14ac:dyDescent="0.25">
      <c r="A3267" s="40" t="s">
        <v>41</v>
      </c>
      <c r="B3267" s="40" t="s">
        <v>398</v>
      </c>
      <c r="C3267" s="40">
        <v>623</v>
      </c>
      <c r="D3267">
        <f t="shared" ref="D3267:D3330" si="102">IF(ROW() = 2, 1, IF(B3267 = B3266, D3266 + 1, 1))</f>
        <v>43</v>
      </c>
      <c r="E3267" t="str">
        <f t="shared" ref="E3267:E3330" si="103">_xlfn.CONCAT(D3267, ". ", A3267)</f>
        <v>43. Central African Republic</v>
      </c>
    </row>
    <row r="3268" spans="1:5" x14ac:dyDescent="0.25">
      <c r="A3268" s="40" t="s">
        <v>130</v>
      </c>
      <c r="B3268" s="40" t="s">
        <v>398</v>
      </c>
      <c r="C3268" s="40">
        <v>581.79999999999995</v>
      </c>
      <c r="D3268">
        <f t="shared" si="102"/>
        <v>44</v>
      </c>
      <c r="E3268" t="str">
        <f t="shared" si="103"/>
        <v>44. Madagascar</v>
      </c>
    </row>
    <row r="3269" spans="1:5" x14ac:dyDescent="0.25">
      <c r="A3269" s="40" t="s">
        <v>108</v>
      </c>
      <c r="B3269" s="40" t="s">
        <v>398</v>
      </c>
      <c r="C3269" s="40">
        <v>580.9</v>
      </c>
      <c r="D3269">
        <f t="shared" si="102"/>
        <v>45</v>
      </c>
      <c r="E3269" t="str">
        <f t="shared" si="103"/>
        <v>45. Kenya</v>
      </c>
    </row>
    <row r="3270" spans="1:5" x14ac:dyDescent="0.25">
      <c r="A3270" s="40" t="s">
        <v>207</v>
      </c>
      <c r="B3270" s="40" t="s">
        <v>398</v>
      </c>
      <c r="C3270" s="40">
        <v>579.4</v>
      </c>
      <c r="D3270">
        <f t="shared" si="102"/>
        <v>46</v>
      </c>
      <c r="E3270" t="str">
        <f t="shared" si="103"/>
        <v>46. Ukraine</v>
      </c>
    </row>
    <row r="3271" spans="1:5" x14ac:dyDescent="0.25">
      <c r="A3271" s="40" t="s">
        <v>40</v>
      </c>
      <c r="B3271" s="40" t="s">
        <v>398</v>
      </c>
      <c r="C3271" s="40">
        <v>566.70000000000005</v>
      </c>
      <c r="D3271">
        <f t="shared" si="102"/>
        <v>47</v>
      </c>
      <c r="E3271" t="str">
        <f t="shared" si="103"/>
        <v>47. Botswana</v>
      </c>
    </row>
    <row r="3272" spans="1:5" x14ac:dyDescent="0.25">
      <c r="A3272" s="40" t="s">
        <v>73</v>
      </c>
      <c r="B3272" s="40" t="s">
        <v>398</v>
      </c>
      <c r="C3272" s="40">
        <v>539</v>
      </c>
      <c r="D3272">
        <f t="shared" si="102"/>
        <v>48</v>
      </c>
      <c r="E3272" t="str">
        <f t="shared" si="103"/>
        <v>48. France</v>
      </c>
    </row>
    <row r="3273" spans="1:5" x14ac:dyDescent="0.25">
      <c r="A3273" s="40" t="s">
        <v>217</v>
      </c>
      <c r="B3273" s="40" t="s">
        <v>398</v>
      </c>
      <c r="C3273" s="40">
        <v>528</v>
      </c>
      <c r="D3273">
        <f t="shared" si="102"/>
        <v>49</v>
      </c>
      <c r="E3273" t="str">
        <f t="shared" si="103"/>
        <v>49. Yemen, Rep.</v>
      </c>
    </row>
    <row r="3274" spans="1:5" x14ac:dyDescent="0.25">
      <c r="A3274" s="40" t="s">
        <v>196</v>
      </c>
      <c r="B3274" s="40" t="s">
        <v>398</v>
      </c>
      <c r="C3274" s="40">
        <v>510.9</v>
      </c>
      <c r="D3274">
        <f t="shared" si="102"/>
        <v>50</v>
      </c>
      <c r="E3274" t="str">
        <f t="shared" si="103"/>
        <v>50. Thailand</v>
      </c>
    </row>
    <row r="3275" spans="1:5" x14ac:dyDescent="0.25">
      <c r="A3275" s="40" t="s">
        <v>68</v>
      </c>
      <c r="B3275" s="40" t="s">
        <v>398</v>
      </c>
      <c r="C3275" s="40">
        <v>499.7</v>
      </c>
      <c r="D3275">
        <f t="shared" si="102"/>
        <v>51</v>
      </c>
      <c r="E3275" t="str">
        <f t="shared" si="103"/>
        <v>51. Spain</v>
      </c>
    </row>
    <row r="3276" spans="1:5" x14ac:dyDescent="0.25">
      <c r="A3276" s="40" t="s">
        <v>48</v>
      </c>
      <c r="B3276" s="40" t="s">
        <v>398</v>
      </c>
      <c r="C3276" s="40">
        <v>472.7</v>
      </c>
      <c r="D3276">
        <f t="shared" si="102"/>
        <v>52</v>
      </c>
      <c r="E3276" t="str">
        <f t="shared" si="103"/>
        <v>52. Cameroon</v>
      </c>
    </row>
    <row r="3277" spans="1:5" x14ac:dyDescent="0.25">
      <c r="A3277" s="40" t="s">
        <v>198</v>
      </c>
      <c r="B3277" s="40" t="s">
        <v>398</v>
      </c>
      <c r="C3277" s="40">
        <v>469.9</v>
      </c>
      <c r="D3277">
        <f t="shared" si="102"/>
        <v>53</v>
      </c>
      <c r="E3277" t="str">
        <f t="shared" si="103"/>
        <v>53. Turkmenistan</v>
      </c>
    </row>
    <row r="3278" spans="1:5" x14ac:dyDescent="0.25">
      <c r="A3278" s="40" t="s">
        <v>162</v>
      </c>
      <c r="B3278" s="40" t="s">
        <v>398</v>
      </c>
      <c r="C3278" s="40">
        <v>452.9</v>
      </c>
      <c r="D3278">
        <f t="shared" si="102"/>
        <v>54</v>
      </c>
      <c r="E3278" t="str">
        <f t="shared" si="103"/>
        <v>54. Papua New Guinea</v>
      </c>
    </row>
    <row r="3279" spans="1:5" x14ac:dyDescent="0.25">
      <c r="A3279" s="40" t="s">
        <v>127</v>
      </c>
      <c r="B3279" s="40" t="s">
        <v>398</v>
      </c>
      <c r="C3279" s="40">
        <v>446.3</v>
      </c>
      <c r="D3279">
        <f t="shared" si="102"/>
        <v>55</v>
      </c>
      <c r="E3279" t="str">
        <f t="shared" si="103"/>
        <v>55. Morocco</v>
      </c>
    </row>
    <row r="3280" spans="1:5" x14ac:dyDescent="0.25">
      <c r="A3280" s="40" t="s">
        <v>210</v>
      </c>
      <c r="B3280" s="40" t="s">
        <v>398</v>
      </c>
      <c r="C3280" s="40">
        <v>440.7</v>
      </c>
      <c r="D3280">
        <f t="shared" si="102"/>
        <v>56</v>
      </c>
      <c r="E3280" t="str">
        <f t="shared" si="103"/>
        <v>56. Uzbekistan</v>
      </c>
    </row>
    <row r="3281" spans="1:5" x14ac:dyDescent="0.25">
      <c r="A3281" s="40" t="s">
        <v>100</v>
      </c>
      <c r="B3281" s="40" t="s">
        <v>398</v>
      </c>
      <c r="C3281" s="40">
        <v>434.1</v>
      </c>
      <c r="D3281">
        <f t="shared" si="102"/>
        <v>57</v>
      </c>
      <c r="E3281" t="str">
        <f t="shared" si="103"/>
        <v>57. Iraq</v>
      </c>
    </row>
    <row r="3282" spans="1:5" x14ac:dyDescent="0.25">
      <c r="A3282" s="40" t="s">
        <v>86</v>
      </c>
      <c r="B3282" s="40" t="s">
        <v>398</v>
      </c>
      <c r="C3282" s="40">
        <v>410.5</v>
      </c>
      <c r="D3282">
        <f t="shared" si="102"/>
        <v>58</v>
      </c>
      <c r="E3282" t="str">
        <f t="shared" si="103"/>
        <v>58. Greenland</v>
      </c>
    </row>
    <row r="3283" spans="1:5" x14ac:dyDescent="0.25">
      <c r="A3283" s="40" t="s">
        <v>188</v>
      </c>
      <c r="B3283" s="40" t="s">
        <v>398</v>
      </c>
      <c r="C3283" s="40">
        <v>407.3</v>
      </c>
      <c r="D3283">
        <f t="shared" si="102"/>
        <v>59</v>
      </c>
      <c r="E3283" t="str">
        <f t="shared" si="103"/>
        <v>59. Sweden</v>
      </c>
    </row>
    <row r="3284" spans="1:5" x14ac:dyDescent="0.25">
      <c r="A3284" s="40" t="s">
        <v>166</v>
      </c>
      <c r="B3284" s="40" t="s">
        <v>398</v>
      </c>
      <c r="C3284" s="40">
        <v>396</v>
      </c>
      <c r="D3284">
        <f t="shared" si="102"/>
        <v>60</v>
      </c>
      <c r="E3284" t="str">
        <f t="shared" si="103"/>
        <v>60. Paraguay</v>
      </c>
    </row>
    <row r="3285" spans="1:5" x14ac:dyDescent="0.25">
      <c r="A3285" s="40" t="s">
        <v>220</v>
      </c>
      <c r="B3285" s="40" t="s">
        <v>398</v>
      </c>
      <c r="C3285" s="40">
        <v>386.9</v>
      </c>
      <c r="D3285">
        <f t="shared" si="102"/>
        <v>61</v>
      </c>
      <c r="E3285" t="str">
        <f t="shared" si="103"/>
        <v>61. Zimbabwe</v>
      </c>
    </row>
    <row r="3286" spans="1:5" x14ac:dyDescent="0.25">
      <c r="A3286" s="40" t="s">
        <v>106</v>
      </c>
      <c r="B3286" s="40" t="s">
        <v>398</v>
      </c>
      <c r="C3286" s="40">
        <v>364.6</v>
      </c>
      <c r="D3286">
        <f t="shared" si="102"/>
        <v>62</v>
      </c>
      <c r="E3286" t="str">
        <f t="shared" si="103"/>
        <v>62. Japan</v>
      </c>
    </row>
    <row r="3287" spans="1:5" x14ac:dyDescent="0.25">
      <c r="A3287" s="40" t="s">
        <v>152</v>
      </c>
      <c r="B3287" s="40" t="s">
        <v>398</v>
      </c>
      <c r="C3287" s="40">
        <v>364.3</v>
      </c>
      <c r="D3287">
        <f t="shared" si="102"/>
        <v>63</v>
      </c>
      <c r="E3287" t="str">
        <f t="shared" si="103"/>
        <v>63. Norway</v>
      </c>
    </row>
    <row r="3288" spans="1:5" x14ac:dyDescent="0.25">
      <c r="A3288" s="40" t="s">
        <v>60</v>
      </c>
      <c r="B3288" s="40" t="s">
        <v>398</v>
      </c>
      <c r="C3288" s="40">
        <v>349.4</v>
      </c>
      <c r="D3288">
        <f t="shared" si="102"/>
        <v>64</v>
      </c>
      <c r="E3288" t="str">
        <f t="shared" si="103"/>
        <v>64. Germany</v>
      </c>
    </row>
    <row r="3289" spans="1:5" x14ac:dyDescent="0.25">
      <c r="A3289" s="40" t="s">
        <v>50</v>
      </c>
      <c r="B3289" s="40" t="s">
        <v>398</v>
      </c>
      <c r="C3289" s="40">
        <v>341.5</v>
      </c>
      <c r="D3289">
        <f t="shared" si="102"/>
        <v>65</v>
      </c>
      <c r="E3289" t="str">
        <f t="shared" si="103"/>
        <v>65. Congo, Rep.</v>
      </c>
    </row>
    <row r="3290" spans="1:5" x14ac:dyDescent="0.25">
      <c r="A3290" s="40" t="s">
        <v>145</v>
      </c>
      <c r="B3290" s="40" t="s">
        <v>398</v>
      </c>
      <c r="C3290" s="40">
        <v>328.6</v>
      </c>
      <c r="D3290">
        <f t="shared" si="102"/>
        <v>66</v>
      </c>
      <c r="E3290" t="str">
        <f t="shared" si="103"/>
        <v>66. Malaysia</v>
      </c>
    </row>
    <row r="3291" spans="1:5" x14ac:dyDescent="0.25">
      <c r="A3291" s="40" t="s">
        <v>47</v>
      </c>
      <c r="B3291" s="40" t="s">
        <v>398</v>
      </c>
      <c r="C3291" s="40">
        <v>318</v>
      </c>
      <c r="D3291">
        <f t="shared" si="102"/>
        <v>67</v>
      </c>
      <c r="E3291" t="str">
        <f t="shared" si="103"/>
        <v>67. Cote d'Ivoire</v>
      </c>
    </row>
    <row r="3292" spans="1:5" x14ac:dyDescent="0.25">
      <c r="A3292" s="40" t="s">
        <v>213</v>
      </c>
      <c r="B3292" s="40" t="s">
        <v>398</v>
      </c>
      <c r="C3292" s="40">
        <v>313.39999999999998</v>
      </c>
      <c r="D3292">
        <f t="shared" si="102"/>
        <v>68</v>
      </c>
      <c r="E3292" t="str">
        <f t="shared" si="103"/>
        <v>68. Viet Nam</v>
      </c>
    </row>
    <row r="3293" spans="1:5" x14ac:dyDescent="0.25">
      <c r="A3293" s="40" t="s">
        <v>156</v>
      </c>
      <c r="B3293" s="40" t="s">
        <v>398</v>
      </c>
      <c r="C3293" s="40">
        <v>309.5</v>
      </c>
      <c r="D3293">
        <f t="shared" si="102"/>
        <v>69</v>
      </c>
      <c r="E3293" t="str">
        <f t="shared" si="103"/>
        <v>69. Oman</v>
      </c>
    </row>
    <row r="3294" spans="1:5" x14ac:dyDescent="0.25">
      <c r="A3294" s="40" t="s">
        <v>163</v>
      </c>
      <c r="B3294" s="40" t="s">
        <v>398</v>
      </c>
      <c r="C3294" s="40">
        <v>306.3</v>
      </c>
      <c r="D3294">
        <f t="shared" si="102"/>
        <v>70</v>
      </c>
      <c r="E3294" t="str">
        <f t="shared" si="103"/>
        <v>70. Poland</v>
      </c>
    </row>
    <row r="3295" spans="1:5" x14ac:dyDescent="0.25">
      <c r="A3295" s="40" t="s">
        <v>71</v>
      </c>
      <c r="B3295" s="40" t="s">
        <v>398</v>
      </c>
      <c r="C3295" s="40">
        <v>304</v>
      </c>
      <c r="D3295">
        <f t="shared" si="102"/>
        <v>71</v>
      </c>
      <c r="E3295" t="str">
        <f t="shared" si="103"/>
        <v>71. Finland</v>
      </c>
    </row>
    <row r="3296" spans="1:5" x14ac:dyDescent="0.25">
      <c r="A3296" s="40" t="s">
        <v>160</v>
      </c>
      <c r="B3296" s="40" t="s">
        <v>398</v>
      </c>
      <c r="C3296" s="40">
        <v>298.2</v>
      </c>
      <c r="D3296">
        <f t="shared" si="102"/>
        <v>72</v>
      </c>
      <c r="E3296" t="str">
        <f t="shared" si="103"/>
        <v>72. Philippines</v>
      </c>
    </row>
    <row r="3297" spans="1:5" x14ac:dyDescent="0.25">
      <c r="A3297" s="40" t="s">
        <v>103</v>
      </c>
      <c r="B3297" s="40" t="s">
        <v>398</v>
      </c>
      <c r="C3297" s="40">
        <v>295.7</v>
      </c>
      <c r="D3297">
        <f t="shared" si="102"/>
        <v>73</v>
      </c>
      <c r="E3297" t="str">
        <f t="shared" si="103"/>
        <v>73. Italy</v>
      </c>
    </row>
    <row r="3298" spans="1:5" x14ac:dyDescent="0.25">
      <c r="A3298" s="40" t="s">
        <v>26</v>
      </c>
      <c r="B3298" s="40" t="s">
        <v>398</v>
      </c>
      <c r="C3298" s="40">
        <v>273.60000000000002</v>
      </c>
      <c r="D3298">
        <f t="shared" si="102"/>
        <v>74</v>
      </c>
      <c r="E3298" t="str">
        <f t="shared" si="103"/>
        <v>74. Burkina Faso</v>
      </c>
    </row>
    <row r="3299" spans="1:5" x14ac:dyDescent="0.25">
      <c r="A3299" s="40" t="s">
        <v>155</v>
      </c>
      <c r="B3299" s="40" t="s">
        <v>398</v>
      </c>
      <c r="C3299" s="40">
        <v>263.3</v>
      </c>
      <c r="D3299">
        <f t="shared" si="102"/>
        <v>75</v>
      </c>
      <c r="E3299" t="str">
        <f t="shared" si="103"/>
        <v>75. New Zealand</v>
      </c>
    </row>
    <row r="3300" spans="1:5" x14ac:dyDescent="0.25">
      <c r="A3300" s="40" t="s">
        <v>76</v>
      </c>
      <c r="B3300" s="40" t="s">
        <v>398</v>
      </c>
      <c r="C3300" s="40">
        <v>257.7</v>
      </c>
      <c r="D3300">
        <f t="shared" si="102"/>
        <v>76</v>
      </c>
      <c r="E3300" t="str">
        <f t="shared" si="103"/>
        <v>76. Gabon</v>
      </c>
    </row>
    <row r="3301" spans="1:5" x14ac:dyDescent="0.25">
      <c r="A3301" s="40" t="s">
        <v>66</v>
      </c>
      <c r="B3301" s="40" t="s">
        <v>398</v>
      </c>
      <c r="C3301" s="40">
        <v>248.4</v>
      </c>
      <c r="D3301">
        <f t="shared" si="102"/>
        <v>77</v>
      </c>
      <c r="E3301" t="str">
        <f t="shared" si="103"/>
        <v>77. Ecuador</v>
      </c>
    </row>
    <row r="3302" spans="1:5" x14ac:dyDescent="0.25">
      <c r="A3302" s="40" t="s">
        <v>80</v>
      </c>
      <c r="B3302" s="40" t="s">
        <v>398</v>
      </c>
      <c r="C3302" s="40">
        <v>245.7</v>
      </c>
      <c r="D3302">
        <f t="shared" si="102"/>
        <v>78</v>
      </c>
      <c r="E3302" t="str">
        <f t="shared" si="103"/>
        <v>78. Guinea</v>
      </c>
    </row>
    <row r="3303" spans="1:5" x14ac:dyDescent="0.25">
      <c r="A3303" s="40" t="s">
        <v>77</v>
      </c>
      <c r="B3303" s="40" t="s">
        <v>398</v>
      </c>
      <c r="C3303" s="40">
        <v>241.9</v>
      </c>
      <c r="D3303">
        <f t="shared" si="102"/>
        <v>79</v>
      </c>
      <c r="E3303" t="str">
        <f t="shared" si="103"/>
        <v>79. United Kingdom</v>
      </c>
    </row>
    <row r="3304" spans="1:5" x14ac:dyDescent="0.25">
      <c r="A3304" s="40" t="s">
        <v>115</v>
      </c>
      <c r="B3304" s="40" t="s">
        <v>398</v>
      </c>
      <c r="C3304" s="40">
        <v>230.8</v>
      </c>
      <c r="D3304">
        <f t="shared" si="102"/>
        <v>80</v>
      </c>
      <c r="E3304" t="str">
        <f t="shared" si="103"/>
        <v>80. Lao PDR</v>
      </c>
    </row>
    <row r="3305" spans="1:5" x14ac:dyDescent="0.25">
      <c r="A3305" s="40" t="s">
        <v>170</v>
      </c>
      <c r="B3305" s="40" t="s">
        <v>398</v>
      </c>
      <c r="C3305" s="40">
        <v>230.1</v>
      </c>
      <c r="D3305">
        <f t="shared" si="102"/>
        <v>81</v>
      </c>
      <c r="E3305" t="str">
        <f t="shared" si="103"/>
        <v>81. Romania</v>
      </c>
    </row>
    <row r="3306" spans="1:5" x14ac:dyDescent="0.25">
      <c r="A3306" s="40" t="s">
        <v>79</v>
      </c>
      <c r="B3306" s="40" t="s">
        <v>398</v>
      </c>
      <c r="C3306" s="40">
        <v>227.5</v>
      </c>
      <c r="D3306">
        <f t="shared" si="102"/>
        <v>82</v>
      </c>
      <c r="E3306" t="str">
        <f t="shared" si="103"/>
        <v>82. Ghana</v>
      </c>
    </row>
    <row r="3307" spans="1:5" x14ac:dyDescent="0.25">
      <c r="A3307" s="40" t="s">
        <v>89</v>
      </c>
      <c r="B3307" s="40" t="s">
        <v>398</v>
      </c>
      <c r="C3307" s="40">
        <v>211.1</v>
      </c>
      <c r="D3307">
        <f t="shared" si="102"/>
        <v>83</v>
      </c>
      <c r="E3307" t="str">
        <f t="shared" si="103"/>
        <v>83. Guyana</v>
      </c>
    </row>
    <row r="3308" spans="1:5" x14ac:dyDescent="0.25">
      <c r="A3308" s="40" t="s">
        <v>32</v>
      </c>
      <c r="B3308" s="40" t="s">
        <v>398</v>
      </c>
      <c r="C3308" s="40">
        <v>203</v>
      </c>
      <c r="D3308">
        <f t="shared" si="102"/>
        <v>84</v>
      </c>
      <c r="E3308" t="str">
        <f t="shared" si="103"/>
        <v>84. Belarus</v>
      </c>
    </row>
    <row r="3309" spans="1:5" x14ac:dyDescent="0.25">
      <c r="A3309" s="40" t="s">
        <v>206</v>
      </c>
      <c r="B3309" s="40" t="s">
        <v>398</v>
      </c>
      <c r="C3309" s="40">
        <v>200.5</v>
      </c>
      <c r="D3309">
        <f t="shared" si="102"/>
        <v>85</v>
      </c>
      <c r="E3309" t="str">
        <f t="shared" si="103"/>
        <v>85. Uganda</v>
      </c>
    </row>
    <row r="3310" spans="1:5" x14ac:dyDescent="0.25">
      <c r="A3310" s="40" t="s">
        <v>175</v>
      </c>
      <c r="B3310" s="40" t="s">
        <v>398</v>
      </c>
      <c r="C3310" s="40">
        <v>192.5</v>
      </c>
      <c r="D3310">
        <f t="shared" si="102"/>
        <v>86</v>
      </c>
      <c r="E3310" t="str">
        <f t="shared" si="103"/>
        <v>86. Senegal</v>
      </c>
    </row>
    <row r="3311" spans="1:5" x14ac:dyDescent="0.25">
      <c r="A3311" s="40" t="s">
        <v>109</v>
      </c>
      <c r="B3311" s="40" t="s">
        <v>398</v>
      </c>
      <c r="C3311" s="40">
        <v>191.8</v>
      </c>
      <c r="D3311">
        <f t="shared" si="102"/>
        <v>87</v>
      </c>
      <c r="E3311" t="str">
        <f t="shared" si="103"/>
        <v>87. Kyrgyz Republic</v>
      </c>
    </row>
    <row r="3312" spans="1:5" x14ac:dyDescent="0.25">
      <c r="A3312" s="40" t="s">
        <v>192</v>
      </c>
      <c r="B3312" s="40" t="s">
        <v>398</v>
      </c>
      <c r="C3312" s="40">
        <v>183.6</v>
      </c>
      <c r="D3312">
        <f t="shared" si="102"/>
        <v>88</v>
      </c>
      <c r="E3312" t="str">
        <f t="shared" si="103"/>
        <v>88. Syrian Arab Republic</v>
      </c>
    </row>
    <row r="3313" spans="1:5" x14ac:dyDescent="0.25">
      <c r="A3313" s="40" t="s">
        <v>110</v>
      </c>
      <c r="B3313" s="40" t="s">
        <v>398</v>
      </c>
      <c r="C3313" s="40">
        <v>176.5</v>
      </c>
      <c r="D3313">
        <f t="shared" si="102"/>
        <v>89</v>
      </c>
      <c r="E3313" t="str">
        <f t="shared" si="103"/>
        <v>89. Cambodia</v>
      </c>
    </row>
    <row r="3314" spans="1:5" x14ac:dyDescent="0.25">
      <c r="A3314" s="40" t="s">
        <v>208</v>
      </c>
      <c r="B3314" s="40" t="s">
        <v>398</v>
      </c>
      <c r="C3314" s="40">
        <v>175</v>
      </c>
      <c r="D3314">
        <f t="shared" si="102"/>
        <v>90</v>
      </c>
      <c r="E3314" t="str">
        <f t="shared" si="103"/>
        <v>90. Uruguay</v>
      </c>
    </row>
    <row r="3315" spans="1:5" x14ac:dyDescent="0.25">
      <c r="A3315" s="40" t="s">
        <v>185</v>
      </c>
      <c r="B3315" s="40" t="s">
        <v>398</v>
      </c>
      <c r="C3315" s="40">
        <v>160.5</v>
      </c>
      <c r="D3315">
        <f t="shared" si="102"/>
        <v>91</v>
      </c>
      <c r="E3315" t="str">
        <f t="shared" si="103"/>
        <v>91. Suriname</v>
      </c>
    </row>
    <row r="3316" spans="1:5" x14ac:dyDescent="0.25">
      <c r="A3316" s="40" t="s">
        <v>202</v>
      </c>
      <c r="B3316" s="40" t="s">
        <v>398</v>
      </c>
      <c r="C3316" s="40">
        <v>155.4</v>
      </c>
      <c r="D3316">
        <f t="shared" si="102"/>
        <v>92</v>
      </c>
      <c r="E3316" t="str">
        <f t="shared" si="103"/>
        <v>92. Tunisia</v>
      </c>
    </row>
    <row r="3317" spans="1:5" x14ac:dyDescent="0.25">
      <c r="A3317" s="40" t="s">
        <v>153</v>
      </c>
      <c r="B3317" s="40" t="s">
        <v>398</v>
      </c>
      <c r="C3317" s="40">
        <v>143.4</v>
      </c>
      <c r="D3317">
        <f t="shared" si="102"/>
        <v>93</v>
      </c>
      <c r="E3317" t="str">
        <f t="shared" si="103"/>
        <v>93. Nepal</v>
      </c>
    </row>
    <row r="3318" spans="1:5" x14ac:dyDescent="0.25">
      <c r="A3318" s="40" t="s">
        <v>197</v>
      </c>
      <c r="B3318" s="40" t="s">
        <v>398</v>
      </c>
      <c r="C3318" s="40">
        <v>138.80000000000001</v>
      </c>
      <c r="D3318">
        <f t="shared" si="102"/>
        <v>94</v>
      </c>
      <c r="E3318" t="str">
        <f t="shared" si="103"/>
        <v>94. Tajikistan</v>
      </c>
    </row>
    <row r="3319" spans="1:5" x14ac:dyDescent="0.25">
      <c r="A3319" s="40" t="s">
        <v>27</v>
      </c>
      <c r="B3319" s="40" t="s">
        <v>398</v>
      </c>
      <c r="C3319" s="40">
        <v>130</v>
      </c>
      <c r="D3319">
        <f t="shared" si="102"/>
        <v>95</v>
      </c>
      <c r="E3319" t="str">
        <f t="shared" si="103"/>
        <v>95. Bangladesh</v>
      </c>
    </row>
    <row r="3320" spans="1:5" x14ac:dyDescent="0.25">
      <c r="A3320" s="40" t="s">
        <v>84</v>
      </c>
      <c r="B3320" s="40" t="s">
        <v>398</v>
      </c>
      <c r="C3320" s="40">
        <v>128.9</v>
      </c>
      <c r="D3320">
        <f t="shared" si="102"/>
        <v>96</v>
      </c>
      <c r="E3320" t="str">
        <f t="shared" si="103"/>
        <v>96. Greece</v>
      </c>
    </row>
    <row r="3321" spans="1:5" x14ac:dyDescent="0.25">
      <c r="A3321" s="40" t="s">
        <v>224</v>
      </c>
      <c r="B3321" s="40" t="s">
        <v>398</v>
      </c>
      <c r="C3321" s="40">
        <v>121.2</v>
      </c>
      <c r="D3321">
        <f t="shared" si="102"/>
        <v>97</v>
      </c>
      <c r="E3321" t="str">
        <f t="shared" si="103"/>
        <v>97. Eritrea</v>
      </c>
    </row>
    <row r="3322" spans="1:5" x14ac:dyDescent="0.25">
      <c r="A3322" s="40" t="s">
        <v>385</v>
      </c>
      <c r="B3322" s="40" t="s">
        <v>398</v>
      </c>
      <c r="C3322" s="40">
        <v>120.4</v>
      </c>
      <c r="D3322">
        <f t="shared" si="102"/>
        <v>98</v>
      </c>
      <c r="E3322" t="str">
        <f t="shared" si="103"/>
        <v>98. Korea, Dem. People's Rep.</v>
      </c>
    </row>
    <row r="3323" spans="1:5" x14ac:dyDescent="0.25">
      <c r="A3323" s="40" t="s">
        <v>150</v>
      </c>
      <c r="B3323" s="40" t="s">
        <v>398</v>
      </c>
      <c r="C3323" s="40">
        <v>120.3</v>
      </c>
      <c r="D3323">
        <f t="shared" si="102"/>
        <v>99</v>
      </c>
      <c r="E3323" t="str">
        <f t="shared" si="103"/>
        <v>99. Nicaragua</v>
      </c>
    </row>
    <row r="3324" spans="1:5" x14ac:dyDescent="0.25">
      <c r="A3324" s="40" t="s">
        <v>25</v>
      </c>
      <c r="B3324" s="40" t="s">
        <v>398</v>
      </c>
      <c r="C3324" s="40">
        <v>112.8</v>
      </c>
      <c r="D3324">
        <f t="shared" si="102"/>
        <v>100</v>
      </c>
      <c r="E3324" t="str">
        <f t="shared" si="103"/>
        <v>100. Benin</v>
      </c>
    </row>
    <row r="3325" spans="1:5" x14ac:dyDescent="0.25">
      <c r="A3325" s="40" t="s">
        <v>91</v>
      </c>
      <c r="B3325" s="40" t="s">
        <v>398</v>
      </c>
      <c r="C3325" s="40">
        <v>111.9</v>
      </c>
      <c r="D3325">
        <f t="shared" si="102"/>
        <v>101</v>
      </c>
      <c r="E3325" t="str">
        <f t="shared" si="103"/>
        <v>101. Honduras</v>
      </c>
    </row>
    <row r="3326" spans="1:5" x14ac:dyDescent="0.25">
      <c r="A3326" s="40" t="s">
        <v>28</v>
      </c>
      <c r="B3326" s="40" t="s">
        <v>398</v>
      </c>
      <c r="C3326" s="40">
        <v>108.6</v>
      </c>
      <c r="D3326">
        <f t="shared" si="102"/>
        <v>102</v>
      </c>
      <c r="E3326" t="str">
        <f t="shared" si="103"/>
        <v>102. Bulgaria</v>
      </c>
    </row>
    <row r="3327" spans="1:5" x14ac:dyDescent="0.25">
      <c r="A3327" s="40" t="s">
        <v>87</v>
      </c>
      <c r="B3327" s="40" t="s">
        <v>398</v>
      </c>
      <c r="C3327" s="40">
        <v>107.2</v>
      </c>
      <c r="D3327">
        <f t="shared" si="102"/>
        <v>103</v>
      </c>
      <c r="E3327" t="str">
        <f t="shared" si="103"/>
        <v>103. Guatemala</v>
      </c>
    </row>
    <row r="3328" spans="1:5" x14ac:dyDescent="0.25">
      <c r="A3328" s="40" t="s">
        <v>55</v>
      </c>
      <c r="B3328" s="40" t="s">
        <v>398</v>
      </c>
      <c r="C3328" s="40">
        <v>103.8</v>
      </c>
      <c r="D3328">
        <f t="shared" si="102"/>
        <v>104</v>
      </c>
      <c r="E3328" t="str">
        <f t="shared" si="103"/>
        <v>104. Cuba</v>
      </c>
    </row>
    <row r="3329" spans="1:5" x14ac:dyDescent="0.25">
      <c r="A3329" s="40" t="s">
        <v>101</v>
      </c>
      <c r="B3329" s="40" t="s">
        <v>398</v>
      </c>
      <c r="C3329" s="40">
        <v>100.8</v>
      </c>
      <c r="D3329">
        <f t="shared" si="102"/>
        <v>105</v>
      </c>
      <c r="E3329" t="str">
        <f t="shared" si="103"/>
        <v>105. Iceland</v>
      </c>
    </row>
    <row r="3330" spans="1:5" x14ac:dyDescent="0.25">
      <c r="A3330" s="40" t="s">
        <v>113</v>
      </c>
      <c r="B3330" s="40" t="s">
        <v>398</v>
      </c>
      <c r="C3330" s="40">
        <v>97.6</v>
      </c>
      <c r="D3330">
        <f t="shared" si="102"/>
        <v>106</v>
      </c>
      <c r="E3330" t="str">
        <f t="shared" si="103"/>
        <v>106. Korea, Rep.</v>
      </c>
    </row>
    <row r="3331" spans="1:5" x14ac:dyDescent="0.25">
      <c r="A3331" s="40" t="s">
        <v>117</v>
      </c>
      <c r="B3331" s="40" t="s">
        <v>398</v>
      </c>
      <c r="C3331" s="40">
        <v>96.3</v>
      </c>
      <c r="D3331">
        <f t="shared" ref="D3331:D3394" si="104">IF(ROW() = 2, 1, IF(B3331 = B3330, D3330 + 1, 1))</f>
        <v>107</v>
      </c>
      <c r="E3331" t="str">
        <f t="shared" ref="E3331:E3394" si="105">_xlfn.CONCAT(D3331, ". ", A3331)</f>
        <v>107. Liberia</v>
      </c>
    </row>
    <row r="3332" spans="1:5" x14ac:dyDescent="0.25">
      <c r="A3332" s="40" t="s">
        <v>144</v>
      </c>
      <c r="B3332" s="40" t="s">
        <v>398</v>
      </c>
      <c r="C3332" s="40">
        <v>94.3</v>
      </c>
      <c r="D3332">
        <f t="shared" si="104"/>
        <v>108</v>
      </c>
      <c r="E3332" t="str">
        <f t="shared" si="105"/>
        <v>108. Malawi</v>
      </c>
    </row>
    <row r="3333" spans="1:5" x14ac:dyDescent="0.25">
      <c r="A3333" s="40" t="s">
        <v>165</v>
      </c>
      <c r="B3333" s="40" t="s">
        <v>398</v>
      </c>
      <c r="C3333" s="40">
        <v>91.6</v>
      </c>
      <c r="D3333">
        <f t="shared" si="104"/>
        <v>109</v>
      </c>
      <c r="E3333" t="str">
        <f t="shared" si="105"/>
        <v>109. Portugal</v>
      </c>
    </row>
    <row r="3334" spans="1:5" x14ac:dyDescent="0.25">
      <c r="A3334" s="40" t="s">
        <v>94</v>
      </c>
      <c r="B3334" s="40" t="s">
        <v>398</v>
      </c>
      <c r="C3334" s="40">
        <v>91.3</v>
      </c>
      <c r="D3334">
        <f t="shared" si="104"/>
        <v>110</v>
      </c>
      <c r="E3334" t="str">
        <f t="shared" si="105"/>
        <v>110. Hungary</v>
      </c>
    </row>
    <row r="3335" spans="1:5" x14ac:dyDescent="0.25">
      <c r="A3335" s="40" t="s">
        <v>105</v>
      </c>
      <c r="B3335" s="40" t="s">
        <v>398</v>
      </c>
      <c r="C3335" s="40">
        <v>88.8</v>
      </c>
      <c r="D3335">
        <f t="shared" si="104"/>
        <v>111</v>
      </c>
      <c r="E3335" t="str">
        <f t="shared" si="105"/>
        <v>111. Jordan</v>
      </c>
    </row>
    <row r="3336" spans="1:5" x14ac:dyDescent="0.25">
      <c r="A3336" s="40" t="s">
        <v>182</v>
      </c>
      <c r="B3336" s="40" t="s">
        <v>398</v>
      </c>
      <c r="C3336" s="40">
        <v>84.1</v>
      </c>
      <c r="D3336">
        <f t="shared" si="104"/>
        <v>112</v>
      </c>
      <c r="E3336" t="str">
        <f t="shared" si="105"/>
        <v>112. Serbia</v>
      </c>
    </row>
    <row r="3337" spans="1:5" x14ac:dyDescent="0.25">
      <c r="A3337" s="40" t="s">
        <v>22</v>
      </c>
      <c r="B3337" s="40" t="s">
        <v>398</v>
      </c>
      <c r="C3337" s="40">
        <v>82.7</v>
      </c>
      <c r="D3337">
        <f t="shared" si="104"/>
        <v>113</v>
      </c>
      <c r="E3337" t="str">
        <f t="shared" si="105"/>
        <v>113. Azerbaijan</v>
      </c>
    </row>
    <row r="3338" spans="1:5" x14ac:dyDescent="0.25">
      <c r="A3338" s="40" t="s">
        <v>21</v>
      </c>
      <c r="B3338" s="40" t="s">
        <v>398</v>
      </c>
      <c r="C3338" s="40">
        <v>82.5</v>
      </c>
      <c r="D3338">
        <f t="shared" si="104"/>
        <v>114</v>
      </c>
      <c r="E3338" t="str">
        <f t="shared" si="105"/>
        <v>114. Austria</v>
      </c>
    </row>
    <row r="3339" spans="1:5" x14ac:dyDescent="0.25">
      <c r="A3339" s="40" t="s">
        <v>59</v>
      </c>
      <c r="B3339" s="40" t="s">
        <v>398</v>
      </c>
      <c r="C3339" s="40">
        <v>77.2</v>
      </c>
      <c r="D3339">
        <f t="shared" si="104"/>
        <v>115</v>
      </c>
      <c r="E3339" t="str">
        <f t="shared" si="105"/>
        <v>115. Czechia</v>
      </c>
    </row>
    <row r="3340" spans="1:5" x14ac:dyDescent="0.25">
      <c r="A3340" s="40" t="s">
        <v>158</v>
      </c>
      <c r="B3340" s="40" t="s">
        <v>398</v>
      </c>
      <c r="C3340" s="40">
        <v>74.2</v>
      </c>
      <c r="D3340">
        <f t="shared" si="104"/>
        <v>116</v>
      </c>
      <c r="E3340" t="str">
        <f t="shared" si="105"/>
        <v>116. Panama</v>
      </c>
    </row>
    <row r="3341" spans="1:5" x14ac:dyDescent="0.25">
      <c r="A3341" s="40" t="s">
        <v>178</v>
      </c>
      <c r="B3341" s="40" t="s">
        <v>398</v>
      </c>
      <c r="C3341" s="40">
        <v>72.2</v>
      </c>
      <c r="D3341">
        <f t="shared" si="104"/>
        <v>117</v>
      </c>
      <c r="E3341" t="str">
        <f t="shared" si="105"/>
        <v>117. Sierra Leone</v>
      </c>
    </row>
    <row r="3342" spans="1:5" x14ac:dyDescent="0.25">
      <c r="A3342" s="40" t="s">
        <v>15</v>
      </c>
      <c r="B3342" s="40" t="s">
        <v>398</v>
      </c>
      <c r="C3342" s="40">
        <v>71</v>
      </c>
      <c r="D3342">
        <f t="shared" si="104"/>
        <v>118</v>
      </c>
      <c r="E3342" t="str">
        <f t="shared" si="105"/>
        <v>118. United Arab Emirates</v>
      </c>
    </row>
    <row r="3343" spans="1:5" x14ac:dyDescent="0.25">
      <c r="A3343" s="40" t="s">
        <v>78</v>
      </c>
      <c r="B3343" s="40" t="s">
        <v>398</v>
      </c>
      <c r="C3343" s="40">
        <v>69.5</v>
      </c>
      <c r="D3343">
        <f t="shared" si="104"/>
        <v>119</v>
      </c>
      <c r="E3343" t="str">
        <f t="shared" si="105"/>
        <v>119. Georgia</v>
      </c>
    </row>
    <row r="3344" spans="1:5" x14ac:dyDescent="0.25">
      <c r="A3344" s="40" t="s">
        <v>98</v>
      </c>
      <c r="B3344" s="40" t="s">
        <v>398</v>
      </c>
      <c r="C3344" s="40">
        <v>68.900000000000006</v>
      </c>
      <c r="D3344">
        <f t="shared" si="104"/>
        <v>120</v>
      </c>
      <c r="E3344" t="str">
        <f t="shared" si="105"/>
        <v>120. Ireland</v>
      </c>
    </row>
    <row r="3345" spans="1:5" x14ac:dyDescent="0.25">
      <c r="A3345" s="40" t="s">
        <v>123</v>
      </c>
      <c r="B3345" s="40" t="s">
        <v>398</v>
      </c>
      <c r="C3345" s="40">
        <v>62.6</v>
      </c>
      <c r="D3345">
        <f t="shared" si="104"/>
        <v>121</v>
      </c>
      <c r="E3345" t="str">
        <f t="shared" si="105"/>
        <v>121. Lithuania</v>
      </c>
    </row>
    <row r="3346" spans="1:5" x14ac:dyDescent="0.25">
      <c r="A3346" s="40" t="s">
        <v>125</v>
      </c>
      <c r="B3346" s="40" t="s">
        <v>398</v>
      </c>
      <c r="C3346" s="40">
        <v>62.2</v>
      </c>
      <c r="D3346">
        <f t="shared" si="104"/>
        <v>122</v>
      </c>
      <c r="E3346" t="str">
        <f t="shared" si="105"/>
        <v>122. Latvia</v>
      </c>
    </row>
    <row r="3347" spans="1:5" x14ac:dyDescent="0.25">
      <c r="A3347" s="40" t="s">
        <v>121</v>
      </c>
      <c r="B3347" s="40" t="s">
        <v>398</v>
      </c>
      <c r="C3347" s="40">
        <v>61.9</v>
      </c>
      <c r="D3347">
        <f t="shared" si="104"/>
        <v>123</v>
      </c>
      <c r="E3347" t="str">
        <f t="shared" si="105"/>
        <v>123. Sri Lanka</v>
      </c>
    </row>
    <row r="3348" spans="1:5" x14ac:dyDescent="0.25">
      <c r="A3348" s="40" t="s">
        <v>92</v>
      </c>
      <c r="B3348" s="40" t="s">
        <v>398</v>
      </c>
      <c r="C3348" s="40">
        <v>56</v>
      </c>
      <c r="D3348">
        <f t="shared" si="104"/>
        <v>124</v>
      </c>
      <c r="E3348" t="str">
        <f t="shared" si="105"/>
        <v>124. Croatia</v>
      </c>
    </row>
    <row r="3349" spans="1:5" x14ac:dyDescent="0.25">
      <c r="A3349" s="40" t="s">
        <v>195</v>
      </c>
      <c r="B3349" s="40" t="s">
        <v>398</v>
      </c>
      <c r="C3349" s="40">
        <v>54.4</v>
      </c>
      <c r="D3349">
        <f t="shared" si="104"/>
        <v>125</v>
      </c>
      <c r="E3349" t="str">
        <f t="shared" si="105"/>
        <v>125. Togo</v>
      </c>
    </row>
    <row r="3350" spans="1:5" x14ac:dyDescent="0.25">
      <c r="A3350" s="40" t="s">
        <v>31</v>
      </c>
      <c r="B3350" s="40" t="s">
        <v>398</v>
      </c>
      <c r="C3350" s="40">
        <v>51.2</v>
      </c>
      <c r="D3350">
        <f t="shared" si="104"/>
        <v>126</v>
      </c>
      <c r="E3350" t="str">
        <f t="shared" si="105"/>
        <v>126. Bosnia and Herzegovina</v>
      </c>
    </row>
    <row r="3351" spans="1:5" x14ac:dyDescent="0.25">
      <c r="A3351" s="40" t="s">
        <v>54</v>
      </c>
      <c r="B3351" s="40" t="s">
        <v>398</v>
      </c>
      <c r="C3351" s="40">
        <v>51.1</v>
      </c>
      <c r="D3351">
        <f t="shared" si="104"/>
        <v>127</v>
      </c>
      <c r="E3351" t="str">
        <f t="shared" si="105"/>
        <v>127. Costa Rica</v>
      </c>
    </row>
    <row r="3352" spans="1:5" x14ac:dyDescent="0.25">
      <c r="A3352" s="40" t="s">
        <v>64</v>
      </c>
      <c r="B3352" s="40" t="s">
        <v>398</v>
      </c>
      <c r="C3352" s="40">
        <v>48.2</v>
      </c>
      <c r="D3352">
        <f t="shared" si="104"/>
        <v>128</v>
      </c>
      <c r="E3352" t="str">
        <f t="shared" si="105"/>
        <v>128. Dominican Republic</v>
      </c>
    </row>
    <row r="3353" spans="1:5" x14ac:dyDescent="0.25">
      <c r="A3353" s="40" t="s">
        <v>186</v>
      </c>
      <c r="B3353" s="40" t="s">
        <v>398</v>
      </c>
      <c r="C3353" s="40">
        <v>48.1</v>
      </c>
      <c r="D3353">
        <f t="shared" si="104"/>
        <v>129</v>
      </c>
      <c r="E3353" t="str">
        <f t="shared" si="105"/>
        <v>129. Slovak Republic</v>
      </c>
    </row>
    <row r="3354" spans="1:5" x14ac:dyDescent="0.25">
      <c r="A3354" s="40" t="s">
        <v>69</v>
      </c>
      <c r="B3354" s="40" t="s">
        <v>398</v>
      </c>
      <c r="C3354" s="40">
        <v>42.7</v>
      </c>
      <c r="D3354">
        <f t="shared" si="104"/>
        <v>130</v>
      </c>
      <c r="E3354" t="str">
        <f t="shared" si="105"/>
        <v>130. Estonia</v>
      </c>
    </row>
    <row r="3355" spans="1:5" x14ac:dyDescent="0.25">
      <c r="A3355" s="40" t="s">
        <v>63</v>
      </c>
      <c r="B3355" s="40" t="s">
        <v>398</v>
      </c>
      <c r="C3355" s="40">
        <v>40</v>
      </c>
      <c r="D3355">
        <f t="shared" si="104"/>
        <v>131</v>
      </c>
      <c r="E3355" t="str">
        <f t="shared" si="105"/>
        <v>131. Denmark</v>
      </c>
    </row>
    <row r="3356" spans="1:5" x14ac:dyDescent="0.25">
      <c r="A3356" s="40" t="s">
        <v>43</v>
      </c>
      <c r="B3356" s="40" t="s">
        <v>398</v>
      </c>
      <c r="C3356" s="40">
        <v>39.5</v>
      </c>
      <c r="D3356">
        <f t="shared" si="104"/>
        <v>132</v>
      </c>
      <c r="E3356" t="str">
        <f t="shared" si="105"/>
        <v>132. Switzerland</v>
      </c>
    </row>
    <row r="3357" spans="1:5" x14ac:dyDescent="0.25">
      <c r="A3357" s="40" t="s">
        <v>39</v>
      </c>
      <c r="B3357" s="40" t="s">
        <v>398</v>
      </c>
      <c r="C3357" s="40">
        <v>38.1</v>
      </c>
      <c r="D3357">
        <f t="shared" si="104"/>
        <v>133</v>
      </c>
      <c r="E3357" t="str">
        <f t="shared" si="105"/>
        <v>133. Bhutan</v>
      </c>
    </row>
    <row r="3358" spans="1:5" x14ac:dyDescent="0.25">
      <c r="A3358" s="40" t="s">
        <v>151</v>
      </c>
      <c r="B3358" s="40" t="s">
        <v>398</v>
      </c>
      <c r="C3358" s="40">
        <v>33.700000000000003</v>
      </c>
      <c r="D3358">
        <f t="shared" si="104"/>
        <v>134</v>
      </c>
      <c r="E3358" t="str">
        <f t="shared" si="105"/>
        <v>134. Netherlands</v>
      </c>
    </row>
    <row r="3359" spans="1:5" x14ac:dyDescent="0.25">
      <c r="A3359" s="40" t="s">
        <v>129</v>
      </c>
      <c r="B3359" s="40" t="s">
        <v>398</v>
      </c>
      <c r="C3359" s="40">
        <v>32.9</v>
      </c>
      <c r="D3359">
        <f t="shared" si="104"/>
        <v>135</v>
      </c>
      <c r="E3359" t="str">
        <f t="shared" si="105"/>
        <v>135. Moldova</v>
      </c>
    </row>
    <row r="3360" spans="1:5" x14ac:dyDescent="0.25">
      <c r="A3360" s="40" t="s">
        <v>24</v>
      </c>
      <c r="B3360" s="40" t="s">
        <v>398</v>
      </c>
      <c r="C3360" s="40">
        <v>30.5</v>
      </c>
      <c r="D3360">
        <f t="shared" si="104"/>
        <v>136</v>
      </c>
      <c r="E3360" t="str">
        <f t="shared" si="105"/>
        <v>136. Belgium</v>
      </c>
    </row>
    <row r="3361" spans="1:5" x14ac:dyDescent="0.25">
      <c r="A3361" s="40" t="s">
        <v>122</v>
      </c>
      <c r="B3361" s="40" t="s">
        <v>398</v>
      </c>
      <c r="C3361" s="40">
        <v>30.4</v>
      </c>
      <c r="D3361">
        <f t="shared" si="104"/>
        <v>137</v>
      </c>
      <c r="E3361" t="str">
        <f t="shared" si="105"/>
        <v>137. Lesotho</v>
      </c>
    </row>
    <row r="3362" spans="1:5" x14ac:dyDescent="0.25">
      <c r="A3362" s="40" t="s">
        <v>17</v>
      </c>
      <c r="B3362" s="40" t="s">
        <v>398</v>
      </c>
      <c r="C3362" s="40">
        <v>28.2</v>
      </c>
      <c r="D3362">
        <f t="shared" si="104"/>
        <v>138</v>
      </c>
      <c r="E3362" t="str">
        <f t="shared" si="105"/>
        <v>138. Armenia</v>
      </c>
    </row>
    <row r="3363" spans="1:5" x14ac:dyDescent="0.25">
      <c r="A3363" s="40" t="s">
        <v>83</v>
      </c>
      <c r="B3363" s="40" t="s">
        <v>398</v>
      </c>
      <c r="C3363" s="40">
        <v>28.1</v>
      </c>
      <c r="D3363">
        <f t="shared" si="104"/>
        <v>139</v>
      </c>
      <c r="E3363" t="str">
        <f t="shared" si="105"/>
        <v>139. Equatorial Guinea</v>
      </c>
    </row>
    <row r="3364" spans="1:5" x14ac:dyDescent="0.25">
      <c r="A3364" s="40" t="s">
        <v>82</v>
      </c>
      <c r="B3364" s="40" t="s">
        <v>398</v>
      </c>
      <c r="C3364" s="40">
        <v>28.1</v>
      </c>
      <c r="D3364">
        <f t="shared" si="104"/>
        <v>140</v>
      </c>
      <c r="E3364" t="str">
        <f t="shared" si="105"/>
        <v>140. Guinea-Bissau</v>
      </c>
    </row>
    <row r="3365" spans="1:5" x14ac:dyDescent="0.25">
      <c r="A3365" s="40" t="s">
        <v>177</v>
      </c>
      <c r="B3365" s="40" t="s">
        <v>398</v>
      </c>
      <c r="C3365" s="40">
        <v>28</v>
      </c>
      <c r="D3365">
        <f t="shared" si="104"/>
        <v>141</v>
      </c>
      <c r="E3365" t="str">
        <f t="shared" si="105"/>
        <v>141. Solomon Islands</v>
      </c>
    </row>
    <row r="3366" spans="1:5" x14ac:dyDescent="0.25">
      <c r="A3366" s="40" t="s">
        <v>93</v>
      </c>
      <c r="B3366" s="40" t="s">
        <v>398</v>
      </c>
      <c r="C3366" s="40">
        <v>27.6</v>
      </c>
      <c r="D3366">
        <f t="shared" si="104"/>
        <v>142</v>
      </c>
      <c r="E3366" t="str">
        <f t="shared" si="105"/>
        <v>142. Haiti</v>
      </c>
    </row>
    <row r="3367" spans="1:5" x14ac:dyDescent="0.25">
      <c r="A3367" s="40" t="s">
        <v>13</v>
      </c>
      <c r="B3367" s="40" t="s">
        <v>398</v>
      </c>
      <c r="C3367" s="40">
        <v>27.4</v>
      </c>
      <c r="D3367">
        <f t="shared" si="104"/>
        <v>143</v>
      </c>
      <c r="E3367" t="str">
        <f t="shared" si="105"/>
        <v>143. Albania</v>
      </c>
    </row>
    <row r="3368" spans="1:5" x14ac:dyDescent="0.25">
      <c r="A3368" s="40" t="s">
        <v>23</v>
      </c>
      <c r="B3368" s="40" t="s">
        <v>398</v>
      </c>
      <c r="C3368" s="40">
        <v>25.7</v>
      </c>
      <c r="D3368">
        <f t="shared" si="104"/>
        <v>144</v>
      </c>
      <c r="E3368" t="str">
        <f t="shared" si="105"/>
        <v>144. Burundi</v>
      </c>
    </row>
    <row r="3369" spans="1:5" x14ac:dyDescent="0.25">
      <c r="A3369" s="40" t="s">
        <v>134</v>
      </c>
      <c r="B3369" s="40" t="s">
        <v>398</v>
      </c>
      <c r="C3369" s="40">
        <v>25.2</v>
      </c>
      <c r="D3369">
        <f t="shared" si="104"/>
        <v>145</v>
      </c>
      <c r="E3369" t="str">
        <f t="shared" si="105"/>
        <v>145. North Macedonia</v>
      </c>
    </row>
    <row r="3370" spans="1:5" x14ac:dyDescent="0.25">
      <c r="A3370" s="40" t="s">
        <v>172</v>
      </c>
      <c r="B3370" s="40" t="s">
        <v>398</v>
      </c>
      <c r="C3370" s="40">
        <v>24.7</v>
      </c>
      <c r="D3370">
        <f t="shared" si="104"/>
        <v>146</v>
      </c>
      <c r="E3370" t="str">
        <f t="shared" si="105"/>
        <v>146. Rwanda</v>
      </c>
    </row>
    <row r="3371" spans="1:5" x14ac:dyDescent="0.25">
      <c r="A3371" s="40" t="s">
        <v>61</v>
      </c>
      <c r="B3371" s="40" t="s">
        <v>398</v>
      </c>
      <c r="C3371" s="40">
        <v>23.2</v>
      </c>
      <c r="D3371">
        <f t="shared" si="104"/>
        <v>147</v>
      </c>
      <c r="E3371" t="str">
        <f t="shared" si="105"/>
        <v>147. Djibouti</v>
      </c>
    </row>
    <row r="3372" spans="1:5" x14ac:dyDescent="0.25">
      <c r="A3372" s="40" t="s">
        <v>33</v>
      </c>
      <c r="B3372" s="40" t="s">
        <v>398</v>
      </c>
      <c r="C3372" s="40">
        <v>22.8</v>
      </c>
      <c r="D3372">
        <f t="shared" si="104"/>
        <v>148</v>
      </c>
      <c r="E3372" t="str">
        <f t="shared" si="105"/>
        <v>148. Belize</v>
      </c>
    </row>
    <row r="3373" spans="1:5" x14ac:dyDescent="0.25">
      <c r="A3373" s="40" t="s">
        <v>102</v>
      </c>
      <c r="B3373" s="40" t="s">
        <v>398</v>
      </c>
      <c r="C3373" s="40">
        <v>21.6</v>
      </c>
      <c r="D3373">
        <f t="shared" si="104"/>
        <v>149</v>
      </c>
      <c r="E3373" t="str">
        <f t="shared" si="105"/>
        <v>149. Israel</v>
      </c>
    </row>
    <row r="3374" spans="1:5" x14ac:dyDescent="0.25">
      <c r="A3374" s="40" t="s">
        <v>179</v>
      </c>
      <c r="B3374" s="40" t="s">
        <v>398</v>
      </c>
      <c r="C3374" s="40">
        <v>20.7</v>
      </c>
      <c r="D3374">
        <f t="shared" si="104"/>
        <v>150</v>
      </c>
      <c r="E3374" t="str">
        <f t="shared" si="105"/>
        <v>150. El Salvador</v>
      </c>
    </row>
    <row r="3375" spans="1:5" x14ac:dyDescent="0.25">
      <c r="A3375" s="40" t="s">
        <v>187</v>
      </c>
      <c r="B3375" s="40" t="s">
        <v>398</v>
      </c>
      <c r="C3375" s="40">
        <v>20.100000000000001</v>
      </c>
      <c r="D3375">
        <f t="shared" si="104"/>
        <v>151</v>
      </c>
      <c r="E3375" t="str">
        <f t="shared" si="105"/>
        <v>151. Slovenia</v>
      </c>
    </row>
    <row r="3376" spans="1:5" x14ac:dyDescent="0.25">
      <c r="A3376" s="40" t="s">
        <v>72</v>
      </c>
      <c r="B3376" s="40" t="s">
        <v>398</v>
      </c>
      <c r="C3376" s="40">
        <v>18.3</v>
      </c>
      <c r="D3376">
        <f t="shared" si="104"/>
        <v>152</v>
      </c>
      <c r="E3376" t="str">
        <f t="shared" si="105"/>
        <v>152. Fiji</v>
      </c>
    </row>
    <row r="3377" spans="1:5" x14ac:dyDescent="0.25">
      <c r="A3377" s="40" t="s">
        <v>147</v>
      </c>
      <c r="B3377" s="40" t="s">
        <v>398</v>
      </c>
      <c r="C3377" s="40">
        <v>18.3</v>
      </c>
      <c r="D3377">
        <f t="shared" si="104"/>
        <v>153</v>
      </c>
      <c r="E3377" t="str">
        <f t="shared" si="105"/>
        <v>153. New Caledonia</v>
      </c>
    </row>
    <row r="3378" spans="1:5" x14ac:dyDescent="0.25">
      <c r="A3378" s="40" t="s">
        <v>114</v>
      </c>
      <c r="B3378" s="40" t="s">
        <v>398</v>
      </c>
      <c r="C3378" s="40">
        <v>17.8</v>
      </c>
      <c r="D3378">
        <f t="shared" si="104"/>
        <v>154</v>
      </c>
      <c r="E3378" t="str">
        <f t="shared" si="105"/>
        <v>154. Kuwait</v>
      </c>
    </row>
    <row r="3379" spans="1:5" x14ac:dyDescent="0.25">
      <c r="A3379" s="40" t="s">
        <v>189</v>
      </c>
      <c r="B3379" s="40" t="s">
        <v>398</v>
      </c>
      <c r="C3379" s="40">
        <v>17.2</v>
      </c>
      <c r="D3379">
        <f t="shared" si="104"/>
        <v>155</v>
      </c>
      <c r="E3379" t="str">
        <f t="shared" si="105"/>
        <v>155. Eswatini</v>
      </c>
    </row>
    <row r="3380" spans="1:5" x14ac:dyDescent="0.25">
      <c r="A3380" s="40" t="s">
        <v>199</v>
      </c>
      <c r="B3380" s="40" t="s">
        <v>398</v>
      </c>
      <c r="C3380" s="40">
        <v>14.9</v>
      </c>
      <c r="D3380">
        <f t="shared" si="104"/>
        <v>156</v>
      </c>
      <c r="E3380" t="str">
        <f t="shared" si="105"/>
        <v>156. Timor-Leste</v>
      </c>
    </row>
    <row r="3381" spans="1:5" x14ac:dyDescent="0.25">
      <c r="A3381" s="40" t="s">
        <v>138</v>
      </c>
      <c r="B3381" s="40" t="s">
        <v>398</v>
      </c>
      <c r="C3381" s="40">
        <v>13.5</v>
      </c>
      <c r="D3381">
        <f t="shared" si="104"/>
        <v>157</v>
      </c>
      <c r="E3381" t="str">
        <f t="shared" si="105"/>
        <v>157. Montenegro</v>
      </c>
    </row>
    <row r="3382" spans="1:5" x14ac:dyDescent="0.25">
      <c r="A3382" s="40" t="s">
        <v>214</v>
      </c>
      <c r="B3382" s="40" t="s">
        <v>398</v>
      </c>
      <c r="C3382" s="40">
        <v>12.2</v>
      </c>
      <c r="D3382">
        <f t="shared" si="104"/>
        <v>158</v>
      </c>
      <c r="E3382" t="str">
        <f t="shared" si="105"/>
        <v>158. Vanuatu</v>
      </c>
    </row>
    <row r="3383" spans="1:5" x14ac:dyDescent="0.25">
      <c r="A3383" s="40" t="s">
        <v>169</v>
      </c>
      <c r="B3383" s="40" t="s">
        <v>398</v>
      </c>
      <c r="C3383" s="40">
        <v>11.5</v>
      </c>
      <c r="D3383">
        <f t="shared" si="104"/>
        <v>159</v>
      </c>
      <c r="E3383" t="str">
        <f t="shared" si="105"/>
        <v>159. Qatar</v>
      </c>
    </row>
    <row r="3384" spans="1:5" x14ac:dyDescent="0.25">
      <c r="A3384" s="40" t="s">
        <v>104</v>
      </c>
      <c r="B3384" s="40" t="s">
        <v>398</v>
      </c>
      <c r="C3384" s="40">
        <v>10.8</v>
      </c>
      <c r="D3384">
        <f t="shared" si="104"/>
        <v>160</v>
      </c>
      <c r="E3384" t="str">
        <f t="shared" si="105"/>
        <v>160. Jamaica</v>
      </c>
    </row>
    <row r="3385" spans="1:5" x14ac:dyDescent="0.25">
      <c r="A3385" s="40" t="s">
        <v>116</v>
      </c>
      <c r="B3385" s="40" t="s">
        <v>398</v>
      </c>
      <c r="C3385" s="40">
        <v>10.199999999999999</v>
      </c>
      <c r="D3385">
        <f t="shared" si="104"/>
        <v>161</v>
      </c>
      <c r="E3385" t="str">
        <f t="shared" si="105"/>
        <v>161. Lebanon</v>
      </c>
    </row>
    <row r="3386" spans="1:5" x14ac:dyDescent="0.25">
      <c r="A3386" s="40" t="s">
        <v>81</v>
      </c>
      <c r="B3386" s="40" t="s">
        <v>398</v>
      </c>
      <c r="C3386" s="40">
        <v>10.1</v>
      </c>
      <c r="D3386">
        <f t="shared" si="104"/>
        <v>162</v>
      </c>
      <c r="E3386" t="str">
        <f t="shared" si="105"/>
        <v>162. Gambia, The</v>
      </c>
    </row>
    <row r="3387" spans="1:5" x14ac:dyDescent="0.25">
      <c r="A3387" s="40" t="s">
        <v>30</v>
      </c>
      <c r="B3387" s="40" t="s">
        <v>398</v>
      </c>
      <c r="C3387" s="40">
        <v>10</v>
      </c>
      <c r="D3387">
        <f t="shared" si="104"/>
        <v>163</v>
      </c>
      <c r="E3387" t="str">
        <f t="shared" si="105"/>
        <v>163. Bahamas, The</v>
      </c>
    </row>
    <row r="3388" spans="1:5" x14ac:dyDescent="0.25">
      <c r="A3388" s="40" t="s">
        <v>58</v>
      </c>
      <c r="B3388" s="40" t="s">
        <v>398</v>
      </c>
      <c r="C3388" s="40">
        <v>9.1999999999999993</v>
      </c>
      <c r="D3388">
        <f t="shared" si="104"/>
        <v>164</v>
      </c>
      <c r="E3388" t="str">
        <f t="shared" si="105"/>
        <v>164. Cyprus</v>
      </c>
    </row>
    <row r="3389" spans="1:5" x14ac:dyDescent="0.25">
      <c r="A3389" s="40" t="s">
        <v>164</v>
      </c>
      <c r="B3389" s="40" t="s">
        <v>398</v>
      </c>
      <c r="C3389" s="40">
        <v>8.9</v>
      </c>
      <c r="D3389">
        <f t="shared" si="104"/>
        <v>165</v>
      </c>
      <c r="E3389" t="str">
        <f t="shared" si="105"/>
        <v>165. Puerto Rico (US)</v>
      </c>
    </row>
    <row r="3390" spans="1:5" x14ac:dyDescent="0.25">
      <c r="A3390" s="40" t="s">
        <v>167</v>
      </c>
      <c r="B3390" s="40" t="s">
        <v>398</v>
      </c>
      <c r="C3390" s="40">
        <v>6</v>
      </c>
      <c r="D3390">
        <f t="shared" si="104"/>
        <v>166</v>
      </c>
      <c r="E3390" t="str">
        <f t="shared" si="105"/>
        <v>166. West Bank and Gaza</v>
      </c>
    </row>
    <row r="3391" spans="1:5" x14ac:dyDescent="0.25">
      <c r="A3391" s="40" t="s">
        <v>38</v>
      </c>
      <c r="B3391" s="40" t="s">
        <v>398</v>
      </c>
      <c r="C3391" s="40">
        <v>5.3</v>
      </c>
      <c r="D3391">
        <f t="shared" si="104"/>
        <v>167</v>
      </c>
      <c r="E3391" t="str">
        <f t="shared" si="105"/>
        <v>167. Brunei Darussalam</v>
      </c>
    </row>
    <row r="3392" spans="1:5" x14ac:dyDescent="0.25">
      <c r="A3392" s="40" t="s">
        <v>201</v>
      </c>
      <c r="B3392" s="40" t="s">
        <v>398</v>
      </c>
      <c r="C3392" s="40">
        <v>5.0999999999999996</v>
      </c>
      <c r="D3392">
        <f t="shared" si="104"/>
        <v>168</v>
      </c>
      <c r="E3392" t="str">
        <f t="shared" si="105"/>
        <v>168. Trinidad and Tobago</v>
      </c>
    </row>
    <row r="3393" spans="1:5" x14ac:dyDescent="0.25">
      <c r="A3393" s="40" t="s">
        <v>53</v>
      </c>
      <c r="B3393" s="40" t="s">
        <v>398</v>
      </c>
      <c r="C3393" s="40">
        <v>4</v>
      </c>
      <c r="D3393">
        <f t="shared" si="104"/>
        <v>169</v>
      </c>
      <c r="E3393" t="str">
        <f t="shared" si="105"/>
        <v>169. Cabo Verde</v>
      </c>
    </row>
    <row r="3394" spans="1:5" x14ac:dyDescent="0.25">
      <c r="A3394" s="40" t="s">
        <v>168</v>
      </c>
      <c r="B3394" s="40" t="s">
        <v>398</v>
      </c>
      <c r="C3394" s="40">
        <v>3.5</v>
      </c>
      <c r="D3394">
        <f t="shared" si="104"/>
        <v>170</v>
      </c>
      <c r="E3394" t="str">
        <f t="shared" si="105"/>
        <v>170. French Polynesia</v>
      </c>
    </row>
    <row r="3395" spans="1:5" x14ac:dyDescent="0.25">
      <c r="A3395" s="40" t="s">
        <v>215</v>
      </c>
      <c r="B3395" s="40" t="s">
        <v>398</v>
      </c>
      <c r="C3395" s="40">
        <v>2.8</v>
      </c>
      <c r="D3395">
        <f t="shared" ref="D3395:D3458" si="106">IF(ROW() = 2, 1, IF(B3395 = B3394, D3394 + 1, 1))</f>
        <v>171</v>
      </c>
      <c r="E3395" t="str">
        <f t="shared" ref="E3395:E3458" si="107">_xlfn.CONCAT(D3395, ". ", A3395)</f>
        <v>171. Samoa</v>
      </c>
    </row>
    <row r="3396" spans="1:5" x14ac:dyDescent="0.25">
      <c r="A3396" s="40" t="s">
        <v>124</v>
      </c>
      <c r="B3396" s="40" t="s">
        <v>398</v>
      </c>
      <c r="C3396" s="40">
        <v>2.6</v>
      </c>
      <c r="D3396">
        <f t="shared" si="106"/>
        <v>172</v>
      </c>
      <c r="E3396" t="str">
        <f t="shared" si="107"/>
        <v>172. Luxembourg</v>
      </c>
    </row>
    <row r="3397" spans="1:5" x14ac:dyDescent="0.25">
      <c r="A3397" s="40" t="s">
        <v>143</v>
      </c>
      <c r="B3397" s="40" t="s">
        <v>398</v>
      </c>
      <c r="C3397" s="40">
        <v>2</v>
      </c>
      <c r="D3397">
        <f t="shared" si="106"/>
        <v>173</v>
      </c>
      <c r="E3397" t="str">
        <f t="shared" si="107"/>
        <v>173. Mauritius</v>
      </c>
    </row>
    <row r="3398" spans="1:5" x14ac:dyDescent="0.25">
      <c r="A3398" s="40" t="s">
        <v>52</v>
      </c>
      <c r="B3398" s="40" t="s">
        <v>398</v>
      </c>
      <c r="C3398" s="40">
        <v>1.9</v>
      </c>
      <c r="D3398">
        <f t="shared" si="106"/>
        <v>174</v>
      </c>
      <c r="E3398" t="str">
        <f t="shared" si="107"/>
        <v>174. Comoros</v>
      </c>
    </row>
    <row r="3399" spans="1:5" x14ac:dyDescent="0.25">
      <c r="A3399" s="40" t="s">
        <v>74</v>
      </c>
      <c r="B3399" s="40" t="s">
        <v>398</v>
      </c>
      <c r="C3399" s="40">
        <v>1.4</v>
      </c>
      <c r="D3399">
        <f t="shared" si="106"/>
        <v>175</v>
      </c>
      <c r="E3399" t="str">
        <f t="shared" si="107"/>
        <v>175. Faroe Islands</v>
      </c>
    </row>
    <row r="3400" spans="1:5" x14ac:dyDescent="0.25">
      <c r="A3400" s="40" t="s">
        <v>90</v>
      </c>
      <c r="B3400" s="40" t="s">
        <v>398</v>
      </c>
      <c r="C3400" s="40">
        <v>1.1000000000000001</v>
      </c>
      <c r="D3400">
        <f t="shared" si="106"/>
        <v>176</v>
      </c>
      <c r="E3400" t="str">
        <f t="shared" si="107"/>
        <v>176. Hong Kong SAR, China</v>
      </c>
    </row>
    <row r="3401" spans="1:5" x14ac:dyDescent="0.25">
      <c r="A3401" s="40" t="s">
        <v>184</v>
      </c>
      <c r="B3401" s="40" t="s">
        <v>398</v>
      </c>
      <c r="C3401" s="40">
        <v>1</v>
      </c>
      <c r="D3401">
        <f t="shared" si="106"/>
        <v>177</v>
      </c>
      <c r="E3401" t="str">
        <f t="shared" si="107"/>
        <v>177. Sao Tome and Principe</v>
      </c>
    </row>
    <row r="3402" spans="1:5" x14ac:dyDescent="0.25">
      <c r="A3402" s="40" t="s">
        <v>193</v>
      </c>
      <c r="B3402" s="40" t="s">
        <v>398</v>
      </c>
      <c r="C3402" s="40">
        <v>1</v>
      </c>
      <c r="D3402">
        <f t="shared" si="106"/>
        <v>178</v>
      </c>
      <c r="E3402" t="str">
        <f t="shared" si="107"/>
        <v>178. Turks and Caicos Islands</v>
      </c>
    </row>
    <row r="3403" spans="1:5" x14ac:dyDescent="0.25">
      <c r="A3403" s="40" t="s">
        <v>29</v>
      </c>
      <c r="B3403" s="40" t="s">
        <v>398</v>
      </c>
      <c r="C3403" s="40">
        <v>0.8</v>
      </c>
      <c r="D3403">
        <f t="shared" si="106"/>
        <v>179</v>
      </c>
      <c r="E3403" t="str">
        <f t="shared" si="107"/>
        <v>179. Bahrain</v>
      </c>
    </row>
    <row r="3404" spans="1:5" x14ac:dyDescent="0.25">
      <c r="A3404" s="40" t="s">
        <v>62</v>
      </c>
      <c r="B3404" s="40" t="s">
        <v>398</v>
      </c>
      <c r="C3404" s="40">
        <v>0.8</v>
      </c>
      <c r="D3404">
        <f t="shared" si="106"/>
        <v>180</v>
      </c>
      <c r="E3404" t="str">
        <f t="shared" si="107"/>
        <v>180. Dominica</v>
      </c>
    </row>
    <row r="3405" spans="1:5" x14ac:dyDescent="0.25">
      <c r="A3405" s="40" t="s">
        <v>111</v>
      </c>
      <c r="B3405" s="40" t="s">
        <v>398</v>
      </c>
      <c r="C3405" s="40">
        <v>0.8</v>
      </c>
      <c r="D3405">
        <f t="shared" si="106"/>
        <v>181</v>
      </c>
      <c r="E3405" t="str">
        <f t="shared" si="107"/>
        <v>181. Kiribati</v>
      </c>
    </row>
    <row r="3406" spans="1:5" x14ac:dyDescent="0.25">
      <c r="A3406" s="40" t="s">
        <v>75</v>
      </c>
      <c r="B3406" s="40" t="s">
        <v>398</v>
      </c>
      <c r="C3406" s="40">
        <v>0.7</v>
      </c>
      <c r="D3406">
        <f t="shared" si="106"/>
        <v>182</v>
      </c>
      <c r="E3406" t="str">
        <f t="shared" si="107"/>
        <v>182. Micronesia, Fed. Sts.</v>
      </c>
    </row>
    <row r="3407" spans="1:5" x14ac:dyDescent="0.25">
      <c r="A3407" s="40" t="s">
        <v>176</v>
      </c>
      <c r="B3407" s="40" t="s">
        <v>398</v>
      </c>
      <c r="C3407" s="40">
        <v>0.7</v>
      </c>
      <c r="D3407">
        <f t="shared" si="106"/>
        <v>183</v>
      </c>
      <c r="E3407" t="str">
        <f t="shared" si="107"/>
        <v>183. Singapore</v>
      </c>
    </row>
    <row r="3408" spans="1:5" x14ac:dyDescent="0.25">
      <c r="A3408" s="40" t="s">
        <v>200</v>
      </c>
      <c r="B3408" s="40" t="s">
        <v>398</v>
      </c>
      <c r="C3408" s="40">
        <v>0.7</v>
      </c>
      <c r="D3408">
        <f t="shared" si="106"/>
        <v>184</v>
      </c>
      <c r="E3408" t="str">
        <f t="shared" si="107"/>
        <v>184. Tonga</v>
      </c>
    </row>
    <row r="3409" spans="1:5" x14ac:dyDescent="0.25">
      <c r="A3409" s="40" t="s">
        <v>96</v>
      </c>
      <c r="B3409" s="40" t="s">
        <v>398</v>
      </c>
      <c r="C3409" s="40">
        <v>0.6</v>
      </c>
      <c r="D3409">
        <f t="shared" si="106"/>
        <v>185</v>
      </c>
      <c r="E3409" t="str">
        <f t="shared" si="107"/>
        <v>185. Isle of Man</v>
      </c>
    </row>
    <row r="3410" spans="1:5" x14ac:dyDescent="0.25">
      <c r="A3410" s="40" t="s">
        <v>119</v>
      </c>
      <c r="B3410" s="40" t="s">
        <v>398</v>
      </c>
      <c r="C3410" s="40">
        <v>0.6</v>
      </c>
      <c r="D3410">
        <f t="shared" si="106"/>
        <v>186</v>
      </c>
      <c r="E3410" t="str">
        <f t="shared" si="107"/>
        <v>186. St. Lucia</v>
      </c>
    </row>
    <row r="3411" spans="1:5" x14ac:dyDescent="0.25">
      <c r="A3411" s="40" t="s">
        <v>14</v>
      </c>
      <c r="B3411" s="40" t="s">
        <v>398</v>
      </c>
      <c r="C3411" s="40">
        <v>0.5</v>
      </c>
      <c r="D3411">
        <f t="shared" si="106"/>
        <v>187</v>
      </c>
      <c r="E3411" t="str">
        <f t="shared" si="107"/>
        <v>187. Andorra</v>
      </c>
    </row>
    <row r="3412" spans="1:5" x14ac:dyDescent="0.25">
      <c r="A3412" s="40" t="s">
        <v>88</v>
      </c>
      <c r="B3412" s="40" t="s">
        <v>398</v>
      </c>
      <c r="C3412" s="40">
        <v>0.5</v>
      </c>
      <c r="D3412">
        <f t="shared" si="106"/>
        <v>188</v>
      </c>
      <c r="E3412" t="str">
        <f t="shared" si="107"/>
        <v>188. Guam</v>
      </c>
    </row>
    <row r="3413" spans="1:5" x14ac:dyDescent="0.25">
      <c r="A3413" s="40" t="s">
        <v>140</v>
      </c>
      <c r="B3413" s="40" t="s">
        <v>398</v>
      </c>
      <c r="C3413" s="40">
        <v>0.5</v>
      </c>
      <c r="D3413">
        <f t="shared" si="106"/>
        <v>189</v>
      </c>
      <c r="E3413" t="str">
        <f t="shared" si="107"/>
        <v>189. Northern Mariana Islands</v>
      </c>
    </row>
    <row r="3414" spans="1:5" x14ac:dyDescent="0.25">
      <c r="A3414" s="40" t="s">
        <v>161</v>
      </c>
      <c r="B3414" s="40" t="s">
        <v>398</v>
      </c>
      <c r="C3414" s="40">
        <v>0.5</v>
      </c>
      <c r="D3414">
        <f t="shared" si="106"/>
        <v>190</v>
      </c>
      <c r="E3414" t="str">
        <f t="shared" si="107"/>
        <v>190. Palau</v>
      </c>
    </row>
    <row r="3415" spans="1:5" x14ac:dyDescent="0.25">
      <c r="A3415" s="40" t="s">
        <v>191</v>
      </c>
      <c r="B3415" s="40" t="s">
        <v>398</v>
      </c>
      <c r="C3415" s="40">
        <v>0.5</v>
      </c>
      <c r="D3415">
        <f t="shared" si="106"/>
        <v>191</v>
      </c>
      <c r="E3415" t="str">
        <f t="shared" si="107"/>
        <v>191. Seychelles</v>
      </c>
    </row>
    <row r="3416" spans="1:5" x14ac:dyDescent="0.25">
      <c r="A3416" s="40" t="s">
        <v>19</v>
      </c>
      <c r="B3416" s="40" t="s">
        <v>398</v>
      </c>
      <c r="C3416" s="40">
        <v>0.4</v>
      </c>
      <c r="D3416">
        <f t="shared" si="106"/>
        <v>192</v>
      </c>
      <c r="E3416" t="str">
        <f t="shared" si="107"/>
        <v>192. Antigua and Barbuda</v>
      </c>
    </row>
    <row r="3417" spans="1:5" x14ac:dyDescent="0.25">
      <c r="A3417" s="40" t="s">
        <v>37</v>
      </c>
      <c r="B3417" s="40" t="s">
        <v>398</v>
      </c>
      <c r="C3417" s="40">
        <v>0.4</v>
      </c>
      <c r="D3417">
        <f t="shared" si="106"/>
        <v>193</v>
      </c>
      <c r="E3417" t="str">
        <f t="shared" si="107"/>
        <v>193. Barbados</v>
      </c>
    </row>
    <row r="3418" spans="1:5" x14ac:dyDescent="0.25">
      <c r="A3418" s="40" t="s">
        <v>56</v>
      </c>
      <c r="B3418" s="40" t="s">
        <v>398</v>
      </c>
      <c r="C3418" s="40">
        <v>0.4</v>
      </c>
      <c r="D3418">
        <f t="shared" si="106"/>
        <v>194</v>
      </c>
      <c r="E3418" t="str">
        <f t="shared" si="107"/>
        <v>194. Curacao</v>
      </c>
    </row>
    <row r="3419" spans="1:5" x14ac:dyDescent="0.25">
      <c r="A3419" s="40" t="s">
        <v>211</v>
      </c>
      <c r="B3419" s="40" t="s">
        <v>398</v>
      </c>
      <c r="C3419" s="40">
        <v>0.4</v>
      </c>
      <c r="D3419">
        <f t="shared" si="106"/>
        <v>195</v>
      </c>
      <c r="E3419" t="str">
        <f t="shared" si="107"/>
        <v>195. St. Vincent and the Grenadines</v>
      </c>
    </row>
    <row r="3420" spans="1:5" x14ac:dyDescent="0.25">
      <c r="A3420" s="40" t="s">
        <v>212</v>
      </c>
      <c r="B3420" s="40" t="s">
        <v>398</v>
      </c>
      <c r="C3420" s="40">
        <v>0.4</v>
      </c>
      <c r="D3420">
        <f t="shared" si="106"/>
        <v>196</v>
      </c>
      <c r="E3420" t="str">
        <f t="shared" si="107"/>
        <v>196. Virgin Islands (U.S.)</v>
      </c>
    </row>
    <row r="3421" spans="1:5" x14ac:dyDescent="0.25">
      <c r="A3421" s="40" t="s">
        <v>85</v>
      </c>
      <c r="B3421" s="40" t="s">
        <v>398</v>
      </c>
      <c r="C3421" s="40">
        <v>0.3</v>
      </c>
      <c r="D3421">
        <f t="shared" si="106"/>
        <v>197</v>
      </c>
      <c r="E3421" t="str">
        <f t="shared" si="107"/>
        <v>197. Grenada</v>
      </c>
    </row>
    <row r="3422" spans="1:5" x14ac:dyDescent="0.25">
      <c r="A3422" s="40" t="s">
        <v>131</v>
      </c>
      <c r="B3422" s="40" t="s">
        <v>398</v>
      </c>
      <c r="C3422" s="40">
        <v>0.3</v>
      </c>
      <c r="D3422">
        <f t="shared" si="106"/>
        <v>198</v>
      </c>
      <c r="E3422" t="str">
        <f t="shared" si="107"/>
        <v>198. Maldives</v>
      </c>
    </row>
    <row r="3423" spans="1:5" x14ac:dyDescent="0.25">
      <c r="A3423" s="40" t="s">
        <v>136</v>
      </c>
      <c r="B3423" s="40" t="s">
        <v>398</v>
      </c>
      <c r="C3423" s="40">
        <v>0.3</v>
      </c>
      <c r="D3423">
        <f t="shared" si="106"/>
        <v>199</v>
      </c>
      <c r="E3423" t="str">
        <f t="shared" si="107"/>
        <v>199. Malta</v>
      </c>
    </row>
    <row r="3424" spans="1:5" x14ac:dyDescent="0.25">
      <c r="A3424" s="40" t="s">
        <v>112</v>
      </c>
      <c r="B3424" s="40" t="s">
        <v>398</v>
      </c>
      <c r="C3424" s="40">
        <v>0.3</v>
      </c>
      <c r="D3424">
        <f t="shared" si="106"/>
        <v>200</v>
      </c>
      <c r="E3424" t="str">
        <f t="shared" si="107"/>
        <v>200. St. Kitts and Nevis</v>
      </c>
    </row>
    <row r="3425" spans="1:5" x14ac:dyDescent="0.25">
      <c r="A3425" s="40" t="s">
        <v>18</v>
      </c>
      <c r="B3425" s="40" t="s">
        <v>398</v>
      </c>
      <c r="C3425" s="40">
        <v>0.2</v>
      </c>
      <c r="D3425">
        <f t="shared" si="106"/>
        <v>201</v>
      </c>
      <c r="E3425" t="str">
        <f t="shared" si="107"/>
        <v>201. American Samoa</v>
      </c>
    </row>
    <row r="3426" spans="1:5" x14ac:dyDescent="0.25">
      <c r="A3426" s="40" t="s">
        <v>10</v>
      </c>
      <c r="B3426" s="40" t="s">
        <v>398</v>
      </c>
      <c r="C3426" s="40">
        <v>0.2</v>
      </c>
      <c r="D3426">
        <f t="shared" si="106"/>
        <v>202</v>
      </c>
      <c r="E3426" t="str">
        <f t="shared" si="107"/>
        <v>202. Aruba</v>
      </c>
    </row>
    <row r="3427" spans="1:5" x14ac:dyDescent="0.25">
      <c r="A3427" s="40" t="s">
        <v>57</v>
      </c>
      <c r="B3427" s="40" t="s">
        <v>398</v>
      </c>
      <c r="C3427" s="40">
        <v>0.2</v>
      </c>
      <c r="D3427">
        <f t="shared" si="106"/>
        <v>203</v>
      </c>
      <c r="E3427" t="str">
        <f t="shared" si="107"/>
        <v>203. Cayman Islands</v>
      </c>
    </row>
    <row r="3428" spans="1:5" x14ac:dyDescent="0.25">
      <c r="A3428" s="40" t="s">
        <v>120</v>
      </c>
      <c r="B3428" s="40" t="s">
        <v>398</v>
      </c>
      <c r="C3428" s="40">
        <v>0.2</v>
      </c>
      <c r="D3428">
        <f t="shared" si="106"/>
        <v>204</v>
      </c>
      <c r="E3428" t="str">
        <f t="shared" si="107"/>
        <v>204. Liechtenstein</v>
      </c>
    </row>
    <row r="3429" spans="1:5" x14ac:dyDescent="0.25">
      <c r="A3429" s="40" t="s">
        <v>133</v>
      </c>
      <c r="B3429" s="40" t="s">
        <v>398</v>
      </c>
      <c r="C3429" s="40">
        <v>0.2</v>
      </c>
      <c r="D3429">
        <f t="shared" si="106"/>
        <v>205</v>
      </c>
      <c r="E3429" t="str">
        <f t="shared" si="107"/>
        <v>205. Marshall Islands</v>
      </c>
    </row>
    <row r="3430" spans="1:5" x14ac:dyDescent="0.25">
      <c r="A3430" s="40" t="s">
        <v>34</v>
      </c>
      <c r="B3430" s="40" t="s">
        <v>398</v>
      </c>
      <c r="C3430" s="40">
        <v>0.1</v>
      </c>
      <c r="D3430">
        <f t="shared" si="106"/>
        <v>206</v>
      </c>
      <c r="E3430" t="str">
        <f t="shared" si="107"/>
        <v>206. Bermuda</v>
      </c>
    </row>
    <row r="3431" spans="1:5" x14ac:dyDescent="0.25">
      <c r="A3431" s="40" t="s">
        <v>180</v>
      </c>
      <c r="B3431" s="40" t="s">
        <v>398</v>
      </c>
      <c r="C3431" s="40">
        <v>0.1</v>
      </c>
      <c r="D3431">
        <f t="shared" si="106"/>
        <v>207</v>
      </c>
      <c r="E3431" t="str">
        <f t="shared" si="107"/>
        <v>207. San Marino</v>
      </c>
    </row>
    <row r="3432" spans="1:5" x14ac:dyDescent="0.25">
      <c r="A3432" s="40" t="s">
        <v>221</v>
      </c>
      <c r="B3432" s="40" t="s">
        <v>398</v>
      </c>
      <c r="C3432" s="40">
        <v>0.1</v>
      </c>
      <c r="D3432">
        <f t="shared" si="106"/>
        <v>208</v>
      </c>
      <c r="E3432" t="str">
        <f t="shared" si="107"/>
        <v>208. St. Martin (French part)</v>
      </c>
    </row>
    <row r="3433" spans="1:5" x14ac:dyDescent="0.25">
      <c r="A3433" s="40" t="s">
        <v>126</v>
      </c>
      <c r="B3433" s="40" t="s">
        <v>398</v>
      </c>
      <c r="C3433" s="40">
        <v>0</v>
      </c>
      <c r="D3433">
        <f t="shared" si="106"/>
        <v>209</v>
      </c>
      <c r="E3433" t="str">
        <f t="shared" si="107"/>
        <v>209. Macao SAR, China</v>
      </c>
    </row>
    <row r="3434" spans="1:5" x14ac:dyDescent="0.25">
      <c r="A3434" s="40" t="s">
        <v>128</v>
      </c>
      <c r="B3434" s="40" t="s">
        <v>398</v>
      </c>
      <c r="C3434" s="40">
        <v>0</v>
      </c>
      <c r="D3434">
        <f t="shared" si="106"/>
        <v>210</v>
      </c>
      <c r="E3434" t="str">
        <f t="shared" si="107"/>
        <v>210. Monaco</v>
      </c>
    </row>
    <row r="3435" spans="1:5" x14ac:dyDescent="0.25">
      <c r="A3435" s="40" t="s">
        <v>154</v>
      </c>
      <c r="B3435" s="40" t="s">
        <v>398</v>
      </c>
      <c r="C3435" s="40">
        <v>0</v>
      </c>
      <c r="D3435">
        <f t="shared" si="106"/>
        <v>211</v>
      </c>
      <c r="E3435" t="str">
        <f t="shared" si="107"/>
        <v>211. Nauru</v>
      </c>
    </row>
    <row r="3436" spans="1:5" x14ac:dyDescent="0.25">
      <c r="A3436" s="40" t="s">
        <v>190</v>
      </c>
      <c r="B3436" s="40" t="s">
        <v>398</v>
      </c>
      <c r="C3436" s="40">
        <v>0</v>
      </c>
      <c r="D3436">
        <f t="shared" si="106"/>
        <v>212</v>
      </c>
      <c r="E3436" t="str">
        <f t="shared" si="107"/>
        <v>212. Sint Maarten (Dutch part)</v>
      </c>
    </row>
    <row r="3437" spans="1:5" x14ac:dyDescent="0.25">
      <c r="A3437" s="40" t="s">
        <v>204</v>
      </c>
      <c r="B3437" s="40" t="s">
        <v>398</v>
      </c>
      <c r="C3437" s="40">
        <v>0</v>
      </c>
      <c r="D3437">
        <f t="shared" si="106"/>
        <v>213</v>
      </c>
      <c r="E3437" t="str">
        <f t="shared" si="107"/>
        <v>213. Tuvalu</v>
      </c>
    </row>
    <row r="3438" spans="1:5" x14ac:dyDescent="0.25">
      <c r="A3438" t="s">
        <v>128</v>
      </c>
      <c r="B3438" t="s">
        <v>369</v>
      </c>
      <c r="C3438">
        <v>86.4</v>
      </c>
      <c r="D3438">
        <f t="shared" si="106"/>
        <v>1</v>
      </c>
      <c r="E3438" t="str">
        <f t="shared" si="107"/>
        <v>1. Monaco</v>
      </c>
    </row>
    <row r="3439" spans="1:5" x14ac:dyDescent="0.25">
      <c r="A3439" t="s">
        <v>180</v>
      </c>
      <c r="B3439" t="s">
        <v>369</v>
      </c>
      <c r="C3439">
        <v>85.7</v>
      </c>
      <c r="D3439">
        <f t="shared" si="106"/>
        <v>2</v>
      </c>
      <c r="E3439" t="str">
        <f t="shared" si="107"/>
        <v>2. San Marino</v>
      </c>
    </row>
    <row r="3440" spans="1:5" x14ac:dyDescent="0.25">
      <c r="A3440" t="s">
        <v>90</v>
      </c>
      <c r="B3440" t="s">
        <v>369</v>
      </c>
      <c r="C3440">
        <v>85.2</v>
      </c>
      <c r="D3440">
        <f t="shared" si="106"/>
        <v>3</v>
      </c>
      <c r="E3440" t="str">
        <f t="shared" si="107"/>
        <v>3. Hong Kong SAR, China</v>
      </c>
    </row>
    <row r="3441" spans="1:5" x14ac:dyDescent="0.25">
      <c r="A3441" t="s">
        <v>120</v>
      </c>
      <c r="B3441" t="s">
        <v>369</v>
      </c>
      <c r="C3441">
        <v>84.8</v>
      </c>
      <c r="D3441">
        <f t="shared" si="106"/>
        <v>4</v>
      </c>
      <c r="E3441" t="str">
        <f t="shared" si="107"/>
        <v>4. Liechtenstein</v>
      </c>
    </row>
    <row r="3442" spans="1:5" x14ac:dyDescent="0.25">
      <c r="A3442" t="s">
        <v>168</v>
      </c>
      <c r="B3442" t="s">
        <v>369</v>
      </c>
      <c r="C3442">
        <v>84.1</v>
      </c>
      <c r="D3442">
        <f t="shared" si="106"/>
        <v>5</v>
      </c>
      <c r="E3442" t="str">
        <f t="shared" si="107"/>
        <v>5. French Polynesia</v>
      </c>
    </row>
    <row r="3443" spans="1:5" x14ac:dyDescent="0.25">
      <c r="A3443" t="s">
        <v>43</v>
      </c>
      <c r="B3443" t="s">
        <v>369</v>
      </c>
      <c r="C3443">
        <v>84.1</v>
      </c>
      <c r="D3443">
        <f t="shared" si="106"/>
        <v>6</v>
      </c>
      <c r="E3443" t="str">
        <f t="shared" si="107"/>
        <v>6. Switzerland</v>
      </c>
    </row>
    <row r="3444" spans="1:5" x14ac:dyDescent="0.25">
      <c r="A3444" t="s">
        <v>14</v>
      </c>
      <c r="B3444" t="s">
        <v>369</v>
      </c>
      <c r="C3444">
        <v>84</v>
      </c>
      <c r="D3444">
        <f t="shared" si="106"/>
        <v>7</v>
      </c>
      <c r="E3444" t="str">
        <f t="shared" si="107"/>
        <v>7. Andorra</v>
      </c>
    </row>
    <row r="3445" spans="1:5" x14ac:dyDescent="0.25">
      <c r="A3445" t="s">
        <v>106</v>
      </c>
      <c r="B3445" t="s">
        <v>369</v>
      </c>
      <c r="C3445">
        <v>84</v>
      </c>
      <c r="D3445">
        <f t="shared" si="106"/>
        <v>8</v>
      </c>
      <c r="E3445" t="str">
        <f t="shared" si="107"/>
        <v>8. Japan</v>
      </c>
    </row>
    <row r="3446" spans="1:5" x14ac:dyDescent="0.25">
      <c r="A3446" t="s">
        <v>68</v>
      </c>
      <c r="B3446" t="s">
        <v>369</v>
      </c>
      <c r="C3446">
        <v>83.9</v>
      </c>
      <c r="D3446">
        <f t="shared" si="106"/>
        <v>9</v>
      </c>
      <c r="E3446" t="str">
        <f t="shared" si="107"/>
        <v>9. Spain</v>
      </c>
    </row>
    <row r="3447" spans="1:5" x14ac:dyDescent="0.25">
      <c r="A3447" t="s">
        <v>103</v>
      </c>
      <c r="B3447" t="s">
        <v>369</v>
      </c>
      <c r="C3447">
        <v>83.7</v>
      </c>
      <c r="D3447">
        <f t="shared" si="106"/>
        <v>10</v>
      </c>
      <c r="E3447" t="str">
        <f t="shared" si="107"/>
        <v>10. Italy</v>
      </c>
    </row>
    <row r="3448" spans="1:5" x14ac:dyDescent="0.25">
      <c r="A3448" t="s">
        <v>136</v>
      </c>
      <c r="B3448" t="s">
        <v>369</v>
      </c>
      <c r="C3448">
        <v>83.5</v>
      </c>
      <c r="D3448">
        <f t="shared" si="106"/>
        <v>11</v>
      </c>
      <c r="E3448" t="str">
        <f t="shared" si="107"/>
        <v>11. Malta</v>
      </c>
    </row>
    <row r="3449" spans="1:5" x14ac:dyDescent="0.25">
      <c r="A3449" t="s">
        <v>113</v>
      </c>
      <c r="B3449" t="s">
        <v>369</v>
      </c>
      <c r="C3449">
        <v>83.4</v>
      </c>
      <c r="D3449">
        <f t="shared" si="106"/>
        <v>12</v>
      </c>
      <c r="E3449" t="str">
        <f t="shared" si="107"/>
        <v>12. Korea, Rep.</v>
      </c>
    </row>
    <row r="3450" spans="1:5" x14ac:dyDescent="0.25">
      <c r="A3450" t="s">
        <v>124</v>
      </c>
      <c r="B3450" t="s">
        <v>369</v>
      </c>
      <c r="C3450">
        <v>83.4</v>
      </c>
      <c r="D3450">
        <f t="shared" si="106"/>
        <v>13</v>
      </c>
      <c r="E3450" t="str">
        <f t="shared" si="107"/>
        <v>13. Luxembourg</v>
      </c>
    </row>
    <row r="3451" spans="1:5" x14ac:dyDescent="0.25">
      <c r="A3451" t="s">
        <v>188</v>
      </c>
      <c r="B3451" t="s">
        <v>369</v>
      </c>
      <c r="C3451">
        <v>83.3</v>
      </c>
      <c r="D3451">
        <f t="shared" si="106"/>
        <v>14</v>
      </c>
      <c r="E3451" t="str">
        <f t="shared" si="107"/>
        <v>14. Sweden</v>
      </c>
    </row>
    <row r="3452" spans="1:5" x14ac:dyDescent="0.25">
      <c r="A3452" t="s">
        <v>102</v>
      </c>
      <c r="B3452" t="s">
        <v>369</v>
      </c>
      <c r="C3452">
        <v>83.2</v>
      </c>
      <c r="D3452">
        <f t="shared" si="106"/>
        <v>15</v>
      </c>
      <c r="E3452" t="str">
        <f t="shared" si="107"/>
        <v>15. Israel</v>
      </c>
    </row>
    <row r="3453" spans="1:5" x14ac:dyDescent="0.25">
      <c r="A3453" t="s">
        <v>114</v>
      </c>
      <c r="B3453" t="s">
        <v>369</v>
      </c>
      <c r="C3453">
        <v>83.2</v>
      </c>
      <c r="D3453">
        <f t="shared" si="106"/>
        <v>16</v>
      </c>
      <c r="E3453" t="str">
        <f t="shared" si="107"/>
        <v>16. Kuwait</v>
      </c>
    </row>
    <row r="3454" spans="1:5" x14ac:dyDescent="0.25">
      <c r="A3454" t="s">
        <v>126</v>
      </c>
      <c r="B3454" t="s">
        <v>369</v>
      </c>
      <c r="C3454">
        <v>83.2</v>
      </c>
      <c r="D3454">
        <f t="shared" si="106"/>
        <v>17</v>
      </c>
      <c r="E3454" t="str">
        <f t="shared" si="107"/>
        <v>17. Macao SAR, China</v>
      </c>
    </row>
    <row r="3455" spans="1:5" x14ac:dyDescent="0.25">
      <c r="A3455" t="s">
        <v>20</v>
      </c>
      <c r="B3455" t="s">
        <v>369</v>
      </c>
      <c r="C3455">
        <v>83.1</v>
      </c>
      <c r="D3455">
        <f t="shared" si="106"/>
        <v>18</v>
      </c>
      <c r="E3455" t="str">
        <f t="shared" si="107"/>
        <v>18. Australia</v>
      </c>
    </row>
    <row r="3456" spans="1:5" x14ac:dyDescent="0.25">
      <c r="A3456" t="s">
        <v>74</v>
      </c>
      <c r="B3456" t="s">
        <v>369</v>
      </c>
      <c r="C3456">
        <v>83.1</v>
      </c>
      <c r="D3456">
        <f t="shared" si="106"/>
        <v>19</v>
      </c>
      <c r="E3456" t="str">
        <f t="shared" si="107"/>
        <v>19. Faroe Islands</v>
      </c>
    </row>
    <row r="3457" spans="1:5" x14ac:dyDescent="0.25">
      <c r="A3457" t="s">
        <v>152</v>
      </c>
      <c r="B3457" t="s">
        <v>369</v>
      </c>
      <c r="C3457">
        <v>83.1</v>
      </c>
      <c r="D3457">
        <f t="shared" si="106"/>
        <v>20</v>
      </c>
      <c r="E3457" t="str">
        <f t="shared" si="107"/>
        <v>20. Norway</v>
      </c>
    </row>
    <row r="3458" spans="1:5" x14ac:dyDescent="0.25">
      <c r="A3458" t="s">
        <v>155</v>
      </c>
      <c r="B3458" t="s">
        <v>369</v>
      </c>
      <c r="C3458">
        <v>83</v>
      </c>
      <c r="D3458">
        <f t="shared" si="106"/>
        <v>21</v>
      </c>
      <c r="E3458" t="str">
        <f t="shared" si="107"/>
        <v>21. New Zealand</v>
      </c>
    </row>
    <row r="3459" spans="1:5" x14ac:dyDescent="0.25">
      <c r="A3459" t="s">
        <v>73</v>
      </c>
      <c r="B3459" t="s">
        <v>369</v>
      </c>
      <c r="C3459">
        <v>82.9</v>
      </c>
      <c r="D3459">
        <f t="shared" ref="D3459:D3522" si="108">IF(ROW() = 2, 1, IF(B3459 = B3458, D3458 + 1, 1))</f>
        <v>22</v>
      </c>
      <c r="E3459" t="str">
        <f t="shared" ref="E3459:E3522" si="109">_xlfn.CONCAT(D3459, ". ", A3459)</f>
        <v>22. France</v>
      </c>
    </row>
    <row r="3460" spans="1:5" x14ac:dyDescent="0.25">
      <c r="A3460" t="s">
        <v>98</v>
      </c>
      <c r="B3460" t="s">
        <v>369</v>
      </c>
      <c r="C3460">
        <v>82.9</v>
      </c>
      <c r="D3460">
        <f t="shared" si="108"/>
        <v>23</v>
      </c>
      <c r="E3460" t="str">
        <f t="shared" si="109"/>
        <v>23. Ireland</v>
      </c>
    </row>
    <row r="3461" spans="1:5" x14ac:dyDescent="0.25">
      <c r="A3461" t="s">
        <v>176</v>
      </c>
      <c r="B3461" t="s">
        <v>369</v>
      </c>
      <c r="C3461">
        <v>82.9</v>
      </c>
      <c r="D3461">
        <f t="shared" si="108"/>
        <v>24</v>
      </c>
      <c r="E3461" t="str">
        <f t="shared" si="109"/>
        <v>24. Singapore</v>
      </c>
    </row>
    <row r="3462" spans="1:5" x14ac:dyDescent="0.25">
      <c r="A3462" t="s">
        <v>15</v>
      </c>
      <c r="B3462" t="s">
        <v>369</v>
      </c>
      <c r="C3462">
        <v>82.9</v>
      </c>
      <c r="D3462">
        <f t="shared" si="108"/>
        <v>25</v>
      </c>
      <c r="E3462" t="str">
        <f t="shared" si="109"/>
        <v>25. United Arab Emirates</v>
      </c>
    </row>
    <row r="3463" spans="1:5" x14ac:dyDescent="0.25">
      <c r="A3463" t="s">
        <v>101</v>
      </c>
      <c r="B3463" t="s">
        <v>369</v>
      </c>
      <c r="C3463">
        <v>82.6</v>
      </c>
      <c r="D3463">
        <f t="shared" si="108"/>
        <v>26</v>
      </c>
      <c r="E3463" t="str">
        <f t="shared" si="109"/>
        <v>26. Iceland</v>
      </c>
    </row>
    <row r="3464" spans="1:5" x14ac:dyDescent="0.25">
      <c r="A3464" t="s">
        <v>24</v>
      </c>
      <c r="B3464" t="s">
        <v>369</v>
      </c>
      <c r="C3464">
        <v>82.4</v>
      </c>
      <c r="D3464">
        <f t="shared" si="108"/>
        <v>27</v>
      </c>
      <c r="E3464" t="str">
        <f t="shared" si="109"/>
        <v>27. Belgium</v>
      </c>
    </row>
    <row r="3465" spans="1:5" x14ac:dyDescent="0.25">
      <c r="A3465" t="s">
        <v>169</v>
      </c>
      <c r="B3465" t="s">
        <v>369</v>
      </c>
      <c r="C3465">
        <v>82.4</v>
      </c>
      <c r="D3465">
        <f t="shared" si="108"/>
        <v>28</v>
      </c>
      <c r="E3465" t="str">
        <f t="shared" si="109"/>
        <v>28. Qatar</v>
      </c>
    </row>
    <row r="3466" spans="1:5" x14ac:dyDescent="0.25">
      <c r="A3466" t="s">
        <v>34</v>
      </c>
      <c r="B3466" t="s">
        <v>369</v>
      </c>
      <c r="C3466">
        <v>82.3</v>
      </c>
      <c r="D3466">
        <f t="shared" si="108"/>
        <v>29</v>
      </c>
      <c r="E3466" t="str">
        <f t="shared" si="109"/>
        <v>29. Bermuda</v>
      </c>
    </row>
    <row r="3467" spans="1:5" x14ac:dyDescent="0.25">
      <c r="A3467" t="s">
        <v>165</v>
      </c>
      <c r="B3467" t="s">
        <v>369</v>
      </c>
      <c r="C3467">
        <v>82.3</v>
      </c>
      <c r="D3467">
        <f t="shared" si="108"/>
        <v>30</v>
      </c>
      <c r="E3467" t="str">
        <f t="shared" si="109"/>
        <v>30. Portugal</v>
      </c>
    </row>
    <row r="3468" spans="1:5" x14ac:dyDescent="0.25">
      <c r="A3468" t="s">
        <v>187</v>
      </c>
      <c r="B3468" t="s">
        <v>369</v>
      </c>
      <c r="C3468">
        <v>82</v>
      </c>
      <c r="D3468">
        <f t="shared" si="108"/>
        <v>31</v>
      </c>
      <c r="E3468" t="str">
        <f t="shared" si="109"/>
        <v>31. Slovenia</v>
      </c>
    </row>
    <row r="3469" spans="1:5" x14ac:dyDescent="0.25">
      <c r="A3469" t="s">
        <v>63</v>
      </c>
      <c r="B3469" t="s">
        <v>369</v>
      </c>
      <c r="C3469">
        <v>81.900000000000006</v>
      </c>
      <c r="D3469">
        <f t="shared" si="108"/>
        <v>32</v>
      </c>
      <c r="E3469" t="str">
        <f t="shared" si="109"/>
        <v>32. Denmark</v>
      </c>
    </row>
    <row r="3470" spans="1:5" x14ac:dyDescent="0.25">
      <c r="A3470" t="s">
        <v>151</v>
      </c>
      <c r="B3470" t="s">
        <v>369</v>
      </c>
      <c r="C3470">
        <v>81.900000000000006</v>
      </c>
      <c r="D3470">
        <f t="shared" si="108"/>
        <v>33</v>
      </c>
      <c r="E3470" t="str">
        <f t="shared" si="109"/>
        <v>33. Netherlands</v>
      </c>
    </row>
    <row r="3471" spans="1:5" x14ac:dyDescent="0.25">
      <c r="A3471" t="s">
        <v>71</v>
      </c>
      <c r="B3471" t="s">
        <v>369</v>
      </c>
      <c r="C3471">
        <v>81.7</v>
      </c>
      <c r="D3471">
        <f t="shared" si="108"/>
        <v>34</v>
      </c>
      <c r="E3471" t="str">
        <f t="shared" si="109"/>
        <v>34. Finland</v>
      </c>
    </row>
    <row r="3472" spans="1:5" x14ac:dyDescent="0.25">
      <c r="A3472" t="s">
        <v>164</v>
      </c>
      <c r="B3472" t="s">
        <v>369</v>
      </c>
      <c r="C3472">
        <v>81.7</v>
      </c>
      <c r="D3472">
        <f t="shared" si="108"/>
        <v>35</v>
      </c>
      <c r="E3472" t="str">
        <f t="shared" si="109"/>
        <v>35. Puerto Rico (US)</v>
      </c>
    </row>
    <row r="3473" spans="1:5" x14ac:dyDescent="0.25">
      <c r="A3473" t="s">
        <v>42</v>
      </c>
      <c r="B3473" t="s">
        <v>369</v>
      </c>
      <c r="C3473">
        <v>81.599999999999994</v>
      </c>
      <c r="D3473">
        <f t="shared" si="108"/>
        <v>36</v>
      </c>
      <c r="E3473" t="str">
        <f t="shared" si="109"/>
        <v>36. Canada</v>
      </c>
    </row>
    <row r="3474" spans="1:5" x14ac:dyDescent="0.25">
      <c r="A3474" t="s">
        <v>58</v>
      </c>
      <c r="B3474" t="s">
        <v>369</v>
      </c>
      <c r="C3474">
        <v>81.599999999999994</v>
      </c>
      <c r="D3474">
        <f t="shared" si="108"/>
        <v>37</v>
      </c>
      <c r="E3474" t="str">
        <f t="shared" si="109"/>
        <v>37. Cyprus</v>
      </c>
    </row>
    <row r="3475" spans="1:5" x14ac:dyDescent="0.25">
      <c r="A3475" t="s">
        <v>21</v>
      </c>
      <c r="B3475" t="s">
        <v>369</v>
      </c>
      <c r="C3475">
        <v>81.5</v>
      </c>
      <c r="D3475">
        <f t="shared" si="108"/>
        <v>38</v>
      </c>
      <c r="E3475" t="str">
        <f t="shared" si="109"/>
        <v>38. Austria</v>
      </c>
    </row>
    <row r="3476" spans="1:5" x14ac:dyDescent="0.25">
      <c r="A3476" t="s">
        <v>84</v>
      </c>
      <c r="B3476" t="s">
        <v>369</v>
      </c>
      <c r="C3476">
        <v>81.5</v>
      </c>
      <c r="D3476">
        <f t="shared" si="108"/>
        <v>39</v>
      </c>
      <c r="E3476" t="str">
        <f t="shared" si="109"/>
        <v>39. Greece</v>
      </c>
    </row>
    <row r="3477" spans="1:5" x14ac:dyDescent="0.25">
      <c r="A3477" t="s">
        <v>29</v>
      </c>
      <c r="B3477" t="s">
        <v>369</v>
      </c>
      <c r="C3477">
        <v>81.3</v>
      </c>
      <c r="D3477">
        <f t="shared" si="108"/>
        <v>40</v>
      </c>
      <c r="E3477" t="str">
        <f t="shared" si="109"/>
        <v>40. Bahrain</v>
      </c>
    </row>
    <row r="3478" spans="1:5" x14ac:dyDescent="0.25">
      <c r="A3478" t="s">
        <v>45</v>
      </c>
      <c r="B3478" t="s">
        <v>369</v>
      </c>
      <c r="C3478">
        <v>81.2</v>
      </c>
      <c r="D3478">
        <f t="shared" si="108"/>
        <v>41</v>
      </c>
      <c r="E3478" t="str">
        <f t="shared" si="109"/>
        <v>41. Chile</v>
      </c>
    </row>
    <row r="3479" spans="1:5" x14ac:dyDescent="0.25">
      <c r="A3479" t="s">
        <v>77</v>
      </c>
      <c r="B3479" t="s">
        <v>369</v>
      </c>
      <c r="C3479">
        <v>81.2</v>
      </c>
      <c r="D3479">
        <f t="shared" si="108"/>
        <v>42</v>
      </c>
      <c r="E3479" t="str">
        <f t="shared" si="109"/>
        <v>42. United Kingdom</v>
      </c>
    </row>
    <row r="3480" spans="1:5" x14ac:dyDescent="0.25">
      <c r="A3480" t="s">
        <v>44</v>
      </c>
      <c r="B3480" t="s">
        <v>369</v>
      </c>
      <c r="C3480">
        <v>81.099999999999994</v>
      </c>
      <c r="D3480">
        <f t="shared" si="108"/>
        <v>43</v>
      </c>
      <c r="E3480" t="str">
        <f t="shared" si="109"/>
        <v>43. Channel Islands</v>
      </c>
    </row>
    <row r="3481" spans="1:5" x14ac:dyDescent="0.25">
      <c r="A3481" t="s">
        <v>96</v>
      </c>
      <c r="B3481" t="s">
        <v>369</v>
      </c>
      <c r="C3481">
        <v>81</v>
      </c>
      <c r="D3481">
        <f t="shared" si="108"/>
        <v>44</v>
      </c>
      <c r="E3481" t="str">
        <f t="shared" si="109"/>
        <v>44. Isle of Man</v>
      </c>
    </row>
    <row r="3482" spans="1:5" x14ac:dyDescent="0.25">
      <c r="A3482" t="s">
        <v>131</v>
      </c>
      <c r="B3482" t="s">
        <v>369</v>
      </c>
      <c r="C3482">
        <v>81</v>
      </c>
      <c r="D3482">
        <f t="shared" si="108"/>
        <v>45</v>
      </c>
      <c r="E3482" t="str">
        <f t="shared" si="109"/>
        <v>45. Maldives</v>
      </c>
    </row>
    <row r="3483" spans="1:5" x14ac:dyDescent="0.25">
      <c r="A3483" t="s">
        <v>54</v>
      </c>
      <c r="B3483" t="s">
        <v>369</v>
      </c>
      <c r="C3483">
        <v>80.8</v>
      </c>
      <c r="D3483">
        <f t="shared" si="108"/>
        <v>46</v>
      </c>
      <c r="E3483" t="str">
        <f t="shared" si="109"/>
        <v>46. Costa Rica</v>
      </c>
    </row>
    <row r="3484" spans="1:5" x14ac:dyDescent="0.25">
      <c r="A3484" t="s">
        <v>60</v>
      </c>
      <c r="B3484" t="s">
        <v>369</v>
      </c>
      <c r="C3484">
        <v>80.5</v>
      </c>
      <c r="D3484">
        <f t="shared" si="108"/>
        <v>47</v>
      </c>
      <c r="E3484" t="str">
        <f t="shared" si="109"/>
        <v>47. Germany</v>
      </c>
    </row>
    <row r="3485" spans="1:5" x14ac:dyDescent="0.25">
      <c r="A3485" t="s">
        <v>212</v>
      </c>
      <c r="B3485" t="s">
        <v>369</v>
      </c>
      <c r="C3485">
        <v>80.5</v>
      </c>
      <c r="D3485">
        <f t="shared" si="108"/>
        <v>48</v>
      </c>
      <c r="E3485" t="str">
        <f t="shared" si="109"/>
        <v>48. Virgin Islands (U.S.)</v>
      </c>
    </row>
    <row r="3486" spans="1:5" x14ac:dyDescent="0.25">
      <c r="A3486" t="s">
        <v>57</v>
      </c>
      <c r="B3486" t="s">
        <v>369</v>
      </c>
      <c r="C3486">
        <v>80.400000000000006</v>
      </c>
      <c r="D3486">
        <f t="shared" si="108"/>
        <v>49</v>
      </c>
      <c r="E3486" t="str">
        <f t="shared" si="109"/>
        <v>49. Cayman Islands</v>
      </c>
    </row>
    <row r="3487" spans="1:5" x14ac:dyDescent="0.25">
      <c r="A3487" t="s">
        <v>221</v>
      </c>
      <c r="B3487" t="s">
        <v>369</v>
      </c>
      <c r="C3487">
        <v>80.2</v>
      </c>
      <c r="D3487">
        <f t="shared" si="108"/>
        <v>50</v>
      </c>
      <c r="E3487" t="str">
        <f t="shared" si="109"/>
        <v>50. St. Martin (French part)</v>
      </c>
    </row>
    <row r="3488" spans="1:5" x14ac:dyDescent="0.25">
      <c r="A3488" t="s">
        <v>156</v>
      </c>
      <c r="B3488" t="s">
        <v>369</v>
      </c>
      <c r="C3488">
        <v>80</v>
      </c>
      <c r="D3488">
        <f t="shared" si="108"/>
        <v>51</v>
      </c>
      <c r="E3488" t="str">
        <f t="shared" si="109"/>
        <v>51. Oman</v>
      </c>
    </row>
    <row r="3489" spans="1:5" x14ac:dyDescent="0.25">
      <c r="A3489" t="s">
        <v>59</v>
      </c>
      <c r="B3489" t="s">
        <v>369</v>
      </c>
      <c r="C3489">
        <v>79.900000000000006</v>
      </c>
      <c r="D3489">
        <f t="shared" si="108"/>
        <v>52</v>
      </c>
      <c r="E3489" t="str">
        <f t="shared" si="109"/>
        <v>52. Czechia</v>
      </c>
    </row>
    <row r="3490" spans="1:5" x14ac:dyDescent="0.25">
      <c r="A3490" t="s">
        <v>13</v>
      </c>
      <c r="B3490" t="s">
        <v>369</v>
      </c>
      <c r="C3490">
        <v>79.599999999999994</v>
      </c>
      <c r="D3490">
        <f t="shared" si="108"/>
        <v>53</v>
      </c>
      <c r="E3490" t="str">
        <f t="shared" si="109"/>
        <v>53. Albania</v>
      </c>
    </row>
    <row r="3491" spans="1:5" x14ac:dyDescent="0.25">
      <c r="A3491" t="s">
        <v>158</v>
      </c>
      <c r="B3491" t="s">
        <v>369</v>
      </c>
      <c r="C3491">
        <v>79.599999999999994</v>
      </c>
      <c r="D3491">
        <f t="shared" si="108"/>
        <v>54</v>
      </c>
      <c r="E3491" t="str">
        <f t="shared" si="109"/>
        <v>54. Panama</v>
      </c>
    </row>
    <row r="3492" spans="1:5" x14ac:dyDescent="0.25">
      <c r="A3492" t="s">
        <v>147</v>
      </c>
      <c r="B3492" t="s">
        <v>369</v>
      </c>
      <c r="C3492">
        <v>78.8</v>
      </c>
      <c r="D3492">
        <f t="shared" si="108"/>
        <v>55</v>
      </c>
      <c r="E3492" t="str">
        <f t="shared" si="109"/>
        <v>55. New Caledonia</v>
      </c>
    </row>
    <row r="3493" spans="1:5" x14ac:dyDescent="0.25">
      <c r="A3493" t="s">
        <v>140</v>
      </c>
      <c r="B3493" t="s">
        <v>369</v>
      </c>
      <c r="C3493">
        <v>78.8</v>
      </c>
      <c r="D3493">
        <f t="shared" si="108"/>
        <v>56</v>
      </c>
      <c r="E3493" t="str">
        <f t="shared" si="109"/>
        <v>56. Northern Mariana Islands</v>
      </c>
    </row>
    <row r="3494" spans="1:5" x14ac:dyDescent="0.25">
      <c r="A3494" t="s">
        <v>173</v>
      </c>
      <c r="B3494" t="s">
        <v>369</v>
      </c>
      <c r="C3494">
        <v>78.7</v>
      </c>
      <c r="D3494">
        <f t="shared" si="108"/>
        <v>57</v>
      </c>
      <c r="E3494" t="str">
        <f t="shared" si="109"/>
        <v>57. Saudi Arabia</v>
      </c>
    </row>
    <row r="3495" spans="1:5" x14ac:dyDescent="0.25">
      <c r="A3495" t="s">
        <v>92</v>
      </c>
      <c r="B3495" t="s">
        <v>369</v>
      </c>
      <c r="C3495">
        <v>78.5</v>
      </c>
      <c r="D3495">
        <f t="shared" si="108"/>
        <v>58</v>
      </c>
      <c r="E3495" t="str">
        <f t="shared" si="109"/>
        <v>58. Croatia</v>
      </c>
    </row>
    <row r="3496" spans="1:5" x14ac:dyDescent="0.25">
      <c r="A3496" t="s">
        <v>69</v>
      </c>
      <c r="B3496" t="s">
        <v>369</v>
      </c>
      <c r="C3496">
        <v>78.5</v>
      </c>
      <c r="D3496">
        <f t="shared" si="108"/>
        <v>59</v>
      </c>
      <c r="E3496" t="str">
        <f t="shared" si="109"/>
        <v>59. Estonia</v>
      </c>
    </row>
    <row r="3497" spans="1:5" x14ac:dyDescent="0.25">
      <c r="A3497" t="s">
        <v>163</v>
      </c>
      <c r="B3497" t="s">
        <v>369</v>
      </c>
      <c r="C3497">
        <v>78.5</v>
      </c>
      <c r="D3497">
        <f t="shared" si="108"/>
        <v>60</v>
      </c>
      <c r="E3497" t="str">
        <f t="shared" si="109"/>
        <v>60. Poland</v>
      </c>
    </row>
    <row r="3498" spans="1:5" x14ac:dyDescent="0.25">
      <c r="A3498" t="s">
        <v>209</v>
      </c>
      <c r="B3498" t="s">
        <v>369</v>
      </c>
      <c r="C3498">
        <v>78.400000000000006</v>
      </c>
      <c r="D3498">
        <f t="shared" si="108"/>
        <v>61</v>
      </c>
      <c r="E3498" t="str">
        <f t="shared" si="109"/>
        <v>61. United States</v>
      </c>
    </row>
    <row r="3499" spans="1:5" x14ac:dyDescent="0.25">
      <c r="A3499" t="s">
        <v>55</v>
      </c>
      <c r="B3499" t="s">
        <v>369</v>
      </c>
      <c r="C3499">
        <v>78.099999999999994</v>
      </c>
      <c r="D3499">
        <f t="shared" si="108"/>
        <v>62</v>
      </c>
      <c r="E3499" t="str">
        <f t="shared" si="109"/>
        <v>62. Cuba</v>
      </c>
    </row>
    <row r="3500" spans="1:5" x14ac:dyDescent="0.25">
      <c r="A3500" t="s">
        <v>208</v>
      </c>
      <c r="B3500" t="s">
        <v>369</v>
      </c>
      <c r="C3500">
        <v>78.099999999999994</v>
      </c>
      <c r="D3500">
        <f t="shared" si="108"/>
        <v>63</v>
      </c>
      <c r="E3500" t="str">
        <f t="shared" si="109"/>
        <v>63. Uruguay</v>
      </c>
    </row>
    <row r="3501" spans="1:5" x14ac:dyDescent="0.25">
      <c r="A3501" t="s">
        <v>46</v>
      </c>
      <c r="B3501" t="s">
        <v>369</v>
      </c>
      <c r="C3501">
        <v>78</v>
      </c>
      <c r="D3501">
        <f t="shared" si="108"/>
        <v>64</v>
      </c>
      <c r="E3501" t="str">
        <f t="shared" si="109"/>
        <v>64. China</v>
      </c>
    </row>
    <row r="3502" spans="1:5" x14ac:dyDescent="0.25">
      <c r="A3502" t="s">
        <v>216</v>
      </c>
      <c r="B3502" t="s">
        <v>369</v>
      </c>
      <c r="C3502">
        <v>78</v>
      </c>
      <c r="D3502">
        <f t="shared" si="108"/>
        <v>65</v>
      </c>
      <c r="E3502" t="str">
        <f t="shared" si="109"/>
        <v>65. Kosovo</v>
      </c>
    </row>
    <row r="3503" spans="1:5" x14ac:dyDescent="0.25">
      <c r="A3503" t="s">
        <v>186</v>
      </c>
      <c r="B3503" t="s">
        <v>369</v>
      </c>
      <c r="C3503">
        <v>78</v>
      </c>
      <c r="D3503">
        <f t="shared" si="108"/>
        <v>66</v>
      </c>
      <c r="E3503" t="str">
        <f t="shared" si="109"/>
        <v>66. Slovak Republic</v>
      </c>
    </row>
    <row r="3504" spans="1:5" x14ac:dyDescent="0.25">
      <c r="A3504" t="s">
        <v>193</v>
      </c>
      <c r="B3504" t="s">
        <v>369</v>
      </c>
      <c r="C3504">
        <v>78</v>
      </c>
      <c r="D3504">
        <f t="shared" si="108"/>
        <v>67</v>
      </c>
      <c r="E3504" t="str">
        <f t="shared" si="109"/>
        <v>67. Turks and Caicos Islands</v>
      </c>
    </row>
    <row r="3505" spans="1:5" x14ac:dyDescent="0.25">
      <c r="A3505" t="s">
        <v>31</v>
      </c>
      <c r="B3505" t="s">
        <v>369</v>
      </c>
      <c r="C3505">
        <v>77.900000000000006</v>
      </c>
      <c r="D3505">
        <f t="shared" si="108"/>
        <v>68</v>
      </c>
      <c r="E3505" t="str">
        <f t="shared" si="109"/>
        <v>68. Bosnia and Herzegovina</v>
      </c>
    </row>
    <row r="3506" spans="1:5" x14ac:dyDescent="0.25">
      <c r="A3506" t="s">
        <v>105</v>
      </c>
      <c r="B3506" t="s">
        <v>369</v>
      </c>
      <c r="C3506">
        <v>77.8</v>
      </c>
      <c r="D3506">
        <f t="shared" si="108"/>
        <v>69</v>
      </c>
      <c r="E3506" t="str">
        <f t="shared" si="109"/>
        <v>69. Jordan</v>
      </c>
    </row>
    <row r="3507" spans="1:5" x14ac:dyDescent="0.25">
      <c r="A3507" t="s">
        <v>116</v>
      </c>
      <c r="B3507" t="s">
        <v>369</v>
      </c>
      <c r="C3507">
        <v>77.8</v>
      </c>
      <c r="D3507">
        <f t="shared" si="108"/>
        <v>70</v>
      </c>
      <c r="E3507" t="str">
        <f t="shared" si="109"/>
        <v>70. Lebanon</v>
      </c>
    </row>
    <row r="3508" spans="1:5" x14ac:dyDescent="0.25">
      <c r="A3508" t="s">
        <v>51</v>
      </c>
      <c r="B3508" t="s">
        <v>369</v>
      </c>
      <c r="C3508">
        <v>77.7</v>
      </c>
      <c r="D3508">
        <f t="shared" si="108"/>
        <v>71</v>
      </c>
      <c r="E3508" t="str">
        <f t="shared" si="109"/>
        <v>71. Colombia</v>
      </c>
    </row>
    <row r="3509" spans="1:5" x14ac:dyDescent="0.25">
      <c r="A3509" t="s">
        <v>99</v>
      </c>
      <c r="B3509" t="s">
        <v>369</v>
      </c>
      <c r="C3509">
        <v>77.7</v>
      </c>
      <c r="D3509">
        <f t="shared" si="108"/>
        <v>72</v>
      </c>
      <c r="E3509" t="str">
        <f t="shared" si="109"/>
        <v>72. Iran, Islamic Rep.</v>
      </c>
    </row>
    <row r="3510" spans="1:5" x14ac:dyDescent="0.25">
      <c r="A3510" t="s">
        <v>159</v>
      </c>
      <c r="B3510" t="s">
        <v>369</v>
      </c>
      <c r="C3510">
        <v>77.7</v>
      </c>
      <c r="D3510">
        <f t="shared" si="108"/>
        <v>73</v>
      </c>
      <c r="E3510" t="str">
        <f t="shared" si="109"/>
        <v>73. Peru</v>
      </c>
    </row>
    <row r="3511" spans="1:5" x14ac:dyDescent="0.25">
      <c r="A3511" t="s">
        <v>19</v>
      </c>
      <c r="B3511" t="s">
        <v>369</v>
      </c>
      <c r="C3511">
        <v>77.599999999999994</v>
      </c>
      <c r="D3511">
        <f t="shared" si="108"/>
        <v>74</v>
      </c>
      <c r="E3511" t="str">
        <f t="shared" si="109"/>
        <v>74. Antigua and Barbuda</v>
      </c>
    </row>
    <row r="3512" spans="1:5" x14ac:dyDescent="0.25">
      <c r="A3512" t="s">
        <v>138</v>
      </c>
      <c r="B3512" t="s">
        <v>369</v>
      </c>
      <c r="C3512">
        <v>77.599999999999994</v>
      </c>
      <c r="D3512">
        <f t="shared" si="108"/>
        <v>75</v>
      </c>
      <c r="E3512" t="str">
        <f t="shared" si="109"/>
        <v>75. Montenegro</v>
      </c>
    </row>
    <row r="3513" spans="1:5" x14ac:dyDescent="0.25">
      <c r="A3513" t="s">
        <v>17</v>
      </c>
      <c r="B3513" t="s">
        <v>369</v>
      </c>
      <c r="C3513">
        <v>77.5</v>
      </c>
      <c r="D3513">
        <f t="shared" si="108"/>
        <v>76</v>
      </c>
      <c r="E3513" t="str">
        <f t="shared" si="109"/>
        <v>76. Armenia</v>
      </c>
    </row>
    <row r="3514" spans="1:5" x14ac:dyDescent="0.25">
      <c r="A3514" t="s">
        <v>121</v>
      </c>
      <c r="B3514" t="s">
        <v>369</v>
      </c>
      <c r="C3514">
        <v>77.5</v>
      </c>
      <c r="D3514">
        <f t="shared" si="108"/>
        <v>77</v>
      </c>
      <c r="E3514" t="str">
        <f t="shared" si="109"/>
        <v>77. Sri Lanka</v>
      </c>
    </row>
    <row r="3515" spans="1:5" x14ac:dyDescent="0.25">
      <c r="A3515" t="s">
        <v>16</v>
      </c>
      <c r="B3515" t="s">
        <v>369</v>
      </c>
      <c r="C3515">
        <v>77.400000000000006</v>
      </c>
      <c r="D3515">
        <f t="shared" si="108"/>
        <v>78</v>
      </c>
      <c r="E3515" t="str">
        <f t="shared" si="109"/>
        <v>78. Argentina</v>
      </c>
    </row>
    <row r="3516" spans="1:5" x14ac:dyDescent="0.25">
      <c r="A3516" t="s">
        <v>66</v>
      </c>
      <c r="B3516" t="s">
        <v>369</v>
      </c>
      <c r="C3516">
        <v>77.400000000000006</v>
      </c>
      <c r="D3516">
        <f t="shared" si="108"/>
        <v>79</v>
      </c>
      <c r="E3516" t="str">
        <f t="shared" si="109"/>
        <v>79. Ecuador</v>
      </c>
    </row>
    <row r="3517" spans="1:5" x14ac:dyDescent="0.25">
      <c r="A3517" t="s">
        <v>88</v>
      </c>
      <c r="B3517" t="s">
        <v>369</v>
      </c>
      <c r="C3517">
        <v>77.2</v>
      </c>
      <c r="D3517">
        <f t="shared" si="108"/>
        <v>80</v>
      </c>
      <c r="E3517" t="str">
        <f t="shared" si="109"/>
        <v>80. Guam</v>
      </c>
    </row>
    <row r="3518" spans="1:5" x14ac:dyDescent="0.25">
      <c r="A3518" t="s">
        <v>203</v>
      </c>
      <c r="B3518" t="s">
        <v>369</v>
      </c>
      <c r="C3518">
        <v>77.2</v>
      </c>
      <c r="D3518">
        <f t="shared" si="108"/>
        <v>81</v>
      </c>
      <c r="E3518" t="str">
        <f t="shared" si="109"/>
        <v>81. Turkiye</v>
      </c>
    </row>
    <row r="3519" spans="1:5" x14ac:dyDescent="0.25">
      <c r="A3519" t="s">
        <v>123</v>
      </c>
      <c r="B3519" t="s">
        <v>369</v>
      </c>
      <c r="C3519">
        <v>77</v>
      </c>
      <c r="D3519">
        <f t="shared" si="108"/>
        <v>82</v>
      </c>
      <c r="E3519" t="str">
        <f t="shared" si="109"/>
        <v>82. Lithuania</v>
      </c>
    </row>
    <row r="3520" spans="1:5" x14ac:dyDescent="0.25">
      <c r="A3520" t="s">
        <v>56</v>
      </c>
      <c r="B3520" t="s">
        <v>369</v>
      </c>
      <c r="C3520">
        <v>76.8</v>
      </c>
      <c r="D3520">
        <f t="shared" si="108"/>
        <v>83</v>
      </c>
      <c r="E3520" t="str">
        <f t="shared" si="109"/>
        <v>83. Curacao</v>
      </c>
    </row>
    <row r="3521" spans="1:5" x14ac:dyDescent="0.25">
      <c r="A3521" t="s">
        <v>94</v>
      </c>
      <c r="B3521" t="s">
        <v>369</v>
      </c>
      <c r="C3521">
        <v>76.8</v>
      </c>
      <c r="D3521">
        <f t="shared" si="108"/>
        <v>84</v>
      </c>
      <c r="E3521" t="str">
        <f t="shared" si="109"/>
        <v>84. Hungary</v>
      </c>
    </row>
    <row r="3522" spans="1:5" x14ac:dyDescent="0.25">
      <c r="A3522" t="s">
        <v>145</v>
      </c>
      <c r="B3522" t="s">
        <v>369</v>
      </c>
      <c r="C3522">
        <v>76.7</v>
      </c>
      <c r="D3522">
        <f t="shared" si="108"/>
        <v>85</v>
      </c>
      <c r="E3522" t="str">
        <f t="shared" si="109"/>
        <v>85. Malaysia</v>
      </c>
    </row>
    <row r="3523" spans="1:5" x14ac:dyDescent="0.25">
      <c r="A3523" t="s">
        <v>170</v>
      </c>
      <c r="B3523" t="s">
        <v>369</v>
      </c>
      <c r="C3523">
        <v>76.599999999999994</v>
      </c>
      <c r="D3523">
        <f t="shared" ref="D3523:D3586" si="110">IF(ROW() = 2, 1, IF(B3523 = B3522, D3522 + 1, 1))</f>
        <v>86</v>
      </c>
      <c r="E3523" t="str">
        <f t="shared" ref="E3523:E3586" si="111">_xlfn.CONCAT(D3523, ". ", A3523)</f>
        <v>86. Romania</v>
      </c>
    </row>
    <row r="3524" spans="1:5" x14ac:dyDescent="0.25">
      <c r="A3524" t="s">
        <v>202</v>
      </c>
      <c r="B3524" t="s">
        <v>369</v>
      </c>
      <c r="C3524">
        <v>76.5</v>
      </c>
      <c r="D3524">
        <f t="shared" si="110"/>
        <v>87</v>
      </c>
      <c r="E3524" t="str">
        <f t="shared" si="111"/>
        <v>87. Tunisia</v>
      </c>
    </row>
    <row r="3525" spans="1:5" x14ac:dyDescent="0.25">
      <c r="A3525" t="s">
        <v>10</v>
      </c>
      <c r="B3525" t="s">
        <v>369</v>
      </c>
      <c r="C3525">
        <v>76.400000000000006</v>
      </c>
      <c r="D3525">
        <f t="shared" si="110"/>
        <v>88</v>
      </c>
      <c r="E3525" t="str">
        <f t="shared" si="111"/>
        <v>88. Aruba</v>
      </c>
    </row>
    <row r="3526" spans="1:5" x14ac:dyDescent="0.25">
      <c r="A3526" t="s">
        <v>190</v>
      </c>
      <c r="B3526" t="s">
        <v>369</v>
      </c>
      <c r="C3526">
        <v>76.400000000000006</v>
      </c>
      <c r="D3526">
        <f t="shared" si="110"/>
        <v>89</v>
      </c>
      <c r="E3526" t="str">
        <f t="shared" si="111"/>
        <v>89. Sint Maarten (Dutch part)</v>
      </c>
    </row>
    <row r="3527" spans="1:5" x14ac:dyDescent="0.25">
      <c r="A3527" t="s">
        <v>196</v>
      </c>
      <c r="B3527" t="s">
        <v>369</v>
      </c>
      <c r="C3527">
        <v>76.400000000000006</v>
      </c>
      <c r="D3527">
        <f t="shared" si="110"/>
        <v>90</v>
      </c>
      <c r="E3527" t="str">
        <f t="shared" si="111"/>
        <v>90. Thailand</v>
      </c>
    </row>
    <row r="3528" spans="1:5" x14ac:dyDescent="0.25">
      <c r="A3528" t="s">
        <v>65</v>
      </c>
      <c r="B3528" t="s">
        <v>369</v>
      </c>
      <c r="C3528">
        <v>76.3</v>
      </c>
      <c r="D3528">
        <f t="shared" si="110"/>
        <v>91</v>
      </c>
      <c r="E3528" t="str">
        <f t="shared" si="111"/>
        <v>91. Algeria</v>
      </c>
    </row>
    <row r="3529" spans="1:5" x14ac:dyDescent="0.25">
      <c r="A3529" t="s">
        <v>37</v>
      </c>
      <c r="B3529" t="s">
        <v>369</v>
      </c>
      <c r="C3529">
        <v>76.2</v>
      </c>
      <c r="D3529">
        <f t="shared" si="110"/>
        <v>92</v>
      </c>
      <c r="E3529" t="str">
        <f t="shared" si="111"/>
        <v>92. Barbados</v>
      </c>
    </row>
    <row r="3530" spans="1:5" x14ac:dyDescent="0.25">
      <c r="A3530" t="s">
        <v>182</v>
      </c>
      <c r="B3530" t="s">
        <v>369</v>
      </c>
      <c r="C3530">
        <v>76.2</v>
      </c>
      <c r="D3530">
        <f t="shared" si="110"/>
        <v>93</v>
      </c>
      <c r="E3530" t="str">
        <f t="shared" si="111"/>
        <v>93. Serbia</v>
      </c>
    </row>
    <row r="3531" spans="1:5" x14ac:dyDescent="0.25">
      <c r="A3531" t="s">
        <v>53</v>
      </c>
      <c r="B3531" t="s">
        <v>369</v>
      </c>
      <c r="C3531">
        <v>76.099999999999994</v>
      </c>
      <c r="D3531">
        <f t="shared" si="110"/>
        <v>94</v>
      </c>
      <c r="E3531" t="str">
        <f t="shared" si="111"/>
        <v>94. Cabo Verde</v>
      </c>
    </row>
    <row r="3532" spans="1:5" x14ac:dyDescent="0.25">
      <c r="A3532" t="s">
        <v>36</v>
      </c>
      <c r="B3532" t="s">
        <v>369</v>
      </c>
      <c r="C3532">
        <v>75.8</v>
      </c>
      <c r="D3532">
        <f t="shared" si="110"/>
        <v>95</v>
      </c>
      <c r="E3532" t="str">
        <f t="shared" si="111"/>
        <v>95. Brazil</v>
      </c>
    </row>
    <row r="3533" spans="1:5" x14ac:dyDescent="0.25">
      <c r="A3533" t="s">
        <v>28</v>
      </c>
      <c r="B3533" t="s">
        <v>369</v>
      </c>
      <c r="C3533">
        <v>75.7</v>
      </c>
      <c r="D3533">
        <f t="shared" si="110"/>
        <v>96</v>
      </c>
      <c r="E3533" t="str">
        <f t="shared" si="111"/>
        <v>96. Bulgaria</v>
      </c>
    </row>
    <row r="3534" spans="1:5" x14ac:dyDescent="0.25">
      <c r="A3534" t="s">
        <v>125</v>
      </c>
      <c r="B3534" t="s">
        <v>369</v>
      </c>
      <c r="C3534">
        <v>75.7</v>
      </c>
      <c r="D3534">
        <f t="shared" si="110"/>
        <v>97</v>
      </c>
      <c r="E3534" t="str">
        <f t="shared" si="111"/>
        <v>97. Latvia</v>
      </c>
    </row>
    <row r="3535" spans="1:5" x14ac:dyDescent="0.25">
      <c r="A3535" t="s">
        <v>38</v>
      </c>
      <c r="B3535" t="s">
        <v>369</v>
      </c>
      <c r="C3535">
        <v>75.3</v>
      </c>
      <c r="D3535">
        <f t="shared" si="110"/>
        <v>98</v>
      </c>
      <c r="E3535" t="str">
        <f t="shared" si="111"/>
        <v>98. Brunei Darussalam</v>
      </c>
    </row>
    <row r="3536" spans="1:5" x14ac:dyDescent="0.25">
      <c r="A3536" t="s">
        <v>127</v>
      </c>
      <c r="B3536" t="s">
        <v>369</v>
      </c>
      <c r="C3536">
        <v>75.3</v>
      </c>
      <c r="D3536">
        <f t="shared" si="110"/>
        <v>99</v>
      </c>
      <c r="E3536" t="str">
        <f t="shared" si="111"/>
        <v>99. Morocco</v>
      </c>
    </row>
    <row r="3537" spans="1:5" x14ac:dyDescent="0.25">
      <c r="A3537" t="s">
        <v>134</v>
      </c>
      <c r="B3537" t="s">
        <v>369</v>
      </c>
      <c r="C3537">
        <v>75.3</v>
      </c>
      <c r="D3537">
        <f t="shared" si="110"/>
        <v>100</v>
      </c>
      <c r="E3537" t="str">
        <f t="shared" si="111"/>
        <v>100. North Macedonia</v>
      </c>
    </row>
    <row r="3538" spans="1:5" x14ac:dyDescent="0.25">
      <c r="A3538" t="s">
        <v>85</v>
      </c>
      <c r="B3538" t="s">
        <v>369</v>
      </c>
      <c r="C3538">
        <v>75.2</v>
      </c>
      <c r="D3538">
        <f t="shared" si="110"/>
        <v>101</v>
      </c>
      <c r="E3538" t="str">
        <f t="shared" si="111"/>
        <v>101. Grenada</v>
      </c>
    </row>
    <row r="3539" spans="1:5" x14ac:dyDescent="0.25">
      <c r="A3539" t="s">
        <v>132</v>
      </c>
      <c r="B3539" t="s">
        <v>369</v>
      </c>
      <c r="C3539">
        <v>75.099999999999994</v>
      </c>
      <c r="D3539">
        <f t="shared" si="110"/>
        <v>102</v>
      </c>
      <c r="E3539" t="str">
        <f t="shared" si="111"/>
        <v>102. Mexico</v>
      </c>
    </row>
    <row r="3540" spans="1:5" x14ac:dyDescent="0.25">
      <c r="A3540" t="s">
        <v>191</v>
      </c>
      <c r="B3540" t="s">
        <v>369</v>
      </c>
      <c r="C3540">
        <v>75</v>
      </c>
      <c r="D3540">
        <f t="shared" si="110"/>
        <v>103</v>
      </c>
      <c r="E3540" t="str">
        <f t="shared" si="111"/>
        <v>103. Seychelles</v>
      </c>
    </row>
    <row r="3541" spans="1:5" x14ac:dyDescent="0.25">
      <c r="A3541" t="s">
        <v>150</v>
      </c>
      <c r="B3541" t="s">
        <v>369</v>
      </c>
      <c r="C3541">
        <v>74.900000000000006</v>
      </c>
      <c r="D3541">
        <f t="shared" si="110"/>
        <v>104</v>
      </c>
      <c r="E3541" t="str">
        <f t="shared" si="111"/>
        <v>104. Nicaragua</v>
      </c>
    </row>
    <row r="3542" spans="1:5" x14ac:dyDescent="0.25">
      <c r="A3542" t="s">
        <v>27</v>
      </c>
      <c r="B3542" t="s">
        <v>369</v>
      </c>
      <c r="C3542">
        <v>74.7</v>
      </c>
      <c r="D3542">
        <f t="shared" si="110"/>
        <v>105</v>
      </c>
      <c r="E3542" t="str">
        <f t="shared" si="111"/>
        <v>105. Bangladesh</v>
      </c>
    </row>
    <row r="3543" spans="1:5" x14ac:dyDescent="0.25">
      <c r="A3543" t="s">
        <v>30</v>
      </c>
      <c r="B3543" t="s">
        <v>369</v>
      </c>
      <c r="C3543">
        <v>74.599999999999994</v>
      </c>
      <c r="D3543">
        <f t="shared" si="110"/>
        <v>106</v>
      </c>
      <c r="E3543" t="str">
        <f t="shared" si="111"/>
        <v>106. Bahamas, The</v>
      </c>
    </row>
    <row r="3544" spans="1:5" x14ac:dyDescent="0.25">
      <c r="A3544" t="s">
        <v>213</v>
      </c>
      <c r="B3544" t="s">
        <v>369</v>
      </c>
      <c r="C3544">
        <v>74.599999999999994</v>
      </c>
      <c r="D3544">
        <f t="shared" si="110"/>
        <v>107</v>
      </c>
      <c r="E3544" t="str">
        <f t="shared" si="111"/>
        <v>107. Viet Nam</v>
      </c>
    </row>
    <row r="3545" spans="1:5" x14ac:dyDescent="0.25">
      <c r="A3545" t="s">
        <v>78</v>
      </c>
      <c r="B3545" t="s">
        <v>369</v>
      </c>
      <c r="C3545">
        <v>74.5</v>
      </c>
      <c r="D3545">
        <f t="shared" si="110"/>
        <v>108</v>
      </c>
      <c r="E3545" t="str">
        <f t="shared" si="111"/>
        <v>108. Georgia</v>
      </c>
    </row>
    <row r="3546" spans="1:5" x14ac:dyDescent="0.25">
      <c r="A3546" t="s">
        <v>22</v>
      </c>
      <c r="B3546" t="s">
        <v>369</v>
      </c>
      <c r="C3546">
        <v>74.400000000000006</v>
      </c>
      <c r="D3546">
        <f t="shared" si="110"/>
        <v>109</v>
      </c>
      <c r="E3546" t="str">
        <f t="shared" si="111"/>
        <v>109. Azerbaijan</v>
      </c>
    </row>
    <row r="3547" spans="1:5" x14ac:dyDescent="0.25">
      <c r="A3547" t="s">
        <v>107</v>
      </c>
      <c r="B3547" t="s">
        <v>369</v>
      </c>
      <c r="C3547">
        <v>74.400000000000006</v>
      </c>
      <c r="D3547">
        <f t="shared" si="110"/>
        <v>110</v>
      </c>
      <c r="E3547" t="str">
        <f t="shared" si="111"/>
        <v>110. Kazakhstan</v>
      </c>
    </row>
    <row r="3548" spans="1:5" x14ac:dyDescent="0.25">
      <c r="A3548" t="s">
        <v>32</v>
      </c>
      <c r="B3548" t="s">
        <v>369</v>
      </c>
      <c r="C3548">
        <v>74.2</v>
      </c>
      <c r="D3548">
        <f t="shared" si="110"/>
        <v>111</v>
      </c>
      <c r="E3548" t="str">
        <f t="shared" si="111"/>
        <v>111. Belarus</v>
      </c>
    </row>
    <row r="3549" spans="1:5" x14ac:dyDescent="0.25">
      <c r="A3549" t="s">
        <v>166</v>
      </c>
      <c r="B3549" t="s">
        <v>369</v>
      </c>
      <c r="C3549">
        <v>73.8</v>
      </c>
      <c r="D3549">
        <f t="shared" si="110"/>
        <v>112</v>
      </c>
      <c r="E3549" t="str">
        <f t="shared" si="111"/>
        <v>112. Paraguay</v>
      </c>
    </row>
    <row r="3550" spans="1:5" x14ac:dyDescent="0.25">
      <c r="A3550" t="s">
        <v>64</v>
      </c>
      <c r="B3550" t="s">
        <v>369</v>
      </c>
      <c r="C3550">
        <v>73.7</v>
      </c>
      <c r="D3550">
        <f t="shared" si="110"/>
        <v>113</v>
      </c>
      <c r="E3550" t="str">
        <f t="shared" si="111"/>
        <v>113. Dominican Republic</v>
      </c>
    </row>
    <row r="3551" spans="1:5" x14ac:dyDescent="0.25">
      <c r="A3551" t="s">
        <v>33</v>
      </c>
      <c r="B3551" t="s">
        <v>369</v>
      </c>
      <c r="C3551">
        <v>73.599999999999994</v>
      </c>
      <c r="D3551">
        <f t="shared" si="110"/>
        <v>114</v>
      </c>
      <c r="E3551" t="str">
        <f t="shared" si="111"/>
        <v>114. Belize</v>
      </c>
    </row>
    <row r="3552" spans="1:5" x14ac:dyDescent="0.25">
      <c r="A3552" t="s">
        <v>185</v>
      </c>
      <c r="B3552" t="s">
        <v>369</v>
      </c>
      <c r="C3552">
        <v>73.599999999999994</v>
      </c>
      <c r="D3552">
        <f t="shared" si="110"/>
        <v>115</v>
      </c>
      <c r="E3552" t="str">
        <f t="shared" si="111"/>
        <v>115. Suriname</v>
      </c>
    </row>
    <row r="3553" spans="1:5" x14ac:dyDescent="0.25">
      <c r="A3553" t="s">
        <v>201</v>
      </c>
      <c r="B3553" t="s">
        <v>369</v>
      </c>
      <c r="C3553">
        <v>73.5</v>
      </c>
      <c r="D3553">
        <f t="shared" si="110"/>
        <v>116</v>
      </c>
      <c r="E3553" t="str">
        <f t="shared" si="111"/>
        <v>116. Trinidad and Tobago</v>
      </c>
    </row>
    <row r="3554" spans="1:5" x14ac:dyDescent="0.25">
      <c r="A3554" t="s">
        <v>143</v>
      </c>
      <c r="B3554" t="s">
        <v>369</v>
      </c>
      <c r="C3554">
        <v>73.400000000000006</v>
      </c>
      <c r="D3554">
        <f t="shared" si="110"/>
        <v>117</v>
      </c>
      <c r="E3554" t="str">
        <f t="shared" si="111"/>
        <v>117. Mauritius</v>
      </c>
    </row>
    <row r="3555" spans="1:5" x14ac:dyDescent="0.25">
      <c r="A3555" t="s">
        <v>207</v>
      </c>
      <c r="B3555" t="s">
        <v>369</v>
      </c>
      <c r="C3555">
        <v>73.400000000000006</v>
      </c>
      <c r="D3555">
        <f t="shared" si="110"/>
        <v>118</v>
      </c>
      <c r="E3555" t="str">
        <f t="shared" si="111"/>
        <v>118. Ukraine</v>
      </c>
    </row>
    <row r="3556" spans="1:5" x14ac:dyDescent="0.25">
      <c r="A3556" t="s">
        <v>171</v>
      </c>
      <c r="B3556" t="s">
        <v>369</v>
      </c>
      <c r="C3556">
        <v>73.3</v>
      </c>
      <c r="D3556">
        <f t="shared" si="110"/>
        <v>119</v>
      </c>
      <c r="E3556" t="str">
        <f t="shared" si="111"/>
        <v>119. Russian Federation</v>
      </c>
    </row>
    <row r="3557" spans="1:5" x14ac:dyDescent="0.25">
      <c r="A3557" t="s">
        <v>39</v>
      </c>
      <c r="B3557" t="s">
        <v>369</v>
      </c>
      <c r="C3557">
        <v>73</v>
      </c>
      <c r="D3557">
        <f t="shared" si="110"/>
        <v>120</v>
      </c>
      <c r="E3557" t="str">
        <f t="shared" si="111"/>
        <v>120. Bhutan</v>
      </c>
    </row>
    <row r="3558" spans="1:5" x14ac:dyDescent="0.25">
      <c r="A3558" t="s">
        <v>18</v>
      </c>
      <c r="B3558" t="s">
        <v>369</v>
      </c>
      <c r="C3558">
        <v>72.900000000000006</v>
      </c>
      <c r="D3558">
        <f t="shared" si="110"/>
        <v>121</v>
      </c>
      <c r="E3558" t="str">
        <f t="shared" si="111"/>
        <v>121. American Samoa</v>
      </c>
    </row>
    <row r="3559" spans="1:5" x14ac:dyDescent="0.25">
      <c r="A3559" t="s">
        <v>91</v>
      </c>
      <c r="B3559" t="s">
        <v>369</v>
      </c>
      <c r="C3559">
        <v>72.900000000000006</v>
      </c>
      <c r="D3559">
        <f t="shared" si="110"/>
        <v>122</v>
      </c>
      <c r="E3559" t="str">
        <f t="shared" si="111"/>
        <v>122. Honduras</v>
      </c>
    </row>
    <row r="3560" spans="1:5" x14ac:dyDescent="0.25">
      <c r="A3560" t="s">
        <v>200</v>
      </c>
      <c r="B3560" t="s">
        <v>369</v>
      </c>
      <c r="C3560">
        <v>72.900000000000006</v>
      </c>
      <c r="D3560">
        <f t="shared" si="110"/>
        <v>123</v>
      </c>
      <c r="E3560" t="str">
        <f t="shared" si="111"/>
        <v>123. Tonga</v>
      </c>
    </row>
    <row r="3561" spans="1:5" x14ac:dyDescent="0.25">
      <c r="A3561" t="s">
        <v>119</v>
      </c>
      <c r="B3561" t="s">
        <v>369</v>
      </c>
      <c r="C3561">
        <v>72.7</v>
      </c>
      <c r="D3561">
        <f t="shared" si="110"/>
        <v>124</v>
      </c>
      <c r="E3561" t="str">
        <f t="shared" si="111"/>
        <v>124. St. Lucia</v>
      </c>
    </row>
    <row r="3562" spans="1:5" x14ac:dyDescent="0.25">
      <c r="A3562" t="s">
        <v>87</v>
      </c>
      <c r="B3562" t="s">
        <v>369</v>
      </c>
      <c r="C3562">
        <v>72.599999999999994</v>
      </c>
      <c r="D3562">
        <f t="shared" si="110"/>
        <v>125</v>
      </c>
      <c r="E3562" t="str">
        <f t="shared" si="111"/>
        <v>125. Guatemala</v>
      </c>
    </row>
    <row r="3563" spans="1:5" x14ac:dyDescent="0.25">
      <c r="A3563" t="s">
        <v>223</v>
      </c>
      <c r="B3563" t="s">
        <v>369</v>
      </c>
      <c r="C3563">
        <v>72.5</v>
      </c>
      <c r="D3563">
        <f t="shared" si="110"/>
        <v>126</v>
      </c>
      <c r="E3563" t="str">
        <f t="shared" si="111"/>
        <v>126. Venezuela, RB</v>
      </c>
    </row>
    <row r="3564" spans="1:5" x14ac:dyDescent="0.25">
      <c r="A3564" t="s">
        <v>210</v>
      </c>
      <c r="B3564" t="s">
        <v>369</v>
      </c>
      <c r="C3564">
        <v>72.400000000000006</v>
      </c>
      <c r="D3564">
        <f t="shared" si="110"/>
        <v>127</v>
      </c>
      <c r="E3564" t="str">
        <f t="shared" si="111"/>
        <v>127. Uzbekistan</v>
      </c>
    </row>
    <row r="3565" spans="1:5" x14ac:dyDescent="0.25">
      <c r="A3565" t="s">
        <v>100</v>
      </c>
      <c r="B3565" t="s">
        <v>369</v>
      </c>
      <c r="C3565">
        <v>72.3</v>
      </c>
      <c r="D3565">
        <f t="shared" si="110"/>
        <v>128</v>
      </c>
      <c r="E3565" t="str">
        <f t="shared" si="111"/>
        <v>128. Iraq</v>
      </c>
    </row>
    <row r="3566" spans="1:5" x14ac:dyDescent="0.25">
      <c r="A3566" t="s">
        <v>109</v>
      </c>
      <c r="B3566" t="s">
        <v>369</v>
      </c>
      <c r="C3566">
        <v>72.2</v>
      </c>
      <c r="D3566">
        <f t="shared" si="110"/>
        <v>129</v>
      </c>
      <c r="E3566" t="str">
        <f t="shared" si="111"/>
        <v>129. Kyrgyz Republic</v>
      </c>
    </row>
    <row r="3567" spans="1:5" x14ac:dyDescent="0.25">
      <c r="A3567" t="s">
        <v>179</v>
      </c>
      <c r="B3567" t="s">
        <v>369</v>
      </c>
      <c r="C3567">
        <v>72.099999999999994</v>
      </c>
      <c r="D3567">
        <f t="shared" si="110"/>
        <v>130</v>
      </c>
      <c r="E3567" t="str">
        <f t="shared" si="111"/>
        <v>130. El Salvador</v>
      </c>
    </row>
    <row r="3568" spans="1:5" x14ac:dyDescent="0.25">
      <c r="A3568" t="s">
        <v>139</v>
      </c>
      <c r="B3568" t="s">
        <v>369</v>
      </c>
      <c r="C3568">
        <v>72.099999999999994</v>
      </c>
      <c r="D3568">
        <f t="shared" si="110"/>
        <v>131</v>
      </c>
      <c r="E3568" t="str">
        <f t="shared" si="111"/>
        <v>131. Mongolia</v>
      </c>
    </row>
    <row r="3569" spans="1:5" x14ac:dyDescent="0.25">
      <c r="A3569" t="s">
        <v>112</v>
      </c>
      <c r="B3569" t="s">
        <v>369</v>
      </c>
      <c r="C3569">
        <v>72.099999999999994</v>
      </c>
      <c r="D3569">
        <f t="shared" si="110"/>
        <v>132</v>
      </c>
      <c r="E3569" t="str">
        <f t="shared" si="111"/>
        <v>132. St. Kitts and Nevis</v>
      </c>
    </row>
    <row r="3570" spans="1:5" x14ac:dyDescent="0.25">
      <c r="A3570" t="s">
        <v>192</v>
      </c>
      <c r="B3570" t="s">
        <v>369</v>
      </c>
      <c r="C3570">
        <v>72.099999999999994</v>
      </c>
      <c r="D3570">
        <f t="shared" si="110"/>
        <v>133</v>
      </c>
      <c r="E3570" t="str">
        <f t="shared" si="111"/>
        <v>133. Syrian Arab Republic</v>
      </c>
    </row>
    <row r="3571" spans="1:5" x14ac:dyDescent="0.25">
      <c r="A3571" t="s">
        <v>97</v>
      </c>
      <c r="B3571" t="s">
        <v>369</v>
      </c>
      <c r="C3571">
        <v>72</v>
      </c>
      <c r="D3571">
        <f t="shared" si="110"/>
        <v>134</v>
      </c>
      <c r="E3571" t="str">
        <f t="shared" si="111"/>
        <v>134. India</v>
      </c>
    </row>
    <row r="3572" spans="1:5" x14ac:dyDescent="0.25">
      <c r="A3572" t="s">
        <v>197</v>
      </c>
      <c r="B3572" t="s">
        <v>369</v>
      </c>
      <c r="C3572">
        <v>71.8</v>
      </c>
      <c r="D3572">
        <f t="shared" si="110"/>
        <v>135</v>
      </c>
      <c r="E3572" t="str">
        <f t="shared" si="111"/>
        <v>135. Tajikistan</v>
      </c>
    </row>
    <row r="3573" spans="1:5" x14ac:dyDescent="0.25">
      <c r="A3573" t="s">
        <v>215</v>
      </c>
      <c r="B3573" t="s">
        <v>369</v>
      </c>
      <c r="C3573">
        <v>71.7</v>
      </c>
      <c r="D3573">
        <f t="shared" si="110"/>
        <v>136</v>
      </c>
      <c r="E3573" t="str">
        <f t="shared" si="111"/>
        <v>136. Samoa</v>
      </c>
    </row>
    <row r="3574" spans="1:5" x14ac:dyDescent="0.25">
      <c r="A3574" t="s">
        <v>67</v>
      </c>
      <c r="B3574" t="s">
        <v>369</v>
      </c>
      <c r="C3574">
        <v>71.599999999999994</v>
      </c>
      <c r="D3574">
        <f t="shared" si="110"/>
        <v>137</v>
      </c>
      <c r="E3574" t="str">
        <f t="shared" si="111"/>
        <v>137. Egypt, Arab Rep.</v>
      </c>
    </row>
    <row r="3575" spans="1:5" x14ac:dyDescent="0.25">
      <c r="A3575" t="s">
        <v>86</v>
      </c>
      <c r="B3575" t="s">
        <v>369</v>
      </c>
      <c r="C3575">
        <v>71.5</v>
      </c>
      <c r="D3575">
        <f t="shared" si="110"/>
        <v>138</v>
      </c>
      <c r="E3575" t="str">
        <f t="shared" si="111"/>
        <v>138. Greenland</v>
      </c>
    </row>
    <row r="3576" spans="1:5" x14ac:dyDescent="0.25">
      <c r="A3576" t="s">
        <v>104</v>
      </c>
      <c r="B3576" t="s">
        <v>369</v>
      </c>
      <c r="C3576">
        <v>71.5</v>
      </c>
      <c r="D3576">
        <f t="shared" si="110"/>
        <v>139</v>
      </c>
      <c r="E3576" t="str">
        <f t="shared" si="111"/>
        <v>139. Jamaica</v>
      </c>
    </row>
    <row r="3577" spans="1:5" x14ac:dyDescent="0.25">
      <c r="A3577" t="s">
        <v>214</v>
      </c>
      <c r="B3577" t="s">
        <v>369</v>
      </c>
      <c r="C3577">
        <v>71.5</v>
      </c>
      <c r="D3577">
        <f t="shared" si="110"/>
        <v>140</v>
      </c>
      <c r="E3577" t="str">
        <f t="shared" si="111"/>
        <v>140. Vanuatu</v>
      </c>
    </row>
    <row r="3578" spans="1:5" x14ac:dyDescent="0.25">
      <c r="A3578" t="s">
        <v>129</v>
      </c>
      <c r="B3578" t="s">
        <v>369</v>
      </c>
      <c r="C3578">
        <v>71.2</v>
      </c>
      <c r="D3578">
        <f t="shared" si="110"/>
        <v>141</v>
      </c>
      <c r="E3578" t="str">
        <f t="shared" si="111"/>
        <v>141. Moldova</v>
      </c>
    </row>
    <row r="3579" spans="1:5" x14ac:dyDescent="0.25">
      <c r="A3579" t="s">
        <v>211</v>
      </c>
      <c r="B3579" t="s">
        <v>369</v>
      </c>
      <c r="C3579">
        <v>71.2</v>
      </c>
      <c r="D3579">
        <f t="shared" si="110"/>
        <v>142</v>
      </c>
      <c r="E3579" t="str">
        <f t="shared" si="111"/>
        <v>142. St. Vincent and the Grenadines</v>
      </c>
    </row>
    <row r="3580" spans="1:5" x14ac:dyDescent="0.25">
      <c r="A3580" t="s">
        <v>62</v>
      </c>
      <c r="B3580" t="s">
        <v>369</v>
      </c>
      <c r="C3580">
        <v>71.099999999999994</v>
      </c>
      <c r="D3580">
        <f t="shared" si="110"/>
        <v>143</v>
      </c>
      <c r="E3580" t="str">
        <f t="shared" si="111"/>
        <v>143. Dominica</v>
      </c>
    </row>
    <row r="3581" spans="1:5" x14ac:dyDescent="0.25">
      <c r="A3581" t="s">
        <v>95</v>
      </c>
      <c r="B3581" t="s">
        <v>369</v>
      </c>
      <c r="C3581">
        <v>71.099999999999994</v>
      </c>
      <c r="D3581">
        <f t="shared" si="110"/>
        <v>144</v>
      </c>
      <c r="E3581" t="str">
        <f t="shared" si="111"/>
        <v>144. Indonesia</v>
      </c>
    </row>
    <row r="3582" spans="1:5" x14ac:dyDescent="0.25">
      <c r="A3582" t="s">
        <v>110</v>
      </c>
      <c r="B3582" t="s">
        <v>369</v>
      </c>
      <c r="C3582">
        <v>70.7</v>
      </c>
      <c r="D3582">
        <f t="shared" si="110"/>
        <v>145</v>
      </c>
      <c r="E3582" t="str">
        <f t="shared" si="111"/>
        <v>145. Cambodia</v>
      </c>
    </row>
    <row r="3583" spans="1:5" x14ac:dyDescent="0.25">
      <c r="A3583" t="s">
        <v>177</v>
      </c>
      <c r="B3583" t="s">
        <v>369</v>
      </c>
      <c r="C3583">
        <v>70.5</v>
      </c>
      <c r="D3583">
        <f t="shared" si="110"/>
        <v>146</v>
      </c>
      <c r="E3583" t="str">
        <f t="shared" si="111"/>
        <v>146. Solomon Islands</v>
      </c>
    </row>
    <row r="3584" spans="1:5" x14ac:dyDescent="0.25">
      <c r="A3584" t="s">
        <v>153</v>
      </c>
      <c r="B3584" t="s">
        <v>369</v>
      </c>
      <c r="C3584">
        <v>70.400000000000006</v>
      </c>
      <c r="D3584">
        <f t="shared" si="110"/>
        <v>147</v>
      </c>
      <c r="E3584" t="str">
        <f t="shared" si="111"/>
        <v>147. Nepal</v>
      </c>
    </row>
    <row r="3585" spans="1:5" x14ac:dyDescent="0.25">
      <c r="A3585" t="s">
        <v>89</v>
      </c>
      <c r="B3585" t="s">
        <v>369</v>
      </c>
      <c r="C3585">
        <v>70.2</v>
      </c>
      <c r="D3585">
        <f t="shared" si="110"/>
        <v>148</v>
      </c>
      <c r="E3585" t="str">
        <f t="shared" si="111"/>
        <v>148. Guyana</v>
      </c>
    </row>
    <row r="3586" spans="1:5" x14ac:dyDescent="0.25">
      <c r="A3586" t="s">
        <v>198</v>
      </c>
      <c r="B3586" t="s">
        <v>369</v>
      </c>
      <c r="C3586">
        <v>70.099999999999994</v>
      </c>
      <c r="D3586">
        <f t="shared" si="110"/>
        <v>149</v>
      </c>
      <c r="E3586" t="str">
        <f t="shared" si="111"/>
        <v>149. Turkmenistan</v>
      </c>
    </row>
    <row r="3587" spans="1:5" x14ac:dyDescent="0.25">
      <c r="A3587" t="s">
        <v>160</v>
      </c>
      <c r="B3587" t="s">
        <v>369</v>
      </c>
      <c r="C3587">
        <v>69.8</v>
      </c>
      <c r="D3587">
        <f t="shared" ref="D3587:D3650" si="112">IF(ROW() = 2, 1, IF(B3587 = B3586, D3586 + 1, 1))</f>
        <v>150</v>
      </c>
      <c r="E3587" t="str">
        <f t="shared" ref="E3587:E3650" si="113">_xlfn.CONCAT(D3587, ". ", A3587)</f>
        <v>150. Philippines</v>
      </c>
    </row>
    <row r="3588" spans="1:5" x14ac:dyDescent="0.25">
      <c r="A3588" t="s">
        <v>184</v>
      </c>
      <c r="B3588" t="s">
        <v>369</v>
      </c>
      <c r="C3588">
        <v>69.7</v>
      </c>
      <c r="D3588">
        <f t="shared" si="112"/>
        <v>151</v>
      </c>
      <c r="E3588" t="str">
        <f t="shared" si="113"/>
        <v>151. Sao Tome and Principe</v>
      </c>
    </row>
    <row r="3589" spans="1:5" x14ac:dyDescent="0.25">
      <c r="A3589" t="s">
        <v>118</v>
      </c>
      <c r="B3589" t="s">
        <v>369</v>
      </c>
      <c r="C3589">
        <v>69.3</v>
      </c>
      <c r="D3589">
        <f t="shared" si="112"/>
        <v>152</v>
      </c>
      <c r="E3589" t="str">
        <f t="shared" si="113"/>
        <v>152. Libya</v>
      </c>
    </row>
    <row r="3590" spans="1:5" x14ac:dyDescent="0.25">
      <c r="A3590" t="s">
        <v>161</v>
      </c>
      <c r="B3590" t="s">
        <v>369</v>
      </c>
      <c r="C3590">
        <v>69.3</v>
      </c>
      <c r="D3590">
        <f t="shared" si="112"/>
        <v>153</v>
      </c>
      <c r="E3590" t="str">
        <f t="shared" si="113"/>
        <v>153. Palau</v>
      </c>
    </row>
    <row r="3591" spans="1:5" x14ac:dyDescent="0.25">
      <c r="A3591" t="s">
        <v>217</v>
      </c>
      <c r="B3591" t="s">
        <v>369</v>
      </c>
      <c r="C3591">
        <v>69.3</v>
      </c>
      <c r="D3591">
        <f t="shared" si="112"/>
        <v>154</v>
      </c>
      <c r="E3591" t="str">
        <f t="shared" si="113"/>
        <v>154. Yemen, Rep.</v>
      </c>
    </row>
    <row r="3592" spans="1:5" x14ac:dyDescent="0.25">
      <c r="A3592" t="s">
        <v>40</v>
      </c>
      <c r="B3592" t="s">
        <v>369</v>
      </c>
      <c r="C3592">
        <v>69.2</v>
      </c>
      <c r="D3592">
        <f t="shared" si="112"/>
        <v>155</v>
      </c>
      <c r="E3592" t="str">
        <f t="shared" si="113"/>
        <v>155. Botswana</v>
      </c>
    </row>
    <row r="3593" spans="1:5" x14ac:dyDescent="0.25">
      <c r="A3593" t="s">
        <v>115</v>
      </c>
      <c r="B3593" t="s">
        <v>369</v>
      </c>
      <c r="C3593">
        <v>69</v>
      </c>
      <c r="D3593">
        <f t="shared" si="112"/>
        <v>156</v>
      </c>
      <c r="E3593" t="str">
        <f t="shared" si="113"/>
        <v>156. Lao PDR</v>
      </c>
    </row>
    <row r="3594" spans="1:5" x14ac:dyDescent="0.25">
      <c r="A3594" t="s">
        <v>175</v>
      </c>
      <c r="B3594" t="s">
        <v>369</v>
      </c>
      <c r="C3594">
        <v>68.7</v>
      </c>
      <c r="D3594">
        <f t="shared" si="112"/>
        <v>157</v>
      </c>
      <c r="E3594" t="str">
        <f t="shared" si="113"/>
        <v>157. Senegal</v>
      </c>
    </row>
    <row r="3595" spans="1:5" x14ac:dyDescent="0.25">
      <c r="A3595" t="s">
        <v>35</v>
      </c>
      <c r="B3595" t="s">
        <v>369</v>
      </c>
      <c r="C3595">
        <v>68.599999999999994</v>
      </c>
      <c r="D3595">
        <f t="shared" si="112"/>
        <v>158</v>
      </c>
      <c r="E3595" t="str">
        <f t="shared" si="113"/>
        <v>158. Bolivia</v>
      </c>
    </row>
    <row r="3596" spans="1:5" x14ac:dyDescent="0.25">
      <c r="A3596" t="s">
        <v>224</v>
      </c>
      <c r="B3596" t="s">
        <v>369</v>
      </c>
      <c r="C3596">
        <v>68.599999999999994</v>
      </c>
      <c r="D3596">
        <f t="shared" si="112"/>
        <v>159</v>
      </c>
      <c r="E3596" t="str">
        <f t="shared" si="113"/>
        <v>159. Eritrea</v>
      </c>
    </row>
    <row r="3597" spans="1:5" x14ac:dyDescent="0.25">
      <c r="A3597" t="s">
        <v>142</v>
      </c>
      <c r="B3597" t="s">
        <v>369</v>
      </c>
      <c r="C3597">
        <v>68.5</v>
      </c>
      <c r="D3597">
        <f t="shared" si="112"/>
        <v>160</v>
      </c>
      <c r="E3597" t="str">
        <f t="shared" si="113"/>
        <v>160. Mauritania</v>
      </c>
    </row>
    <row r="3598" spans="1:5" x14ac:dyDescent="0.25">
      <c r="A3598" t="s">
        <v>76</v>
      </c>
      <c r="B3598" t="s">
        <v>369</v>
      </c>
      <c r="C3598">
        <v>68.3</v>
      </c>
      <c r="D3598">
        <f t="shared" si="112"/>
        <v>161</v>
      </c>
      <c r="E3598" t="str">
        <f t="shared" si="113"/>
        <v>161. Gabon</v>
      </c>
    </row>
    <row r="3599" spans="1:5" x14ac:dyDescent="0.25">
      <c r="A3599" t="s">
        <v>206</v>
      </c>
      <c r="B3599" t="s">
        <v>369</v>
      </c>
      <c r="C3599">
        <v>68.3</v>
      </c>
      <c r="D3599">
        <f t="shared" si="112"/>
        <v>162</v>
      </c>
      <c r="E3599" t="str">
        <f t="shared" si="113"/>
        <v>162. Uganda</v>
      </c>
    </row>
    <row r="3600" spans="1:5" x14ac:dyDescent="0.25">
      <c r="A3600" t="s">
        <v>172</v>
      </c>
      <c r="B3600" t="s">
        <v>369</v>
      </c>
      <c r="C3600">
        <v>67.8</v>
      </c>
      <c r="D3600">
        <f t="shared" si="112"/>
        <v>163</v>
      </c>
      <c r="E3600" t="str">
        <f t="shared" si="113"/>
        <v>163. Rwanda</v>
      </c>
    </row>
    <row r="3601" spans="1:5" x14ac:dyDescent="0.25">
      <c r="A3601" t="s">
        <v>199</v>
      </c>
      <c r="B3601" t="s">
        <v>369</v>
      </c>
      <c r="C3601">
        <v>67.7</v>
      </c>
      <c r="D3601">
        <f t="shared" si="112"/>
        <v>164</v>
      </c>
      <c r="E3601" t="str">
        <f t="shared" si="113"/>
        <v>164. Timor-Leste</v>
      </c>
    </row>
    <row r="3602" spans="1:5" x14ac:dyDescent="0.25">
      <c r="A3602" t="s">
        <v>157</v>
      </c>
      <c r="B3602" t="s">
        <v>369</v>
      </c>
      <c r="C3602">
        <v>67.599999999999994</v>
      </c>
      <c r="D3602">
        <f t="shared" si="112"/>
        <v>165</v>
      </c>
      <c r="E3602" t="str">
        <f t="shared" si="113"/>
        <v>165. Pakistan</v>
      </c>
    </row>
    <row r="3603" spans="1:5" x14ac:dyDescent="0.25">
      <c r="A3603" t="s">
        <v>144</v>
      </c>
      <c r="B3603" t="s">
        <v>369</v>
      </c>
      <c r="C3603">
        <v>67.400000000000006</v>
      </c>
      <c r="D3603">
        <f t="shared" si="112"/>
        <v>166</v>
      </c>
      <c r="E3603" t="str">
        <f t="shared" si="113"/>
        <v>166. Malawi</v>
      </c>
    </row>
    <row r="3604" spans="1:5" x14ac:dyDescent="0.25">
      <c r="A3604" t="s">
        <v>146</v>
      </c>
      <c r="B3604" t="s">
        <v>369</v>
      </c>
      <c r="C3604">
        <v>67.400000000000006</v>
      </c>
      <c r="D3604">
        <f t="shared" si="112"/>
        <v>167</v>
      </c>
      <c r="E3604" t="str">
        <f t="shared" si="113"/>
        <v>167. Namibia</v>
      </c>
    </row>
    <row r="3605" spans="1:5" x14ac:dyDescent="0.25">
      <c r="A3605" t="s">
        <v>70</v>
      </c>
      <c r="B3605" t="s">
        <v>369</v>
      </c>
      <c r="C3605">
        <v>67.3</v>
      </c>
      <c r="D3605">
        <f t="shared" si="112"/>
        <v>168</v>
      </c>
      <c r="E3605" t="str">
        <f t="shared" si="113"/>
        <v>168. Ethiopia</v>
      </c>
    </row>
    <row r="3606" spans="1:5" x14ac:dyDescent="0.25">
      <c r="A3606" t="s">
        <v>72</v>
      </c>
      <c r="B3606" t="s">
        <v>369</v>
      </c>
      <c r="C3606">
        <v>67.3</v>
      </c>
      <c r="D3606">
        <f t="shared" si="112"/>
        <v>169</v>
      </c>
      <c r="E3606" t="str">
        <f t="shared" si="113"/>
        <v>169. Fiji</v>
      </c>
    </row>
    <row r="3607" spans="1:5" x14ac:dyDescent="0.25">
      <c r="A3607" t="s">
        <v>75</v>
      </c>
      <c r="B3607" t="s">
        <v>369</v>
      </c>
      <c r="C3607">
        <v>67.2</v>
      </c>
      <c r="D3607">
        <f t="shared" si="112"/>
        <v>170</v>
      </c>
      <c r="E3607" t="str">
        <f t="shared" si="113"/>
        <v>170. Micronesia, Fed. Sts.</v>
      </c>
    </row>
    <row r="3608" spans="1:5" x14ac:dyDescent="0.25">
      <c r="A3608" t="s">
        <v>204</v>
      </c>
      <c r="B3608" t="s">
        <v>369</v>
      </c>
      <c r="C3608">
        <v>67.099999999999994</v>
      </c>
      <c r="D3608">
        <f t="shared" si="112"/>
        <v>171</v>
      </c>
      <c r="E3608" t="str">
        <f t="shared" si="113"/>
        <v>171. Tuvalu</v>
      </c>
    </row>
    <row r="3609" spans="1:5" x14ac:dyDescent="0.25">
      <c r="A3609" t="s">
        <v>205</v>
      </c>
      <c r="B3609" t="s">
        <v>369</v>
      </c>
      <c r="C3609">
        <v>67</v>
      </c>
      <c r="D3609">
        <f t="shared" si="112"/>
        <v>172</v>
      </c>
      <c r="E3609" t="str">
        <f t="shared" si="113"/>
        <v>172. Tanzania</v>
      </c>
    </row>
    <row r="3610" spans="1:5" x14ac:dyDescent="0.25">
      <c r="A3610" t="s">
        <v>133</v>
      </c>
      <c r="B3610" t="s">
        <v>369</v>
      </c>
      <c r="C3610">
        <v>66.900000000000006</v>
      </c>
      <c r="D3610">
        <f t="shared" si="112"/>
        <v>173</v>
      </c>
      <c r="E3610" t="str">
        <f t="shared" si="113"/>
        <v>173. Marshall Islands</v>
      </c>
    </row>
    <row r="3611" spans="1:5" x14ac:dyDescent="0.25">
      <c r="A3611" t="s">
        <v>137</v>
      </c>
      <c r="B3611" t="s">
        <v>369</v>
      </c>
      <c r="C3611">
        <v>66.900000000000006</v>
      </c>
      <c r="D3611">
        <f t="shared" si="112"/>
        <v>174</v>
      </c>
      <c r="E3611" t="str">
        <f t="shared" si="113"/>
        <v>174. Myanmar</v>
      </c>
    </row>
    <row r="3612" spans="1:5" x14ac:dyDescent="0.25">
      <c r="A3612" t="s">
        <v>52</v>
      </c>
      <c r="B3612" t="s">
        <v>369</v>
      </c>
      <c r="C3612">
        <v>66.8</v>
      </c>
      <c r="D3612">
        <f t="shared" si="112"/>
        <v>175</v>
      </c>
      <c r="E3612" t="str">
        <f t="shared" si="113"/>
        <v>175. Comoros</v>
      </c>
    </row>
    <row r="3613" spans="1:5" x14ac:dyDescent="0.25">
      <c r="A3613" t="s">
        <v>111</v>
      </c>
      <c r="B3613" t="s">
        <v>369</v>
      </c>
      <c r="C3613">
        <v>66.5</v>
      </c>
      <c r="D3613">
        <f t="shared" si="112"/>
        <v>176</v>
      </c>
      <c r="E3613" t="str">
        <f t="shared" si="113"/>
        <v>176. Kiribati</v>
      </c>
    </row>
    <row r="3614" spans="1:5" x14ac:dyDescent="0.25">
      <c r="A3614" t="s">
        <v>174</v>
      </c>
      <c r="B3614" t="s">
        <v>369</v>
      </c>
      <c r="C3614">
        <v>66.3</v>
      </c>
      <c r="D3614">
        <f t="shared" si="112"/>
        <v>177</v>
      </c>
      <c r="E3614" t="str">
        <f t="shared" si="113"/>
        <v>177. Sudan</v>
      </c>
    </row>
    <row r="3615" spans="1:5" x14ac:dyDescent="0.25">
      <c r="A3615" t="s">
        <v>219</v>
      </c>
      <c r="B3615" t="s">
        <v>369</v>
      </c>
      <c r="C3615">
        <v>66.3</v>
      </c>
      <c r="D3615">
        <f t="shared" si="112"/>
        <v>178</v>
      </c>
      <c r="E3615" t="str">
        <f t="shared" si="113"/>
        <v>178. Zambia</v>
      </c>
    </row>
    <row r="3616" spans="1:5" x14ac:dyDescent="0.25">
      <c r="A3616" t="s">
        <v>162</v>
      </c>
      <c r="B3616" t="s">
        <v>369</v>
      </c>
      <c r="C3616">
        <v>66.099999999999994</v>
      </c>
      <c r="D3616">
        <f t="shared" si="112"/>
        <v>179</v>
      </c>
      <c r="E3616" t="str">
        <f t="shared" si="113"/>
        <v>179. Papua New Guinea</v>
      </c>
    </row>
    <row r="3617" spans="1:5" x14ac:dyDescent="0.25">
      <c r="A3617" t="s">
        <v>218</v>
      </c>
      <c r="B3617" t="s">
        <v>369</v>
      </c>
      <c r="C3617">
        <v>66.099999999999994</v>
      </c>
      <c r="D3617">
        <f t="shared" si="112"/>
        <v>180</v>
      </c>
      <c r="E3617" t="str">
        <f t="shared" si="113"/>
        <v>180. South Africa</v>
      </c>
    </row>
    <row r="3618" spans="1:5" x14ac:dyDescent="0.25">
      <c r="A3618" t="s">
        <v>11</v>
      </c>
      <c r="B3618" t="s">
        <v>369</v>
      </c>
      <c r="C3618">
        <v>66</v>
      </c>
      <c r="D3618">
        <f t="shared" si="112"/>
        <v>181</v>
      </c>
      <c r="E3618" t="str">
        <f t="shared" si="113"/>
        <v>181. Afghanistan</v>
      </c>
    </row>
    <row r="3619" spans="1:5" x14ac:dyDescent="0.25">
      <c r="A3619" t="s">
        <v>61</v>
      </c>
      <c r="B3619" t="s">
        <v>369</v>
      </c>
      <c r="C3619">
        <v>66</v>
      </c>
      <c r="D3619">
        <f t="shared" si="112"/>
        <v>182</v>
      </c>
      <c r="E3619" t="str">
        <f t="shared" si="113"/>
        <v>182. Djibouti</v>
      </c>
    </row>
    <row r="3620" spans="1:5" x14ac:dyDescent="0.25">
      <c r="A3620" t="s">
        <v>81</v>
      </c>
      <c r="B3620" t="s">
        <v>369</v>
      </c>
      <c r="C3620">
        <v>65.900000000000006</v>
      </c>
      <c r="D3620">
        <f t="shared" si="112"/>
        <v>183</v>
      </c>
      <c r="E3620" t="str">
        <f t="shared" si="113"/>
        <v>183. Gambia, The</v>
      </c>
    </row>
    <row r="3621" spans="1:5" x14ac:dyDescent="0.25">
      <c r="A3621" t="s">
        <v>50</v>
      </c>
      <c r="B3621" t="s">
        <v>369</v>
      </c>
      <c r="C3621">
        <v>65.8</v>
      </c>
      <c r="D3621">
        <f t="shared" si="112"/>
        <v>184</v>
      </c>
      <c r="E3621" t="str">
        <f t="shared" si="113"/>
        <v>184. Congo, Rep.</v>
      </c>
    </row>
    <row r="3622" spans="1:5" x14ac:dyDescent="0.25">
      <c r="A3622" t="s">
        <v>79</v>
      </c>
      <c r="B3622" t="s">
        <v>369</v>
      </c>
      <c r="C3622">
        <v>65.5</v>
      </c>
      <c r="D3622">
        <f t="shared" si="112"/>
        <v>185</v>
      </c>
      <c r="E3622" t="str">
        <f t="shared" si="113"/>
        <v>185. Ghana</v>
      </c>
    </row>
    <row r="3623" spans="1:5" x14ac:dyDescent="0.25">
      <c r="A3623" t="s">
        <v>167</v>
      </c>
      <c r="B3623" t="s">
        <v>369</v>
      </c>
      <c r="C3623">
        <v>65.2</v>
      </c>
      <c r="D3623">
        <f t="shared" si="112"/>
        <v>186</v>
      </c>
      <c r="E3623" t="str">
        <f t="shared" si="113"/>
        <v>186. West Bank and Gaza</v>
      </c>
    </row>
    <row r="3624" spans="1:5" x14ac:dyDescent="0.25">
      <c r="A3624" t="s">
        <v>93</v>
      </c>
      <c r="B3624" t="s">
        <v>369</v>
      </c>
      <c r="C3624">
        <v>64.900000000000006</v>
      </c>
      <c r="D3624">
        <f t="shared" si="112"/>
        <v>187</v>
      </c>
      <c r="E3624" t="str">
        <f t="shared" si="113"/>
        <v>187. Haiti</v>
      </c>
    </row>
    <row r="3625" spans="1:5" x14ac:dyDescent="0.25">
      <c r="A3625" t="s">
        <v>12</v>
      </c>
      <c r="B3625" t="s">
        <v>369</v>
      </c>
      <c r="C3625">
        <v>64.599999999999994</v>
      </c>
      <c r="D3625">
        <f t="shared" si="112"/>
        <v>188</v>
      </c>
      <c r="E3625" t="str">
        <f t="shared" si="113"/>
        <v>188. Angola</v>
      </c>
    </row>
    <row r="3626" spans="1:5" x14ac:dyDescent="0.25">
      <c r="A3626" t="s">
        <v>189</v>
      </c>
      <c r="B3626" t="s">
        <v>369</v>
      </c>
      <c r="C3626">
        <v>64.099999999999994</v>
      </c>
      <c r="D3626">
        <f t="shared" si="112"/>
        <v>189</v>
      </c>
      <c r="E3626" t="str">
        <f t="shared" si="113"/>
        <v>189. Eswatini</v>
      </c>
    </row>
    <row r="3627" spans="1:5" x14ac:dyDescent="0.25">
      <c r="A3627" t="s">
        <v>82</v>
      </c>
      <c r="B3627" t="s">
        <v>369</v>
      </c>
      <c r="C3627">
        <v>64.099999999999994</v>
      </c>
      <c r="D3627">
        <f t="shared" si="112"/>
        <v>190</v>
      </c>
      <c r="E3627" t="str">
        <f t="shared" si="113"/>
        <v>190. Guinea-Bissau</v>
      </c>
    </row>
    <row r="3628" spans="1:5" x14ac:dyDescent="0.25">
      <c r="A3628" t="s">
        <v>23</v>
      </c>
      <c r="B3628" t="s">
        <v>369</v>
      </c>
      <c r="C3628">
        <v>63.7</v>
      </c>
      <c r="D3628">
        <f t="shared" si="112"/>
        <v>191</v>
      </c>
      <c r="E3628" t="str">
        <f t="shared" si="113"/>
        <v>191. Burundi</v>
      </c>
    </row>
    <row r="3629" spans="1:5" x14ac:dyDescent="0.25">
      <c r="A3629" t="s">
        <v>48</v>
      </c>
      <c r="B3629" t="s">
        <v>369</v>
      </c>
      <c r="C3629">
        <v>63.7</v>
      </c>
      <c r="D3629">
        <f t="shared" si="112"/>
        <v>192</v>
      </c>
      <c r="E3629" t="str">
        <f t="shared" si="113"/>
        <v>192. Cameroon</v>
      </c>
    </row>
    <row r="3630" spans="1:5" x14ac:dyDescent="0.25">
      <c r="A3630" t="s">
        <v>83</v>
      </c>
      <c r="B3630" t="s">
        <v>369</v>
      </c>
      <c r="C3630">
        <v>63.7</v>
      </c>
      <c r="D3630">
        <f t="shared" si="112"/>
        <v>193</v>
      </c>
      <c r="E3630" t="str">
        <f t="shared" si="113"/>
        <v>193. Equatorial Guinea</v>
      </c>
    </row>
    <row r="3631" spans="1:5" x14ac:dyDescent="0.25">
      <c r="A3631" t="s">
        <v>108</v>
      </c>
      <c r="B3631" t="s">
        <v>369</v>
      </c>
      <c r="C3631">
        <v>63.6</v>
      </c>
      <c r="D3631">
        <f t="shared" si="112"/>
        <v>194</v>
      </c>
      <c r="E3631" t="str">
        <f t="shared" si="113"/>
        <v>194. Kenya</v>
      </c>
    </row>
    <row r="3632" spans="1:5" x14ac:dyDescent="0.25">
      <c r="A3632" t="s">
        <v>130</v>
      </c>
      <c r="B3632" t="s">
        <v>369</v>
      </c>
      <c r="C3632">
        <v>63.6</v>
      </c>
      <c r="D3632">
        <f t="shared" si="112"/>
        <v>195</v>
      </c>
      <c r="E3632" t="str">
        <f t="shared" si="113"/>
        <v>195. Madagascar</v>
      </c>
    </row>
    <row r="3633" spans="1:5" x14ac:dyDescent="0.25">
      <c r="A3633" t="s">
        <v>141</v>
      </c>
      <c r="B3633" t="s">
        <v>369</v>
      </c>
      <c r="C3633">
        <v>63.6</v>
      </c>
      <c r="D3633">
        <f t="shared" si="112"/>
        <v>196</v>
      </c>
      <c r="E3633" t="str">
        <f t="shared" si="113"/>
        <v>196. Mozambique</v>
      </c>
    </row>
    <row r="3634" spans="1:5" x14ac:dyDescent="0.25">
      <c r="A3634" t="s">
        <v>220</v>
      </c>
      <c r="B3634" t="s">
        <v>369</v>
      </c>
      <c r="C3634">
        <v>62.8</v>
      </c>
      <c r="D3634">
        <f t="shared" si="112"/>
        <v>197</v>
      </c>
      <c r="E3634" t="str">
        <f t="shared" si="113"/>
        <v>197. Zimbabwe</v>
      </c>
    </row>
    <row r="3635" spans="1:5" x14ac:dyDescent="0.25">
      <c r="A3635" t="s">
        <v>195</v>
      </c>
      <c r="B3635" t="s">
        <v>369</v>
      </c>
      <c r="C3635">
        <v>62.7</v>
      </c>
      <c r="D3635">
        <f t="shared" si="112"/>
        <v>198</v>
      </c>
      <c r="E3635" t="str">
        <f t="shared" si="113"/>
        <v>198. Togo</v>
      </c>
    </row>
    <row r="3636" spans="1:5" x14ac:dyDescent="0.25">
      <c r="A3636" t="s">
        <v>117</v>
      </c>
      <c r="B3636" t="s">
        <v>369</v>
      </c>
      <c r="C3636">
        <v>62.2</v>
      </c>
      <c r="D3636">
        <f t="shared" si="112"/>
        <v>199</v>
      </c>
      <c r="E3636" t="str">
        <f t="shared" si="113"/>
        <v>199. Liberia</v>
      </c>
    </row>
    <row r="3637" spans="1:5" x14ac:dyDescent="0.25">
      <c r="A3637" t="s">
        <v>154</v>
      </c>
      <c r="B3637" t="s">
        <v>369</v>
      </c>
      <c r="C3637">
        <v>62.1</v>
      </c>
      <c r="D3637">
        <f t="shared" si="112"/>
        <v>200</v>
      </c>
      <c r="E3637" t="str">
        <f t="shared" si="113"/>
        <v>200. Nauru</v>
      </c>
    </row>
    <row r="3638" spans="1:5" x14ac:dyDescent="0.25">
      <c r="A3638" t="s">
        <v>49</v>
      </c>
      <c r="B3638" t="s">
        <v>369</v>
      </c>
      <c r="C3638">
        <v>61.9</v>
      </c>
      <c r="D3638">
        <f t="shared" si="112"/>
        <v>201</v>
      </c>
      <c r="E3638" t="str">
        <f t="shared" si="113"/>
        <v>201. Congo, Dem. Rep.</v>
      </c>
    </row>
    <row r="3639" spans="1:5" x14ac:dyDescent="0.25">
      <c r="A3639" t="s">
        <v>47</v>
      </c>
      <c r="B3639" t="s">
        <v>369</v>
      </c>
      <c r="C3639">
        <v>61.9</v>
      </c>
      <c r="D3639">
        <f t="shared" si="112"/>
        <v>202</v>
      </c>
      <c r="E3639" t="str">
        <f t="shared" si="113"/>
        <v>202. Cote d'Ivoire</v>
      </c>
    </row>
    <row r="3640" spans="1:5" x14ac:dyDescent="0.25">
      <c r="A3640" t="s">
        <v>178</v>
      </c>
      <c r="B3640" t="s">
        <v>369</v>
      </c>
      <c r="C3640">
        <v>61.8</v>
      </c>
      <c r="D3640">
        <f t="shared" si="112"/>
        <v>203</v>
      </c>
      <c r="E3640" t="str">
        <f t="shared" si="113"/>
        <v>203. Sierra Leone</v>
      </c>
    </row>
    <row r="3641" spans="1:5" x14ac:dyDescent="0.25">
      <c r="A3641" t="s">
        <v>148</v>
      </c>
      <c r="B3641" t="s">
        <v>369</v>
      </c>
      <c r="C3641">
        <v>61.2</v>
      </c>
      <c r="D3641">
        <f t="shared" si="112"/>
        <v>204</v>
      </c>
      <c r="E3641" t="str">
        <f t="shared" si="113"/>
        <v>204. Niger</v>
      </c>
    </row>
    <row r="3642" spans="1:5" x14ac:dyDescent="0.25">
      <c r="A3642" t="s">
        <v>26</v>
      </c>
      <c r="B3642" t="s">
        <v>369</v>
      </c>
      <c r="C3642">
        <v>61.1</v>
      </c>
      <c r="D3642">
        <f t="shared" si="112"/>
        <v>205</v>
      </c>
      <c r="E3642" t="str">
        <f t="shared" si="113"/>
        <v>205. Burkina Faso</v>
      </c>
    </row>
    <row r="3643" spans="1:5" x14ac:dyDescent="0.25">
      <c r="A3643" t="s">
        <v>25</v>
      </c>
      <c r="B3643" t="s">
        <v>369</v>
      </c>
      <c r="C3643">
        <v>60.8</v>
      </c>
      <c r="D3643">
        <f t="shared" si="112"/>
        <v>206</v>
      </c>
      <c r="E3643" t="str">
        <f t="shared" si="113"/>
        <v>206. Benin</v>
      </c>
    </row>
    <row r="3644" spans="1:5" x14ac:dyDescent="0.25">
      <c r="A3644" t="s">
        <v>80</v>
      </c>
      <c r="B3644" t="s">
        <v>369</v>
      </c>
      <c r="C3644">
        <v>60.7</v>
      </c>
      <c r="D3644">
        <f t="shared" si="112"/>
        <v>207</v>
      </c>
      <c r="E3644" t="str">
        <f t="shared" si="113"/>
        <v>207. Guinea</v>
      </c>
    </row>
    <row r="3645" spans="1:5" x14ac:dyDescent="0.25">
      <c r="A3645" t="s">
        <v>135</v>
      </c>
      <c r="B3645" t="s">
        <v>369</v>
      </c>
      <c r="C3645">
        <v>60.4</v>
      </c>
      <c r="D3645">
        <f t="shared" si="112"/>
        <v>208</v>
      </c>
      <c r="E3645" t="str">
        <f t="shared" si="113"/>
        <v>208. Mali</v>
      </c>
    </row>
    <row r="3646" spans="1:5" x14ac:dyDescent="0.25">
      <c r="A3646" t="s">
        <v>222</v>
      </c>
      <c r="B3646" t="s">
        <v>369</v>
      </c>
      <c r="C3646">
        <v>58.8</v>
      </c>
      <c r="D3646">
        <f t="shared" si="112"/>
        <v>209</v>
      </c>
      <c r="E3646" t="str">
        <f t="shared" si="113"/>
        <v>209. Somalia, Fed. Rep.</v>
      </c>
    </row>
    <row r="3647" spans="1:5" x14ac:dyDescent="0.25">
      <c r="A3647" t="s">
        <v>183</v>
      </c>
      <c r="B3647" t="s">
        <v>369</v>
      </c>
      <c r="C3647">
        <v>57.6</v>
      </c>
      <c r="D3647">
        <f t="shared" si="112"/>
        <v>210</v>
      </c>
      <c r="E3647" t="str">
        <f t="shared" si="113"/>
        <v>210. South Sudan</v>
      </c>
    </row>
    <row r="3648" spans="1:5" x14ac:dyDescent="0.25">
      <c r="A3648" t="s">
        <v>41</v>
      </c>
      <c r="B3648" t="s">
        <v>369</v>
      </c>
      <c r="C3648">
        <v>57.4</v>
      </c>
      <c r="D3648">
        <f t="shared" si="112"/>
        <v>211</v>
      </c>
      <c r="E3648" t="str">
        <f t="shared" si="113"/>
        <v>211. Central African Republic</v>
      </c>
    </row>
    <row r="3649" spans="1:5" x14ac:dyDescent="0.25">
      <c r="A3649" t="s">
        <v>122</v>
      </c>
      <c r="B3649" t="s">
        <v>369</v>
      </c>
      <c r="C3649">
        <v>57.4</v>
      </c>
      <c r="D3649">
        <f t="shared" si="112"/>
        <v>212</v>
      </c>
      <c r="E3649" t="str">
        <f t="shared" si="113"/>
        <v>212. Lesotho</v>
      </c>
    </row>
    <row r="3650" spans="1:5" x14ac:dyDescent="0.25">
      <c r="A3650" t="s">
        <v>194</v>
      </c>
      <c r="B3650" t="s">
        <v>369</v>
      </c>
      <c r="C3650">
        <v>55.1</v>
      </c>
      <c r="D3650">
        <f t="shared" si="112"/>
        <v>213</v>
      </c>
      <c r="E3650" t="str">
        <f t="shared" si="113"/>
        <v>213. Chad</v>
      </c>
    </row>
    <row r="3651" spans="1:5" x14ac:dyDescent="0.25">
      <c r="A3651" t="s">
        <v>149</v>
      </c>
      <c r="B3651" t="s">
        <v>369</v>
      </c>
      <c r="C3651">
        <v>54.5</v>
      </c>
      <c r="D3651">
        <f t="shared" ref="D3651" si="114">IF(ROW() = 2, 1, IF(B3651 = B3650, D3650 + 1, 1))</f>
        <v>214</v>
      </c>
      <c r="E3651" t="str">
        <f t="shared" ref="E3651" si="115">_xlfn.CONCAT(D3651, ". ", A3651)</f>
        <v>214. Nigeria</v>
      </c>
    </row>
    <row r="3652" spans="1:5" x14ac:dyDescent="0.25">
      <c r="A3652" s="40" t="s">
        <v>209</v>
      </c>
      <c r="B3652" s="40" t="s">
        <v>448</v>
      </c>
      <c r="C3652" s="40">
        <v>1286.0999999999999</v>
      </c>
      <c r="D3652">
        <f t="shared" ref="D3652:D3715" si="116">IF(ROW() = 2, 1, IF(B3652 = B3651, D3651 + 1, 1))</f>
        <v>1</v>
      </c>
      <c r="E3652" t="str">
        <f t="shared" ref="E3652:E3715" si="117">_xlfn.CONCAT(D3652, ". ", A3652)</f>
        <v>1. United States</v>
      </c>
    </row>
    <row r="3653" spans="1:5" x14ac:dyDescent="0.25">
      <c r="A3653" s="40" t="s">
        <v>207</v>
      </c>
      <c r="B3653" s="40" t="s">
        <v>448</v>
      </c>
      <c r="C3653" s="40">
        <v>1146</v>
      </c>
      <c r="D3653">
        <f t="shared" si="116"/>
        <v>2</v>
      </c>
      <c r="E3653" t="str">
        <f t="shared" si="117"/>
        <v>2. Ukraine</v>
      </c>
    </row>
    <row r="3654" spans="1:5" x14ac:dyDescent="0.25">
      <c r="A3654" s="40" t="s">
        <v>192</v>
      </c>
      <c r="B3654" s="40" t="s">
        <v>448</v>
      </c>
      <c r="C3654" s="40">
        <v>546.5</v>
      </c>
      <c r="D3654">
        <f t="shared" si="116"/>
        <v>3</v>
      </c>
      <c r="E3654" t="str">
        <f t="shared" si="117"/>
        <v>3. Syrian Arab Republic</v>
      </c>
    </row>
    <row r="3655" spans="1:5" x14ac:dyDescent="0.25">
      <c r="A3655" s="40" t="s">
        <v>77</v>
      </c>
      <c r="B3655" s="40" t="s">
        <v>448</v>
      </c>
      <c r="C3655" s="40">
        <v>417.1</v>
      </c>
      <c r="D3655">
        <f t="shared" si="116"/>
        <v>4</v>
      </c>
      <c r="E3655" t="str">
        <f t="shared" si="117"/>
        <v>4. United Kingdom</v>
      </c>
    </row>
    <row r="3656" spans="1:5" x14ac:dyDescent="0.25">
      <c r="A3656" s="40" t="s">
        <v>42</v>
      </c>
      <c r="B3656" s="40" t="s">
        <v>448</v>
      </c>
      <c r="C3656" s="40">
        <v>368.6</v>
      </c>
      <c r="D3656">
        <f t="shared" si="116"/>
        <v>5</v>
      </c>
      <c r="E3656" t="str">
        <f t="shared" si="117"/>
        <v>5. Canada</v>
      </c>
    </row>
    <row r="3657" spans="1:5" x14ac:dyDescent="0.25">
      <c r="A3657" s="40" t="s">
        <v>15</v>
      </c>
      <c r="B3657" s="40" t="s">
        <v>448</v>
      </c>
      <c r="C3657" s="40">
        <v>278.39999999999998</v>
      </c>
      <c r="D3657">
        <f t="shared" si="116"/>
        <v>6</v>
      </c>
      <c r="E3657" t="str">
        <f t="shared" si="117"/>
        <v>6. United Arab Emirates</v>
      </c>
    </row>
    <row r="3658" spans="1:5" x14ac:dyDescent="0.25">
      <c r="A3658" s="40" t="s">
        <v>194</v>
      </c>
      <c r="B3658" s="40" t="s">
        <v>448</v>
      </c>
      <c r="C3658" s="40">
        <v>204</v>
      </c>
      <c r="D3658">
        <f t="shared" si="116"/>
        <v>7</v>
      </c>
      <c r="E3658" t="str">
        <f t="shared" si="117"/>
        <v>7. Chad</v>
      </c>
    </row>
    <row r="3659" spans="1:5" x14ac:dyDescent="0.25">
      <c r="A3659" s="40" t="s">
        <v>99</v>
      </c>
      <c r="B3659" s="40" t="s">
        <v>448</v>
      </c>
      <c r="C3659" s="40">
        <v>190.2</v>
      </c>
      <c r="D3659">
        <f t="shared" si="116"/>
        <v>8</v>
      </c>
      <c r="E3659" t="str">
        <f t="shared" si="117"/>
        <v>8. Iran, Islamic Rep.</v>
      </c>
    </row>
    <row r="3660" spans="1:5" x14ac:dyDescent="0.25">
      <c r="A3660" s="40" t="s">
        <v>145</v>
      </c>
      <c r="B3660" s="40" t="s">
        <v>448</v>
      </c>
      <c r="C3660" s="40">
        <v>174.8</v>
      </c>
      <c r="D3660">
        <f t="shared" si="116"/>
        <v>9</v>
      </c>
      <c r="E3660" t="str">
        <f t="shared" si="117"/>
        <v>9. Malaysia</v>
      </c>
    </row>
    <row r="3661" spans="1:5" x14ac:dyDescent="0.25">
      <c r="A3661" s="40" t="s">
        <v>218</v>
      </c>
      <c r="B3661" s="40" t="s">
        <v>448</v>
      </c>
      <c r="C3661" s="40">
        <v>167</v>
      </c>
      <c r="D3661">
        <f t="shared" si="116"/>
        <v>10</v>
      </c>
      <c r="E3661" t="str">
        <f t="shared" si="117"/>
        <v>10. South Africa</v>
      </c>
    </row>
    <row r="3662" spans="1:5" x14ac:dyDescent="0.25">
      <c r="A3662" s="40" t="s">
        <v>156</v>
      </c>
      <c r="B3662" s="40" t="s">
        <v>448</v>
      </c>
      <c r="C3662" s="40">
        <v>154.19999999999999</v>
      </c>
      <c r="D3662">
        <f t="shared" si="116"/>
        <v>11</v>
      </c>
      <c r="E3662" t="str">
        <f t="shared" si="117"/>
        <v>11. Oman</v>
      </c>
    </row>
    <row r="3663" spans="1:5" x14ac:dyDescent="0.25">
      <c r="A3663" s="40" t="s">
        <v>106</v>
      </c>
      <c r="B3663" s="40" t="s">
        <v>448</v>
      </c>
      <c r="C3663" s="40">
        <v>153.4</v>
      </c>
      <c r="D3663">
        <f t="shared" si="116"/>
        <v>12</v>
      </c>
      <c r="E3663" t="str">
        <f t="shared" si="117"/>
        <v>12. Japan</v>
      </c>
    </row>
    <row r="3664" spans="1:5" x14ac:dyDescent="0.25">
      <c r="A3664" s="40" t="s">
        <v>51</v>
      </c>
      <c r="B3664" s="40" t="s">
        <v>448</v>
      </c>
      <c r="C3664" s="40">
        <v>141.6</v>
      </c>
      <c r="D3664">
        <f t="shared" si="116"/>
        <v>13</v>
      </c>
      <c r="E3664" t="str">
        <f t="shared" si="117"/>
        <v>13. Colombia</v>
      </c>
    </row>
    <row r="3665" spans="1:5" x14ac:dyDescent="0.25">
      <c r="A3665" s="40" t="s">
        <v>20</v>
      </c>
      <c r="B3665" s="40" t="s">
        <v>448</v>
      </c>
      <c r="C3665" s="40">
        <v>138.5</v>
      </c>
      <c r="D3665">
        <f t="shared" si="116"/>
        <v>14</v>
      </c>
      <c r="E3665" t="str">
        <f t="shared" si="117"/>
        <v>14. Australia</v>
      </c>
    </row>
    <row r="3666" spans="1:5" x14ac:dyDescent="0.25">
      <c r="A3666" s="40" t="s">
        <v>67</v>
      </c>
      <c r="B3666" s="40" t="s">
        <v>448</v>
      </c>
      <c r="C3666" s="40">
        <v>123.9</v>
      </c>
      <c r="D3666">
        <f t="shared" si="116"/>
        <v>15</v>
      </c>
      <c r="E3666" t="str">
        <f t="shared" si="117"/>
        <v>15. Egypt, Arab Rep.</v>
      </c>
    </row>
    <row r="3667" spans="1:5" x14ac:dyDescent="0.25">
      <c r="A3667" s="40" t="s">
        <v>173</v>
      </c>
      <c r="B3667" s="40" t="s">
        <v>448</v>
      </c>
      <c r="C3667" s="40">
        <v>122.2</v>
      </c>
      <c r="D3667">
        <f t="shared" si="116"/>
        <v>16</v>
      </c>
      <c r="E3667" t="str">
        <f t="shared" si="117"/>
        <v>16. Saudi Arabia</v>
      </c>
    </row>
    <row r="3668" spans="1:5" x14ac:dyDescent="0.25">
      <c r="A3668" s="40" t="s">
        <v>151</v>
      </c>
      <c r="B3668" s="40" t="s">
        <v>448</v>
      </c>
      <c r="C3668" s="40">
        <v>121.6</v>
      </c>
      <c r="D3668">
        <f t="shared" si="116"/>
        <v>17</v>
      </c>
      <c r="E3668" t="str">
        <f t="shared" si="117"/>
        <v>17. Netherlands</v>
      </c>
    </row>
    <row r="3669" spans="1:5" x14ac:dyDescent="0.25">
      <c r="A3669" s="40" t="s">
        <v>68</v>
      </c>
      <c r="B3669" s="40" t="s">
        <v>448</v>
      </c>
      <c r="C3669" s="40">
        <v>111.7</v>
      </c>
      <c r="D3669">
        <f t="shared" si="116"/>
        <v>18</v>
      </c>
      <c r="E3669" t="str">
        <f t="shared" si="117"/>
        <v>18. Spain</v>
      </c>
    </row>
    <row r="3670" spans="1:5" x14ac:dyDescent="0.25">
      <c r="A3670" s="40" t="s">
        <v>103</v>
      </c>
      <c r="B3670" s="40" t="s">
        <v>448</v>
      </c>
      <c r="C3670" s="40">
        <v>95.2</v>
      </c>
      <c r="D3670">
        <f t="shared" si="116"/>
        <v>19</v>
      </c>
      <c r="E3670" t="str">
        <f t="shared" si="117"/>
        <v>19. Italy</v>
      </c>
    </row>
    <row r="3671" spans="1:5" x14ac:dyDescent="0.25">
      <c r="A3671" s="40" t="s">
        <v>73</v>
      </c>
      <c r="B3671" s="40" t="s">
        <v>448</v>
      </c>
      <c r="C3671" s="40">
        <v>90.5</v>
      </c>
      <c r="D3671">
        <f t="shared" si="116"/>
        <v>20</v>
      </c>
      <c r="E3671" t="str">
        <f t="shared" si="117"/>
        <v>20. France</v>
      </c>
    </row>
    <row r="3672" spans="1:5" x14ac:dyDescent="0.25">
      <c r="A3672" s="40" t="s">
        <v>113</v>
      </c>
      <c r="B3672" s="40" t="s">
        <v>448</v>
      </c>
      <c r="C3672" s="40">
        <v>76</v>
      </c>
      <c r="D3672">
        <f t="shared" si="116"/>
        <v>21</v>
      </c>
      <c r="E3672" t="str">
        <f t="shared" si="117"/>
        <v>21. Korea, Rep.</v>
      </c>
    </row>
    <row r="3673" spans="1:5" x14ac:dyDescent="0.25">
      <c r="A3673" s="40" t="s">
        <v>114</v>
      </c>
      <c r="B3673" s="40" t="s">
        <v>448</v>
      </c>
      <c r="C3673" s="40">
        <v>61.6</v>
      </c>
      <c r="D3673">
        <f t="shared" si="116"/>
        <v>22</v>
      </c>
      <c r="E3673" t="str">
        <f t="shared" si="117"/>
        <v>22. Kuwait</v>
      </c>
    </row>
    <row r="3674" spans="1:5" x14ac:dyDescent="0.25">
      <c r="A3674" s="40" t="s">
        <v>45</v>
      </c>
      <c r="B3674" s="40" t="s">
        <v>448</v>
      </c>
      <c r="C3674" s="40">
        <v>58.3</v>
      </c>
      <c r="D3674">
        <f t="shared" si="116"/>
        <v>23</v>
      </c>
      <c r="E3674" t="str">
        <f t="shared" si="117"/>
        <v>23. Chile</v>
      </c>
    </row>
    <row r="3675" spans="1:5" x14ac:dyDescent="0.25">
      <c r="A3675" s="40" t="s">
        <v>188</v>
      </c>
      <c r="B3675" s="40" t="s">
        <v>448</v>
      </c>
      <c r="C3675" s="40">
        <v>50.1</v>
      </c>
      <c r="D3675">
        <f t="shared" si="116"/>
        <v>24</v>
      </c>
      <c r="E3675" t="str">
        <f t="shared" si="117"/>
        <v>24. Sweden</v>
      </c>
    </row>
    <row r="3676" spans="1:5" x14ac:dyDescent="0.25">
      <c r="A3676" s="40" t="s">
        <v>169</v>
      </c>
      <c r="B3676" s="40" t="s">
        <v>448</v>
      </c>
      <c r="C3676" s="40">
        <v>46.1</v>
      </c>
      <c r="D3676">
        <f t="shared" si="116"/>
        <v>25</v>
      </c>
      <c r="E3676" t="str">
        <f t="shared" si="117"/>
        <v>25. Qatar</v>
      </c>
    </row>
    <row r="3677" spans="1:5" x14ac:dyDescent="0.25">
      <c r="A3677" s="40" t="s">
        <v>152</v>
      </c>
      <c r="B3677" s="40" t="s">
        <v>448</v>
      </c>
      <c r="C3677" s="40">
        <v>44.4</v>
      </c>
      <c r="D3677">
        <f t="shared" si="116"/>
        <v>26</v>
      </c>
      <c r="E3677" t="str">
        <f t="shared" si="117"/>
        <v>26. Norway</v>
      </c>
    </row>
    <row r="3678" spans="1:5" x14ac:dyDescent="0.25">
      <c r="A3678" s="40" t="s">
        <v>43</v>
      </c>
      <c r="B3678" s="40" t="s">
        <v>448</v>
      </c>
      <c r="C3678" s="40">
        <v>40.1</v>
      </c>
      <c r="D3678">
        <f t="shared" si="116"/>
        <v>27</v>
      </c>
      <c r="E3678" t="str">
        <f t="shared" si="117"/>
        <v>27. Switzerland</v>
      </c>
    </row>
    <row r="3679" spans="1:5" x14ac:dyDescent="0.25">
      <c r="A3679" s="40" t="s">
        <v>98</v>
      </c>
      <c r="B3679" s="40" t="s">
        <v>448</v>
      </c>
      <c r="C3679" s="40">
        <v>39.1</v>
      </c>
      <c r="D3679">
        <f t="shared" si="116"/>
        <v>28</v>
      </c>
      <c r="E3679" t="str">
        <f t="shared" si="117"/>
        <v>28. Ireland</v>
      </c>
    </row>
    <row r="3680" spans="1:5" x14ac:dyDescent="0.25">
      <c r="A3680" s="40" t="s">
        <v>60</v>
      </c>
      <c r="B3680" s="40" t="s">
        <v>448</v>
      </c>
      <c r="C3680" s="40">
        <v>37</v>
      </c>
      <c r="D3680">
        <f t="shared" si="116"/>
        <v>29</v>
      </c>
      <c r="E3680" t="str">
        <f t="shared" si="117"/>
        <v>29. Germany</v>
      </c>
    </row>
    <row r="3681" spans="1:5" x14ac:dyDescent="0.25">
      <c r="A3681" s="40" t="s">
        <v>24</v>
      </c>
      <c r="B3681" s="40" t="s">
        <v>448</v>
      </c>
      <c r="C3681" s="40">
        <v>36.200000000000003</v>
      </c>
      <c r="D3681">
        <f t="shared" si="116"/>
        <v>30</v>
      </c>
      <c r="E3681" t="str">
        <f t="shared" si="117"/>
        <v>30. Belgium</v>
      </c>
    </row>
    <row r="3682" spans="1:5" x14ac:dyDescent="0.25">
      <c r="A3682" s="40" t="s">
        <v>70</v>
      </c>
      <c r="B3682" s="40" t="s">
        <v>448</v>
      </c>
      <c r="C3682" s="40">
        <v>30.1</v>
      </c>
      <c r="D3682">
        <f t="shared" si="116"/>
        <v>31</v>
      </c>
      <c r="E3682" t="str">
        <f t="shared" si="117"/>
        <v>31. Ethiopia</v>
      </c>
    </row>
    <row r="3683" spans="1:5" x14ac:dyDescent="0.25">
      <c r="A3683" s="40" t="s">
        <v>71</v>
      </c>
      <c r="B3683" s="40" t="s">
        <v>448</v>
      </c>
      <c r="C3683" s="40">
        <v>26.9</v>
      </c>
      <c r="D3683">
        <f t="shared" si="116"/>
        <v>32</v>
      </c>
      <c r="E3683" t="str">
        <f t="shared" si="117"/>
        <v>32. Finland</v>
      </c>
    </row>
    <row r="3684" spans="1:5" x14ac:dyDescent="0.25">
      <c r="A3684" s="40" t="s">
        <v>222</v>
      </c>
      <c r="B3684" s="40" t="s">
        <v>448</v>
      </c>
      <c r="C3684" s="40">
        <v>26.9</v>
      </c>
      <c r="D3684">
        <f t="shared" si="116"/>
        <v>33</v>
      </c>
      <c r="E3684" t="str">
        <f t="shared" si="117"/>
        <v>33. Somalia, Fed. Rep.</v>
      </c>
    </row>
    <row r="3685" spans="1:5" x14ac:dyDescent="0.25">
      <c r="A3685" s="40" t="s">
        <v>63</v>
      </c>
      <c r="B3685" s="40" t="s">
        <v>448</v>
      </c>
      <c r="C3685" s="40">
        <v>25.6</v>
      </c>
      <c r="D3685">
        <f t="shared" si="116"/>
        <v>34</v>
      </c>
      <c r="E3685" t="str">
        <f t="shared" si="117"/>
        <v>34. Denmark</v>
      </c>
    </row>
    <row r="3686" spans="1:5" x14ac:dyDescent="0.25">
      <c r="A3686" s="40" t="s">
        <v>196</v>
      </c>
      <c r="B3686" s="40" t="s">
        <v>448</v>
      </c>
      <c r="C3686" s="40">
        <v>23.3</v>
      </c>
      <c r="D3686">
        <f t="shared" si="116"/>
        <v>35</v>
      </c>
      <c r="E3686" t="str">
        <f t="shared" si="117"/>
        <v>35. Thailand</v>
      </c>
    </row>
    <row r="3687" spans="1:5" x14ac:dyDescent="0.25">
      <c r="A3687" s="40" t="s">
        <v>29</v>
      </c>
      <c r="B3687" s="40" t="s">
        <v>448</v>
      </c>
      <c r="C3687" s="40">
        <v>22.7</v>
      </c>
      <c r="D3687">
        <f t="shared" si="116"/>
        <v>36</v>
      </c>
      <c r="E3687" t="str">
        <f t="shared" si="117"/>
        <v>36. Bahrain</v>
      </c>
    </row>
    <row r="3688" spans="1:5" x14ac:dyDescent="0.25">
      <c r="A3688" s="40" t="s">
        <v>165</v>
      </c>
      <c r="B3688" s="40" t="s">
        <v>448</v>
      </c>
      <c r="C3688" s="40">
        <v>20.6</v>
      </c>
      <c r="D3688">
        <f t="shared" si="116"/>
        <v>37</v>
      </c>
      <c r="E3688" t="str">
        <f t="shared" si="117"/>
        <v>37. Portugal</v>
      </c>
    </row>
    <row r="3689" spans="1:5" x14ac:dyDescent="0.25">
      <c r="A3689" s="40" t="s">
        <v>176</v>
      </c>
      <c r="B3689" s="40" t="s">
        <v>448</v>
      </c>
      <c r="C3689" s="40">
        <v>20</v>
      </c>
      <c r="D3689">
        <f t="shared" si="116"/>
        <v>38</v>
      </c>
      <c r="E3689" t="str">
        <f t="shared" si="117"/>
        <v>38. Singapore</v>
      </c>
    </row>
    <row r="3690" spans="1:5" x14ac:dyDescent="0.25">
      <c r="A3690" s="40" t="s">
        <v>155</v>
      </c>
      <c r="B3690" s="40" t="s">
        <v>448</v>
      </c>
      <c r="C3690" s="40">
        <v>18.8</v>
      </c>
      <c r="D3690">
        <f t="shared" si="116"/>
        <v>39</v>
      </c>
      <c r="E3690" t="str">
        <f t="shared" si="117"/>
        <v>39. New Zealand</v>
      </c>
    </row>
    <row r="3691" spans="1:5" x14ac:dyDescent="0.25">
      <c r="A3691" s="40" t="s">
        <v>159</v>
      </c>
      <c r="B3691" s="40" t="s">
        <v>448</v>
      </c>
      <c r="C3691" s="40">
        <v>18.399999999999999</v>
      </c>
      <c r="D3691">
        <f t="shared" si="116"/>
        <v>40</v>
      </c>
      <c r="E3691" t="str">
        <f t="shared" si="117"/>
        <v>40. Peru</v>
      </c>
    </row>
    <row r="3692" spans="1:5" x14ac:dyDescent="0.25">
      <c r="A3692" s="40" t="s">
        <v>94</v>
      </c>
      <c r="B3692" s="40" t="s">
        <v>448</v>
      </c>
      <c r="C3692" s="40">
        <v>16.2</v>
      </c>
      <c r="D3692">
        <f t="shared" si="116"/>
        <v>41</v>
      </c>
      <c r="E3692" t="str">
        <f t="shared" si="117"/>
        <v>41. Hungary</v>
      </c>
    </row>
    <row r="3693" spans="1:5" x14ac:dyDescent="0.25">
      <c r="A3693" s="40" t="s">
        <v>183</v>
      </c>
      <c r="B3693" s="40" t="s">
        <v>448</v>
      </c>
      <c r="C3693" s="40">
        <v>15.4</v>
      </c>
      <c r="D3693">
        <f t="shared" si="116"/>
        <v>42</v>
      </c>
      <c r="E3693" t="str">
        <f t="shared" si="117"/>
        <v>42. South Sudan</v>
      </c>
    </row>
    <row r="3694" spans="1:5" x14ac:dyDescent="0.25">
      <c r="A3694" s="40" t="s">
        <v>198</v>
      </c>
      <c r="B3694" s="40" t="s">
        <v>448</v>
      </c>
      <c r="C3694" s="40">
        <v>14.6</v>
      </c>
      <c r="D3694">
        <f t="shared" si="116"/>
        <v>43</v>
      </c>
      <c r="E3694" t="str">
        <f t="shared" si="117"/>
        <v>43. Turkmenistan</v>
      </c>
    </row>
    <row r="3695" spans="1:5" x14ac:dyDescent="0.25">
      <c r="A3695" s="40" t="s">
        <v>164</v>
      </c>
      <c r="B3695" s="40" t="s">
        <v>448</v>
      </c>
      <c r="C3695" s="40">
        <v>11.6</v>
      </c>
      <c r="D3695">
        <f t="shared" si="116"/>
        <v>44</v>
      </c>
      <c r="E3695" t="str">
        <f t="shared" si="117"/>
        <v>44. Puerto Rico (US)</v>
      </c>
    </row>
    <row r="3696" spans="1:5" x14ac:dyDescent="0.25">
      <c r="A3696" s="40" t="s">
        <v>22</v>
      </c>
      <c r="B3696" s="40" t="s">
        <v>448</v>
      </c>
      <c r="C3696" s="40">
        <v>10.9</v>
      </c>
      <c r="D3696">
        <f t="shared" si="116"/>
        <v>45</v>
      </c>
      <c r="E3696" t="str">
        <f t="shared" si="117"/>
        <v>45. Azerbaijan</v>
      </c>
    </row>
    <row r="3697" spans="1:5" x14ac:dyDescent="0.25">
      <c r="A3697" s="40" t="s">
        <v>102</v>
      </c>
      <c r="B3697" s="40" t="s">
        <v>448</v>
      </c>
      <c r="C3697" s="40">
        <v>10.6</v>
      </c>
      <c r="D3697">
        <f t="shared" si="116"/>
        <v>46</v>
      </c>
      <c r="E3697" t="str">
        <f t="shared" si="117"/>
        <v>46. Israel</v>
      </c>
    </row>
    <row r="3698" spans="1:5" x14ac:dyDescent="0.25">
      <c r="A3698" s="40" t="s">
        <v>21</v>
      </c>
      <c r="B3698" s="40" t="s">
        <v>448</v>
      </c>
      <c r="C3698" s="40">
        <v>8.8000000000000007</v>
      </c>
      <c r="D3698">
        <f t="shared" si="116"/>
        <v>47</v>
      </c>
      <c r="E3698" t="str">
        <f t="shared" si="117"/>
        <v>47. Austria</v>
      </c>
    </row>
    <row r="3699" spans="1:5" x14ac:dyDescent="0.25">
      <c r="A3699" s="40" t="s">
        <v>58</v>
      </c>
      <c r="B3699" s="40" t="s">
        <v>448</v>
      </c>
      <c r="C3699" s="40">
        <v>8.1</v>
      </c>
      <c r="D3699">
        <f t="shared" si="116"/>
        <v>48</v>
      </c>
      <c r="E3699" t="str">
        <f t="shared" si="117"/>
        <v>48. Cyprus</v>
      </c>
    </row>
    <row r="3700" spans="1:5" x14ac:dyDescent="0.25">
      <c r="A3700" s="40" t="s">
        <v>47</v>
      </c>
      <c r="B3700" s="40" t="s">
        <v>448</v>
      </c>
      <c r="C3700" s="40">
        <v>7.8</v>
      </c>
      <c r="D3700">
        <f t="shared" si="116"/>
        <v>49</v>
      </c>
      <c r="E3700" t="str">
        <f t="shared" si="117"/>
        <v>49. Cote d'Ivoire</v>
      </c>
    </row>
    <row r="3701" spans="1:5" x14ac:dyDescent="0.25">
      <c r="A3701" s="40" t="s">
        <v>219</v>
      </c>
      <c r="B3701" s="40" t="s">
        <v>448</v>
      </c>
      <c r="C3701" s="40">
        <v>7.4</v>
      </c>
      <c r="D3701">
        <f t="shared" si="116"/>
        <v>50</v>
      </c>
      <c r="E3701" t="str">
        <f t="shared" si="117"/>
        <v>50. Zambia</v>
      </c>
    </row>
    <row r="3702" spans="1:5" x14ac:dyDescent="0.25">
      <c r="A3702" s="40" t="s">
        <v>158</v>
      </c>
      <c r="B3702" s="40" t="s">
        <v>448</v>
      </c>
      <c r="C3702" s="40">
        <v>6.7</v>
      </c>
      <c r="D3702">
        <f t="shared" si="116"/>
        <v>51</v>
      </c>
      <c r="E3702" t="str">
        <f t="shared" si="117"/>
        <v>51. Panama</v>
      </c>
    </row>
    <row r="3703" spans="1:5" x14ac:dyDescent="0.25">
      <c r="A3703" s="40" t="s">
        <v>136</v>
      </c>
      <c r="B3703" s="40" t="s">
        <v>448</v>
      </c>
      <c r="C3703" s="40">
        <v>6.3</v>
      </c>
      <c r="D3703">
        <f t="shared" si="116"/>
        <v>52</v>
      </c>
      <c r="E3703" t="str">
        <f t="shared" si="117"/>
        <v>52. Malta</v>
      </c>
    </row>
    <row r="3704" spans="1:5" x14ac:dyDescent="0.25">
      <c r="A3704" s="40" t="s">
        <v>124</v>
      </c>
      <c r="B3704" s="40" t="s">
        <v>448</v>
      </c>
      <c r="C3704" s="40">
        <v>5.7</v>
      </c>
      <c r="D3704">
        <f t="shared" si="116"/>
        <v>53</v>
      </c>
      <c r="E3704" t="str">
        <f t="shared" si="117"/>
        <v>53. Luxembourg</v>
      </c>
    </row>
    <row r="3705" spans="1:5" x14ac:dyDescent="0.25">
      <c r="A3705" s="40" t="s">
        <v>146</v>
      </c>
      <c r="B3705" s="40" t="s">
        <v>448</v>
      </c>
      <c r="C3705" s="40">
        <v>4.2</v>
      </c>
      <c r="D3705">
        <f t="shared" si="116"/>
        <v>54</v>
      </c>
      <c r="E3705" t="str">
        <f t="shared" si="117"/>
        <v>54. Namibia</v>
      </c>
    </row>
    <row r="3706" spans="1:5" x14ac:dyDescent="0.25">
      <c r="A3706" s="40" t="s">
        <v>83</v>
      </c>
      <c r="B3706" s="40" t="s">
        <v>448</v>
      </c>
      <c r="C3706" s="40">
        <v>3.9</v>
      </c>
      <c r="D3706">
        <f t="shared" si="116"/>
        <v>55</v>
      </c>
      <c r="E3706" t="str">
        <f t="shared" si="117"/>
        <v>55. Equatorial Guinea</v>
      </c>
    </row>
    <row r="3707" spans="1:5" x14ac:dyDescent="0.25">
      <c r="A3707" s="40" t="s">
        <v>109</v>
      </c>
      <c r="B3707" s="40" t="s">
        <v>448</v>
      </c>
      <c r="C3707" s="40">
        <v>3.6</v>
      </c>
      <c r="D3707">
        <f t="shared" si="116"/>
        <v>56</v>
      </c>
      <c r="E3707" t="str">
        <f t="shared" si="117"/>
        <v>56. Kyrgyz Republic</v>
      </c>
    </row>
    <row r="3708" spans="1:5" x14ac:dyDescent="0.25">
      <c r="A3708" s="40" t="s">
        <v>16</v>
      </c>
      <c r="B3708" s="40" t="s">
        <v>448</v>
      </c>
      <c r="C3708" s="40">
        <v>3.5</v>
      </c>
      <c r="D3708">
        <f t="shared" si="116"/>
        <v>57</v>
      </c>
      <c r="E3708" t="str">
        <f t="shared" si="117"/>
        <v>57. Argentina</v>
      </c>
    </row>
    <row r="3709" spans="1:5" x14ac:dyDescent="0.25">
      <c r="A3709" s="40" t="s">
        <v>101</v>
      </c>
      <c r="B3709" s="40" t="s">
        <v>448</v>
      </c>
      <c r="C3709" s="40">
        <v>3.5</v>
      </c>
      <c r="D3709">
        <f t="shared" si="116"/>
        <v>58</v>
      </c>
      <c r="E3709" t="str">
        <f t="shared" si="117"/>
        <v>58. Iceland</v>
      </c>
    </row>
    <row r="3710" spans="1:5" x14ac:dyDescent="0.25">
      <c r="A3710" s="40" t="s">
        <v>118</v>
      </c>
      <c r="B3710" s="40" t="s">
        <v>448</v>
      </c>
      <c r="C3710" s="40">
        <v>3.4</v>
      </c>
      <c r="D3710">
        <f t="shared" si="116"/>
        <v>59</v>
      </c>
      <c r="E3710" t="str">
        <f t="shared" si="117"/>
        <v>59. Libya</v>
      </c>
    </row>
    <row r="3711" spans="1:5" x14ac:dyDescent="0.25">
      <c r="A3711" s="40" t="s">
        <v>187</v>
      </c>
      <c r="B3711" s="40" t="s">
        <v>448</v>
      </c>
      <c r="C3711" s="40">
        <v>3.3</v>
      </c>
      <c r="D3711">
        <f t="shared" si="116"/>
        <v>60</v>
      </c>
      <c r="E3711" t="str">
        <f t="shared" si="117"/>
        <v>60. Slovenia</v>
      </c>
    </row>
    <row r="3712" spans="1:5" x14ac:dyDescent="0.25">
      <c r="A3712" s="40" t="s">
        <v>123</v>
      </c>
      <c r="B3712" s="40" t="s">
        <v>448</v>
      </c>
      <c r="C3712" s="40">
        <v>2.6</v>
      </c>
      <c r="D3712">
        <f t="shared" si="116"/>
        <v>61</v>
      </c>
      <c r="E3712" t="str">
        <f t="shared" si="117"/>
        <v>61. Lithuania</v>
      </c>
    </row>
    <row r="3713" spans="1:5" x14ac:dyDescent="0.25">
      <c r="A3713" s="40" t="s">
        <v>78</v>
      </c>
      <c r="B3713" s="40" t="s">
        <v>448</v>
      </c>
      <c r="C3713" s="40">
        <v>1.7</v>
      </c>
      <c r="D3713">
        <f t="shared" si="116"/>
        <v>62</v>
      </c>
      <c r="E3713" t="str">
        <f t="shared" si="117"/>
        <v>62. Georgia</v>
      </c>
    </row>
    <row r="3714" spans="1:5" x14ac:dyDescent="0.25">
      <c r="A3714" s="40" t="s">
        <v>191</v>
      </c>
      <c r="B3714" s="40" t="s">
        <v>448</v>
      </c>
      <c r="C3714" s="40">
        <v>1.7</v>
      </c>
      <c r="D3714">
        <f t="shared" si="116"/>
        <v>63</v>
      </c>
      <c r="E3714" t="str">
        <f t="shared" si="117"/>
        <v>63. Seychelles</v>
      </c>
    </row>
    <row r="3715" spans="1:5" x14ac:dyDescent="0.25">
      <c r="A3715" s="40" t="s">
        <v>126</v>
      </c>
      <c r="B3715" s="40" t="s">
        <v>448</v>
      </c>
      <c r="C3715" s="40">
        <v>1.6</v>
      </c>
      <c r="D3715">
        <f t="shared" si="116"/>
        <v>64</v>
      </c>
      <c r="E3715" t="str">
        <f t="shared" si="117"/>
        <v>64. Macao SAR, China</v>
      </c>
    </row>
    <row r="3716" spans="1:5" x14ac:dyDescent="0.25">
      <c r="A3716" s="40" t="s">
        <v>177</v>
      </c>
      <c r="B3716" s="40" t="s">
        <v>448</v>
      </c>
      <c r="C3716" s="40">
        <v>1.6</v>
      </c>
      <c r="D3716">
        <f t="shared" ref="D3716:D3779" si="118">IF(ROW() = 2, 1, IF(B3716 = B3715, D3715 + 1, 1))</f>
        <v>65</v>
      </c>
      <c r="E3716" t="str">
        <f t="shared" ref="E3716:E3779" si="119">_xlfn.CONCAT(D3716, ". ", A3716)</f>
        <v>65. Solomon Islands</v>
      </c>
    </row>
    <row r="3717" spans="1:5" x14ac:dyDescent="0.25">
      <c r="A3717" s="40" t="s">
        <v>201</v>
      </c>
      <c r="B3717" s="40" t="s">
        <v>448</v>
      </c>
      <c r="C3717" s="40">
        <v>1.3</v>
      </c>
      <c r="D3717">
        <f t="shared" si="118"/>
        <v>66</v>
      </c>
      <c r="E3717" t="str">
        <f t="shared" si="119"/>
        <v>66. Trinidad and Tobago</v>
      </c>
    </row>
    <row r="3718" spans="1:5" x14ac:dyDescent="0.25">
      <c r="A3718" s="40" t="s">
        <v>76</v>
      </c>
      <c r="B3718" s="40" t="s">
        <v>448</v>
      </c>
      <c r="C3718" s="40">
        <v>1.1000000000000001</v>
      </c>
      <c r="D3718">
        <f t="shared" si="118"/>
        <v>67</v>
      </c>
      <c r="E3718" t="str">
        <f t="shared" si="119"/>
        <v>67. Gabon</v>
      </c>
    </row>
    <row r="3719" spans="1:5" x14ac:dyDescent="0.25">
      <c r="A3719" s="40" t="s">
        <v>14</v>
      </c>
      <c r="B3719" s="40" t="s">
        <v>448</v>
      </c>
      <c r="C3719" s="40">
        <v>1</v>
      </c>
      <c r="D3719">
        <f t="shared" si="118"/>
        <v>68</v>
      </c>
      <c r="E3719" t="str">
        <f t="shared" si="119"/>
        <v>68. Andorra</v>
      </c>
    </row>
    <row r="3720" spans="1:5" x14ac:dyDescent="0.25">
      <c r="A3720" s="40" t="s">
        <v>30</v>
      </c>
      <c r="B3720" s="40" t="s">
        <v>448</v>
      </c>
      <c r="C3720" s="40">
        <v>1</v>
      </c>
      <c r="D3720">
        <f t="shared" si="118"/>
        <v>69</v>
      </c>
      <c r="E3720" t="str">
        <f t="shared" si="119"/>
        <v>69. Bahamas, The</v>
      </c>
    </row>
    <row r="3721" spans="1:5" x14ac:dyDescent="0.25">
      <c r="A3721" s="40" t="s">
        <v>54</v>
      </c>
      <c r="B3721" s="40" t="s">
        <v>448</v>
      </c>
      <c r="C3721" s="40">
        <v>1</v>
      </c>
      <c r="D3721">
        <f t="shared" si="118"/>
        <v>70</v>
      </c>
      <c r="E3721" t="str">
        <f t="shared" si="119"/>
        <v>70. Costa Rica</v>
      </c>
    </row>
    <row r="3722" spans="1:5" x14ac:dyDescent="0.25">
      <c r="A3722" s="40" t="s">
        <v>57</v>
      </c>
      <c r="B3722" s="40" t="s">
        <v>448</v>
      </c>
      <c r="C3722" s="40">
        <v>0.9</v>
      </c>
      <c r="D3722">
        <f t="shared" si="118"/>
        <v>71</v>
      </c>
      <c r="E3722" t="str">
        <f t="shared" si="119"/>
        <v>71. Cayman Islands</v>
      </c>
    </row>
    <row r="3723" spans="1:5" x14ac:dyDescent="0.25">
      <c r="A3723" s="40" t="s">
        <v>44</v>
      </c>
      <c r="B3723" s="40" t="s">
        <v>448</v>
      </c>
      <c r="C3723" s="40">
        <v>0.7</v>
      </c>
      <c r="D3723">
        <f t="shared" si="118"/>
        <v>72</v>
      </c>
      <c r="E3723" t="str">
        <f t="shared" si="119"/>
        <v>72. Channel Islands</v>
      </c>
    </row>
    <row r="3724" spans="1:5" x14ac:dyDescent="0.25">
      <c r="A3724" s="40" t="s">
        <v>190</v>
      </c>
      <c r="B3724" s="40" t="s">
        <v>448</v>
      </c>
      <c r="C3724" s="40">
        <v>0.6</v>
      </c>
      <c r="D3724">
        <f t="shared" si="118"/>
        <v>73</v>
      </c>
      <c r="E3724" t="str">
        <f t="shared" si="119"/>
        <v>73. Sint Maarten (Dutch part)</v>
      </c>
    </row>
    <row r="3725" spans="1:5" x14ac:dyDescent="0.25">
      <c r="A3725" s="40" t="s">
        <v>33</v>
      </c>
      <c r="B3725" s="40" t="s">
        <v>448</v>
      </c>
      <c r="C3725" s="40">
        <v>0.5</v>
      </c>
      <c r="D3725">
        <f t="shared" si="118"/>
        <v>74</v>
      </c>
      <c r="E3725" t="str">
        <f t="shared" si="119"/>
        <v>74. Belize</v>
      </c>
    </row>
    <row r="3726" spans="1:5" x14ac:dyDescent="0.25">
      <c r="A3726" s="40" t="s">
        <v>28</v>
      </c>
      <c r="B3726" s="40" t="s">
        <v>448</v>
      </c>
      <c r="C3726" s="40">
        <v>0.5</v>
      </c>
      <c r="D3726">
        <f t="shared" si="118"/>
        <v>75</v>
      </c>
      <c r="E3726" t="str">
        <f t="shared" si="119"/>
        <v>75. Bulgaria</v>
      </c>
    </row>
    <row r="3727" spans="1:5" x14ac:dyDescent="0.25">
      <c r="A3727" s="40" t="s">
        <v>56</v>
      </c>
      <c r="B3727" s="40" t="s">
        <v>448</v>
      </c>
      <c r="C3727" s="40">
        <v>0.5</v>
      </c>
      <c r="D3727">
        <f t="shared" si="118"/>
        <v>76</v>
      </c>
      <c r="E3727" t="str">
        <f t="shared" si="119"/>
        <v>76. Curacao</v>
      </c>
    </row>
    <row r="3728" spans="1:5" x14ac:dyDescent="0.25">
      <c r="A3728" s="40" t="s">
        <v>74</v>
      </c>
      <c r="B3728" s="40" t="s">
        <v>448</v>
      </c>
      <c r="C3728" s="40">
        <v>0.5</v>
      </c>
      <c r="D3728">
        <f t="shared" si="118"/>
        <v>77</v>
      </c>
      <c r="E3728" t="str">
        <f t="shared" si="119"/>
        <v>77. Faroe Islands</v>
      </c>
    </row>
    <row r="3729" spans="1:5" x14ac:dyDescent="0.25">
      <c r="A3729" s="40" t="s">
        <v>147</v>
      </c>
      <c r="B3729" s="40" t="s">
        <v>448</v>
      </c>
      <c r="C3729" s="40">
        <v>0.5</v>
      </c>
      <c r="D3729">
        <f t="shared" si="118"/>
        <v>78</v>
      </c>
      <c r="E3729" t="str">
        <f t="shared" si="119"/>
        <v>78. New Caledonia</v>
      </c>
    </row>
    <row r="3730" spans="1:5" x14ac:dyDescent="0.25">
      <c r="A3730" s="40" t="s">
        <v>96</v>
      </c>
      <c r="B3730" s="40" t="s">
        <v>448</v>
      </c>
      <c r="C3730" s="40">
        <v>0.2</v>
      </c>
      <c r="D3730">
        <f t="shared" si="118"/>
        <v>79</v>
      </c>
      <c r="E3730" t="str">
        <f t="shared" si="119"/>
        <v>79. Isle of Man</v>
      </c>
    </row>
    <row r="3731" spans="1:5" x14ac:dyDescent="0.25">
      <c r="A3731" s="40" t="s">
        <v>120</v>
      </c>
      <c r="B3731" s="40" t="s">
        <v>448</v>
      </c>
      <c r="C3731" s="40">
        <v>0.2</v>
      </c>
      <c r="D3731">
        <f t="shared" si="118"/>
        <v>80</v>
      </c>
      <c r="E3731" t="str">
        <f t="shared" si="119"/>
        <v>80. Liechtenstein</v>
      </c>
    </row>
    <row r="3732" spans="1:5" x14ac:dyDescent="0.25">
      <c r="A3732" s="40" t="s">
        <v>193</v>
      </c>
      <c r="B3732" s="40" t="s">
        <v>448</v>
      </c>
      <c r="C3732" s="40">
        <v>0.2</v>
      </c>
      <c r="D3732">
        <f t="shared" si="118"/>
        <v>81</v>
      </c>
      <c r="E3732" t="str">
        <f t="shared" si="119"/>
        <v>81. Turks and Caicos Islands</v>
      </c>
    </row>
    <row r="3733" spans="1:5" x14ac:dyDescent="0.25">
      <c r="A3733" s="40" t="s">
        <v>10</v>
      </c>
      <c r="B3733" s="40" t="s">
        <v>448</v>
      </c>
      <c r="C3733" s="40">
        <v>0.1</v>
      </c>
      <c r="D3733">
        <f t="shared" si="118"/>
        <v>82</v>
      </c>
      <c r="E3733" t="str">
        <f t="shared" si="119"/>
        <v>82. Aruba</v>
      </c>
    </row>
    <row r="3734" spans="1:5" x14ac:dyDescent="0.25">
      <c r="A3734" s="40" t="s">
        <v>128</v>
      </c>
      <c r="B3734" s="40" t="s">
        <v>448</v>
      </c>
      <c r="C3734" s="40">
        <v>0.1</v>
      </c>
      <c r="D3734">
        <f t="shared" si="118"/>
        <v>83</v>
      </c>
      <c r="E3734" t="str">
        <f t="shared" si="119"/>
        <v>83. Monaco</v>
      </c>
    </row>
    <row r="3735" spans="1:5" x14ac:dyDescent="0.25">
      <c r="A3735" s="40" t="s">
        <v>139</v>
      </c>
      <c r="B3735" s="40" t="s">
        <v>448</v>
      </c>
      <c r="C3735" s="40">
        <v>0.1</v>
      </c>
      <c r="D3735">
        <f t="shared" si="118"/>
        <v>84</v>
      </c>
      <c r="E3735" t="str">
        <f t="shared" si="119"/>
        <v>84. Mongolia</v>
      </c>
    </row>
    <row r="3736" spans="1:5" x14ac:dyDescent="0.25">
      <c r="A3736" s="40" t="s">
        <v>19</v>
      </c>
      <c r="B3736" s="40" t="s">
        <v>448</v>
      </c>
      <c r="C3736" s="40">
        <v>0</v>
      </c>
      <c r="D3736">
        <f t="shared" si="118"/>
        <v>85</v>
      </c>
      <c r="E3736" t="str">
        <f t="shared" si="119"/>
        <v>85. Antigua and Barbuda</v>
      </c>
    </row>
    <row r="3737" spans="1:5" x14ac:dyDescent="0.25">
      <c r="A3737" s="40" t="s">
        <v>180</v>
      </c>
      <c r="B3737" s="40" t="s">
        <v>448</v>
      </c>
      <c r="C3737" s="40">
        <v>0</v>
      </c>
      <c r="D3737">
        <f t="shared" si="118"/>
        <v>86</v>
      </c>
      <c r="E3737" t="str">
        <f t="shared" si="119"/>
        <v>86. San Marino</v>
      </c>
    </row>
    <row r="3738" spans="1:5" x14ac:dyDescent="0.25">
      <c r="A3738" t="s">
        <v>209</v>
      </c>
      <c r="B3738" t="s">
        <v>446</v>
      </c>
      <c r="C3738">
        <v>329.2</v>
      </c>
      <c r="D3738">
        <f t="shared" si="118"/>
        <v>1</v>
      </c>
      <c r="E3738" t="str">
        <f t="shared" si="119"/>
        <v>1. United States</v>
      </c>
    </row>
    <row r="3739" spans="1:5" x14ac:dyDescent="0.25">
      <c r="A3739" t="s">
        <v>46</v>
      </c>
      <c r="B3739" t="s">
        <v>446</v>
      </c>
      <c r="C3739">
        <v>159</v>
      </c>
      <c r="D3739">
        <f t="shared" si="118"/>
        <v>2</v>
      </c>
      <c r="E3739" t="str">
        <f t="shared" si="119"/>
        <v>2. China</v>
      </c>
    </row>
    <row r="3740" spans="1:5" x14ac:dyDescent="0.25">
      <c r="A3740" t="s">
        <v>106</v>
      </c>
      <c r="B3740" t="s">
        <v>446</v>
      </c>
      <c r="C3740">
        <v>66.7</v>
      </c>
      <c r="D3740">
        <f t="shared" si="118"/>
        <v>3</v>
      </c>
      <c r="E3740" t="str">
        <f t="shared" si="119"/>
        <v>3. Japan</v>
      </c>
    </row>
    <row r="3741" spans="1:5" x14ac:dyDescent="0.25">
      <c r="A3741" t="s">
        <v>113</v>
      </c>
      <c r="B3741" t="s">
        <v>446</v>
      </c>
      <c r="C3741">
        <v>51.8</v>
      </c>
      <c r="D3741">
        <f t="shared" si="118"/>
        <v>4</v>
      </c>
      <c r="E3741" t="str">
        <f t="shared" si="119"/>
        <v>4. Korea, Rep.</v>
      </c>
    </row>
    <row r="3742" spans="1:5" x14ac:dyDescent="0.25">
      <c r="A3742" t="s">
        <v>97</v>
      </c>
      <c r="B3742" t="s">
        <v>446</v>
      </c>
      <c r="C3742">
        <v>35.299999999999997</v>
      </c>
      <c r="D3742">
        <f t="shared" si="118"/>
        <v>5</v>
      </c>
      <c r="E3742" t="str">
        <f t="shared" si="119"/>
        <v>5. India</v>
      </c>
    </row>
    <row r="3743" spans="1:5" x14ac:dyDescent="0.25">
      <c r="A3743" t="s">
        <v>42</v>
      </c>
      <c r="B3743" t="s">
        <v>446</v>
      </c>
      <c r="C3743">
        <v>32.4</v>
      </c>
      <c r="D3743">
        <f t="shared" si="118"/>
        <v>6</v>
      </c>
      <c r="E3743" t="str">
        <f t="shared" si="119"/>
        <v>6. Canada</v>
      </c>
    </row>
    <row r="3744" spans="1:5" x14ac:dyDescent="0.25">
      <c r="A3744" t="s">
        <v>20</v>
      </c>
      <c r="B3744" t="s">
        <v>446</v>
      </c>
      <c r="C3744">
        <v>29.4</v>
      </c>
      <c r="D3744">
        <f t="shared" si="118"/>
        <v>7</v>
      </c>
      <c r="E3744" t="str">
        <f t="shared" si="119"/>
        <v>7. Australia</v>
      </c>
    </row>
    <row r="3745" spans="1:5" x14ac:dyDescent="0.25">
      <c r="A3745" t="s">
        <v>90</v>
      </c>
      <c r="B3745" t="s">
        <v>446</v>
      </c>
      <c r="C3745">
        <v>21.5</v>
      </c>
      <c r="D3745">
        <f t="shared" si="118"/>
        <v>8</v>
      </c>
      <c r="E3745" t="str">
        <f t="shared" si="119"/>
        <v>8. Hong Kong SAR, China</v>
      </c>
    </row>
    <row r="3746" spans="1:5" x14ac:dyDescent="0.25">
      <c r="A3746" t="s">
        <v>36</v>
      </c>
      <c r="B3746" t="s">
        <v>446</v>
      </c>
      <c r="C3746">
        <v>19.600000000000001</v>
      </c>
      <c r="D3746">
        <f t="shared" si="118"/>
        <v>9</v>
      </c>
      <c r="E3746" t="str">
        <f t="shared" si="119"/>
        <v>9. Brazil</v>
      </c>
    </row>
    <row r="3747" spans="1:5" x14ac:dyDescent="0.25">
      <c r="A3747" t="s">
        <v>60</v>
      </c>
      <c r="B3747" t="s">
        <v>446</v>
      </c>
      <c r="C3747">
        <v>18.7</v>
      </c>
      <c r="D3747">
        <f t="shared" si="118"/>
        <v>10</v>
      </c>
      <c r="E3747" t="str">
        <f t="shared" si="119"/>
        <v>10. Germany</v>
      </c>
    </row>
    <row r="3748" spans="1:5" x14ac:dyDescent="0.25">
      <c r="A3748" t="s">
        <v>132</v>
      </c>
      <c r="B3748" t="s">
        <v>446</v>
      </c>
      <c r="C3748">
        <v>15</v>
      </c>
      <c r="D3748">
        <f t="shared" si="118"/>
        <v>11</v>
      </c>
      <c r="E3748" t="str">
        <f t="shared" si="119"/>
        <v>11. Mexico</v>
      </c>
    </row>
    <row r="3749" spans="1:5" x14ac:dyDescent="0.25">
      <c r="A3749" t="s">
        <v>176</v>
      </c>
      <c r="B3749" t="s">
        <v>446</v>
      </c>
      <c r="C3749">
        <v>12.6</v>
      </c>
      <c r="D3749">
        <f t="shared" si="118"/>
        <v>12</v>
      </c>
      <c r="E3749" t="str">
        <f t="shared" si="119"/>
        <v>12. Singapore</v>
      </c>
    </row>
    <row r="3750" spans="1:5" x14ac:dyDescent="0.25">
      <c r="A3750" t="s">
        <v>171</v>
      </c>
      <c r="B3750" t="s">
        <v>446</v>
      </c>
      <c r="C3750">
        <v>11.4</v>
      </c>
      <c r="D3750">
        <f t="shared" si="118"/>
        <v>13</v>
      </c>
      <c r="E3750" t="str">
        <f t="shared" si="119"/>
        <v>13. Russian Federation</v>
      </c>
    </row>
    <row r="3751" spans="1:5" x14ac:dyDescent="0.25">
      <c r="A3751" t="s">
        <v>218</v>
      </c>
      <c r="B3751" t="s">
        <v>446</v>
      </c>
      <c r="C3751">
        <v>9.1999999999999993</v>
      </c>
      <c r="D3751">
        <f t="shared" si="118"/>
        <v>14</v>
      </c>
      <c r="E3751" t="str">
        <f t="shared" si="119"/>
        <v>14. South Africa</v>
      </c>
    </row>
    <row r="3752" spans="1:5" x14ac:dyDescent="0.25">
      <c r="A3752" t="s">
        <v>102</v>
      </c>
      <c r="B3752" t="s">
        <v>446</v>
      </c>
      <c r="C3752">
        <v>8</v>
      </c>
      <c r="D3752">
        <f t="shared" si="118"/>
        <v>15</v>
      </c>
      <c r="E3752" t="str">
        <f t="shared" si="119"/>
        <v>15. Israel</v>
      </c>
    </row>
    <row r="3753" spans="1:5" x14ac:dyDescent="0.25">
      <c r="A3753" t="s">
        <v>213</v>
      </c>
      <c r="B3753" t="s">
        <v>446</v>
      </c>
      <c r="C3753">
        <v>7.5</v>
      </c>
      <c r="D3753">
        <f t="shared" si="118"/>
        <v>16</v>
      </c>
      <c r="E3753" t="str">
        <f t="shared" si="119"/>
        <v>16. Viet Nam</v>
      </c>
    </row>
    <row r="3754" spans="1:5" x14ac:dyDescent="0.25">
      <c r="A3754" t="s">
        <v>95</v>
      </c>
      <c r="B3754" t="s">
        <v>446</v>
      </c>
      <c r="C3754">
        <v>7.4</v>
      </c>
      <c r="D3754">
        <f t="shared" si="118"/>
        <v>17</v>
      </c>
      <c r="E3754" t="str">
        <f t="shared" si="119"/>
        <v>17. Indonesia</v>
      </c>
    </row>
    <row r="3755" spans="1:5" x14ac:dyDescent="0.25">
      <c r="A3755" t="s">
        <v>196</v>
      </c>
      <c r="B3755" t="s">
        <v>446</v>
      </c>
      <c r="C3755">
        <v>7.4</v>
      </c>
      <c r="D3755">
        <f t="shared" si="118"/>
        <v>18</v>
      </c>
      <c r="E3755" t="str">
        <f t="shared" si="119"/>
        <v>18. Thailand</v>
      </c>
    </row>
    <row r="3756" spans="1:5" x14ac:dyDescent="0.25">
      <c r="A3756" t="s">
        <v>77</v>
      </c>
      <c r="B3756" t="s">
        <v>446</v>
      </c>
      <c r="C3756">
        <v>7.3</v>
      </c>
      <c r="D3756">
        <f t="shared" si="118"/>
        <v>19</v>
      </c>
      <c r="E3756" t="str">
        <f t="shared" si="119"/>
        <v>19. United Kingdom</v>
      </c>
    </row>
    <row r="3757" spans="1:5" x14ac:dyDescent="0.25">
      <c r="A3757" t="s">
        <v>145</v>
      </c>
      <c r="B3757" t="s">
        <v>446</v>
      </c>
      <c r="C3757">
        <v>6.7</v>
      </c>
      <c r="D3757">
        <f t="shared" si="118"/>
        <v>20</v>
      </c>
      <c r="E3757" t="str">
        <f t="shared" si="119"/>
        <v>20. Malaysia</v>
      </c>
    </row>
    <row r="3758" spans="1:5" x14ac:dyDescent="0.25">
      <c r="A3758" t="s">
        <v>155</v>
      </c>
      <c r="B3758" t="s">
        <v>446</v>
      </c>
      <c r="C3758">
        <v>6.5</v>
      </c>
      <c r="D3758">
        <f t="shared" si="118"/>
        <v>21</v>
      </c>
      <c r="E3758" t="str">
        <f t="shared" si="119"/>
        <v>21. New Zealand</v>
      </c>
    </row>
    <row r="3759" spans="1:5" x14ac:dyDescent="0.25">
      <c r="A3759" t="s">
        <v>160</v>
      </c>
      <c r="B3759" t="s">
        <v>446</v>
      </c>
      <c r="C3759">
        <v>3.9</v>
      </c>
      <c r="D3759">
        <f t="shared" si="118"/>
        <v>22</v>
      </c>
      <c r="E3759" t="str">
        <f t="shared" si="119"/>
        <v>22. Philippines</v>
      </c>
    </row>
    <row r="3760" spans="1:5" x14ac:dyDescent="0.25">
      <c r="A3760" t="s">
        <v>16</v>
      </c>
      <c r="B3760" t="s">
        <v>446</v>
      </c>
      <c r="C3760">
        <v>3.3</v>
      </c>
      <c r="D3760">
        <f t="shared" si="118"/>
        <v>23</v>
      </c>
      <c r="E3760" t="str">
        <f t="shared" si="119"/>
        <v>23. Argentina</v>
      </c>
    </row>
    <row r="3761" spans="1:5" x14ac:dyDescent="0.25">
      <c r="A3761" t="s">
        <v>45</v>
      </c>
      <c r="B3761" t="s">
        <v>446</v>
      </c>
      <c r="C3761">
        <v>2.7</v>
      </c>
      <c r="D3761">
        <f t="shared" si="118"/>
        <v>24</v>
      </c>
      <c r="E3761" t="str">
        <f t="shared" si="119"/>
        <v>24. Chile</v>
      </c>
    </row>
    <row r="3762" spans="1:5" x14ac:dyDescent="0.25">
      <c r="A3762" t="s">
        <v>173</v>
      </c>
      <c r="B3762" t="s">
        <v>446</v>
      </c>
      <c r="C3762">
        <v>2.6</v>
      </c>
      <c r="D3762">
        <f t="shared" si="118"/>
        <v>25</v>
      </c>
      <c r="E3762" t="str">
        <f t="shared" si="119"/>
        <v>25. Saudi Arabia</v>
      </c>
    </row>
    <row r="3763" spans="1:5" x14ac:dyDescent="0.25">
      <c r="A3763" t="s">
        <v>127</v>
      </c>
      <c r="B3763" t="s">
        <v>446</v>
      </c>
      <c r="C3763">
        <v>2.5</v>
      </c>
      <c r="D3763">
        <f t="shared" si="118"/>
        <v>26</v>
      </c>
      <c r="E3763" t="str">
        <f t="shared" si="119"/>
        <v>26. Morocco</v>
      </c>
    </row>
    <row r="3764" spans="1:5" x14ac:dyDescent="0.25">
      <c r="A3764" t="s">
        <v>15</v>
      </c>
      <c r="B3764" t="s">
        <v>446</v>
      </c>
      <c r="C3764">
        <v>2.4</v>
      </c>
      <c r="D3764">
        <f t="shared" si="118"/>
        <v>27</v>
      </c>
      <c r="E3764" t="str">
        <f t="shared" si="119"/>
        <v>27. United Arab Emirates</v>
      </c>
    </row>
    <row r="3765" spans="1:5" x14ac:dyDescent="0.25">
      <c r="A3765" t="s">
        <v>207</v>
      </c>
      <c r="B3765" t="s">
        <v>446</v>
      </c>
      <c r="C3765">
        <v>2.1</v>
      </c>
      <c r="D3765">
        <f t="shared" si="118"/>
        <v>28</v>
      </c>
      <c r="E3765" t="str">
        <f t="shared" si="119"/>
        <v>28. Ukraine</v>
      </c>
    </row>
    <row r="3766" spans="1:5" x14ac:dyDescent="0.25">
      <c r="A3766" t="s">
        <v>51</v>
      </c>
      <c r="B3766" t="s">
        <v>446</v>
      </c>
      <c r="C3766">
        <v>1.9</v>
      </c>
      <c r="D3766">
        <f t="shared" si="118"/>
        <v>29</v>
      </c>
      <c r="E3766" t="str">
        <f t="shared" si="119"/>
        <v>29. Colombia</v>
      </c>
    </row>
    <row r="3767" spans="1:5" x14ac:dyDescent="0.25">
      <c r="A3767" t="s">
        <v>73</v>
      </c>
      <c r="B3767" t="s">
        <v>446</v>
      </c>
      <c r="C3767">
        <v>1.4</v>
      </c>
      <c r="D3767">
        <f t="shared" si="118"/>
        <v>30</v>
      </c>
      <c r="E3767" t="str">
        <f t="shared" si="119"/>
        <v>30. France</v>
      </c>
    </row>
    <row r="3768" spans="1:5" x14ac:dyDescent="0.25">
      <c r="A3768" t="s">
        <v>124</v>
      </c>
      <c r="B3768" t="s">
        <v>446</v>
      </c>
      <c r="C3768">
        <v>1.4</v>
      </c>
      <c r="D3768">
        <f t="shared" si="118"/>
        <v>31</v>
      </c>
      <c r="E3768" t="str">
        <f t="shared" si="119"/>
        <v>31. Luxembourg</v>
      </c>
    </row>
    <row r="3769" spans="1:5" x14ac:dyDescent="0.25">
      <c r="A3769" t="s">
        <v>151</v>
      </c>
      <c r="B3769" t="s">
        <v>446</v>
      </c>
      <c r="C3769">
        <v>1.4</v>
      </c>
      <c r="D3769">
        <f t="shared" si="118"/>
        <v>32</v>
      </c>
      <c r="E3769" t="str">
        <f t="shared" si="119"/>
        <v>32. Netherlands</v>
      </c>
    </row>
    <row r="3770" spans="1:5" x14ac:dyDescent="0.25">
      <c r="A3770" t="s">
        <v>67</v>
      </c>
      <c r="B3770" t="s">
        <v>446</v>
      </c>
      <c r="C3770">
        <v>1.3</v>
      </c>
      <c r="D3770">
        <f t="shared" si="118"/>
        <v>33</v>
      </c>
      <c r="E3770" t="str">
        <f t="shared" si="119"/>
        <v>33. Egypt, Arab Rep.</v>
      </c>
    </row>
    <row r="3771" spans="1:5" x14ac:dyDescent="0.25">
      <c r="A3771" t="s">
        <v>159</v>
      </c>
      <c r="B3771" t="s">
        <v>446</v>
      </c>
      <c r="C3771">
        <v>1.1000000000000001</v>
      </c>
      <c r="D3771">
        <f t="shared" si="118"/>
        <v>34</v>
      </c>
      <c r="E3771" t="str">
        <f t="shared" si="119"/>
        <v>34. Peru</v>
      </c>
    </row>
    <row r="3772" spans="1:5" x14ac:dyDescent="0.25">
      <c r="A3772" t="s">
        <v>103</v>
      </c>
      <c r="B3772" t="s">
        <v>446</v>
      </c>
      <c r="C3772">
        <v>0.8</v>
      </c>
      <c r="D3772">
        <f t="shared" si="118"/>
        <v>35</v>
      </c>
      <c r="E3772" t="str">
        <f t="shared" si="119"/>
        <v>35. Italy</v>
      </c>
    </row>
    <row r="3773" spans="1:5" x14ac:dyDescent="0.25">
      <c r="A3773" t="s">
        <v>169</v>
      </c>
      <c r="B3773" t="s">
        <v>446</v>
      </c>
      <c r="C3773">
        <v>0.7</v>
      </c>
      <c r="D3773">
        <f t="shared" si="118"/>
        <v>36</v>
      </c>
      <c r="E3773" t="str">
        <f t="shared" si="119"/>
        <v>36. Qatar</v>
      </c>
    </row>
    <row r="3774" spans="1:5" x14ac:dyDescent="0.25">
      <c r="A3774" t="s">
        <v>180</v>
      </c>
      <c r="B3774" t="s">
        <v>446</v>
      </c>
      <c r="C3774">
        <v>0.7</v>
      </c>
      <c r="D3774">
        <f t="shared" si="118"/>
        <v>37</v>
      </c>
      <c r="E3774" t="str">
        <f t="shared" si="119"/>
        <v>37. San Marino</v>
      </c>
    </row>
    <row r="3775" spans="1:5" x14ac:dyDescent="0.25">
      <c r="A3775" t="s">
        <v>65</v>
      </c>
      <c r="B3775" t="s">
        <v>446</v>
      </c>
      <c r="C3775">
        <v>0.6</v>
      </c>
      <c r="D3775">
        <f t="shared" si="118"/>
        <v>38</v>
      </c>
      <c r="E3775" t="str">
        <f t="shared" si="119"/>
        <v>38. Algeria</v>
      </c>
    </row>
    <row r="3776" spans="1:5" x14ac:dyDescent="0.25">
      <c r="A3776" t="s">
        <v>54</v>
      </c>
      <c r="B3776" t="s">
        <v>446</v>
      </c>
      <c r="C3776">
        <v>0.6</v>
      </c>
      <c r="D3776">
        <f t="shared" si="118"/>
        <v>39</v>
      </c>
      <c r="E3776" t="str">
        <f t="shared" si="119"/>
        <v>39. Costa Rica</v>
      </c>
    </row>
    <row r="3777" spans="1:5" x14ac:dyDescent="0.25">
      <c r="A3777" t="s">
        <v>99</v>
      </c>
      <c r="B3777" t="s">
        <v>446</v>
      </c>
      <c r="C3777">
        <v>0.6</v>
      </c>
      <c r="D3777">
        <f t="shared" si="118"/>
        <v>40</v>
      </c>
      <c r="E3777" t="str">
        <f t="shared" si="119"/>
        <v>40. Iran, Islamic Rep.</v>
      </c>
    </row>
    <row r="3778" spans="1:5" x14ac:dyDescent="0.25">
      <c r="A3778" t="s">
        <v>152</v>
      </c>
      <c r="B3778" t="s">
        <v>446</v>
      </c>
      <c r="C3778">
        <v>0.6</v>
      </c>
      <c r="D3778">
        <f t="shared" si="118"/>
        <v>41</v>
      </c>
      <c r="E3778" t="str">
        <f t="shared" si="119"/>
        <v>41. Norway</v>
      </c>
    </row>
    <row r="3779" spans="1:5" x14ac:dyDescent="0.25">
      <c r="A3779" t="s">
        <v>157</v>
      </c>
      <c r="B3779" t="s">
        <v>446</v>
      </c>
      <c r="C3779">
        <v>0.6</v>
      </c>
      <c r="D3779">
        <f t="shared" si="118"/>
        <v>42</v>
      </c>
      <c r="E3779" t="str">
        <f t="shared" si="119"/>
        <v>42. Pakistan</v>
      </c>
    </row>
    <row r="3780" spans="1:5" x14ac:dyDescent="0.25">
      <c r="A3780" t="s">
        <v>84</v>
      </c>
      <c r="B3780" t="s">
        <v>446</v>
      </c>
      <c r="C3780">
        <v>0.5</v>
      </c>
      <c r="D3780">
        <f t="shared" ref="D3780:D3843" si="120">IF(ROW() = 2, 1, IF(B3780 = B3779, D3779 + 1, 1))</f>
        <v>43</v>
      </c>
      <c r="E3780" t="str">
        <f t="shared" ref="E3780:E3843" si="121">_xlfn.CONCAT(D3780, ". ", A3780)</f>
        <v>43. Greece</v>
      </c>
    </row>
    <row r="3781" spans="1:5" x14ac:dyDescent="0.25">
      <c r="A3781" t="s">
        <v>156</v>
      </c>
      <c r="B3781" t="s">
        <v>446</v>
      </c>
      <c r="C3781">
        <v>0.5</v>
      </c>
      <c r="D3781">
        <f t="shared" si="120"/>
        <v>44</v>
      </c>
      <c r="E3781" t="str">
        <f t="shared" si="121"/>
        <v>44. Oman</v>
      </c>
    </row>
    <row r="3782" spans="1:5" x14ac:dyDescent="0.25">
      <c r="A3782" t="s">
        <v>27</v>
      </c>
      <c r="B3782" t="s">
        <v>446</v>
      </c>
      <c r="C3782">
        <v>0.4</v>
      </c>
      <c r="D3782">
        <f t="shared" si="120"/>
        <v>45</v>
      </c>
      <c r="E3782" t="str">
        <f t="shared" si="121"/>
        <v>45. Bangladesh</v>
      </c>
    </row>
    <row r="3783" spans="1:5" x14ac:dyDescent="0.25">
      <c r="A3783" t="s">
        <v>24</v>
      </c>
      <c r="B3783" t="s">
        <v>446</v>
      </c>
      <c r="C3783">
        <v>0.4</v>
      </c>
      <c r="D3783">
        <f t="shared" si="120"/>
        <v>46</v>
      </c>
      <c r="E3783" t="str">
        <f t="shared" si="121"/>
        <v>46. Belgium</v>
      </c>
    </row>
    <row r="3784" spans="1:5" x14ac:dyDescent="0.25">
      <c r="A3784" t="s">
        <v>66</v>
      </c>
      <c r="B3784" t="s">
        <v>446</v>
      </c>
      <c r="C3784">
        <v>0.4</v>
      </c>
      <c r="D3784">
        <f t="shared" si="120"/>
        <v>47</v>
      </c>
      <c r="E3784" t="str">
        <f t="shared" si="121"/>
        <v>47. Ecuador</v>
      </c>
    </row>
    <row r="3785" spans="1:5" x14ac:dyDescent="0.25">
      <c r="A3785" t="s">
        <v>158</v>
      </c>
      <c r="B3785" t="s">
        <v>446</v>
      </c>
      <c r="C3785">
        <v>0.4</v>
      </c>
      <c r="D3785">
        <f t="shared" si="120"/>
        <v>48</v>
      </c>
      <c r="E3785" t="str">
        <f t="shared" si="121"/>
        <v>48. Panama</v>
      </c>
    </row>
    <row r="3786" spans="1:5" x14ac:dyDescent="0.25">
      <c r="A3786" t="s">
        <v>166</v>
      </c>
      <c r="B3786" t="s">
        <v>446</v>
      </c>
      <c r="C3786">
        <v>0.4</v>
      </c>
      <c r="D3786">
        <f t="shared" si="120"/>
        <v>49</v>
      </c>
      <c r="E3786" t="str">
        <f t="shared" si="121"/>
        <v>49. Paraguay</v>
      </c>
    </row>
    <row r="3787" spans="1:5" x14ac:dyDescent="0.25">
      <c r="A3787" t="s">
        <v>188</v>
      </c>
      <c r="B3787" t="s">
        <v>446</v>
      </c>
      <c r="C3787">
        <v>0.4</v>
      </c>
      <c r="D3787">
        <f t="shared" si="120"/>
        <v>50</v>
      </c>
      <c r="E3787" t="str">
        <f t="shared" si="121"/>
        <v>50. Sweden</v>
      </c>
    </row>
    <row r="3788" spans="1:5" x14ac:dyDescent="0.25">
      <c r="A3788" t="s">
        <v>29</v>
      </c>
      <c r="B3788" t="s">
        <v>446</v>
      </c>
      <c r="C3788">
        <v>0.3</v>
      </c>
      <c r="D3788">
        <f t="shared" si="120"/>
        <v>51</v>
      </c>
      <c r="E3788" t="str">
        <f t="shared" si="121"/>
        <v>51. Bahrain</v>
      </c>
    </row>
    <row r="3789" spans="1:5" x14ac:dyDescent="0.25">
      <c r="A3789" t="s">
        <v>105</v>
      </c>
      <c r="B3789" t="s">
        <v>446</v>
      </c>
      <c r="C3789">
        <v>0.3</v>
      </c>
      <c r="D3789">
        <f t="shared" si="120"/>
        <v>52</v>
      </c>
      <c r="E3789" t="str">
        <f t="shared" si="121"/>
        <v>52. Jordan</v>
      </c>
    </row>
    <row r="3790" spans="1:5" x14ac:dyDescent="0.25">
      <c r="A3790" t="s">
        <v>121</v>
      </c>
      <c r="B3790" t="s">
        <v>446</v>
      </c>
      <c r="C3790">
        <v>0.3</v>
      </c>
      <c r="D3790">
        <f t="shared" si="120"/>
        <v>53</v>
      </c>
      <c r="E3790" t="str">
        <f t="shared" si="121"/>
        <v>53. Sri Lanka</v>
      </c>
    </row>
    <row r="3791" spans="1:5" x14ac:dyDescent="0.25">
      <c r="A3791" t="s">
        <v>43</v>
      </c>
      <c r="B3791" t="s">
        <v>446</v>
      </c>
      <c r="C3791">
        <v>0.3</v>
      </c>
      <c r="D3791">
        <f t="shared" si="120"/>
        <v>54</v>
      </c>
      <c r="E3791" t="str">
        <f t="shared" si="121"/>
        <v>54. Switzerland</v>
      </c>
    </row>
    <row r="3792" spans="1:5" x14ac:dyDescent="0.25">
      <c r="A3792" t="s">
        <v>210</v>
      </c>
      <c r="B3792" t="s">
        <v>446</v>
      </c>
      <c r="C3792">
        <v>0.3</v>
      </c>
      <c r="D3792">
        <f t="shared" si="120"/>
        <v>55</v>
      </c>
      <c r="E3792" t="str">
        <f t="shared" si="121"/>
        <v>55. Uzbekistan</v>
      </c>
    </row>
    <row r="3793" spans="1:5" x14ac:dyDescent="0.25">
      <c r="A3793" t="s">
        <v>21</v>
      </c>
      <c r="B3793" t="s">
        <v>446</v>
      </c>
      <c r="C3793">
        <v>0.2</v>
      </c>
      <c r="D3793">
        <f t="shared" si="120"/>
        <v>56</v>
      </c>
      <c r="E3793" t="str">
        <f t="shared" si="121"/>
        <v>56. Austria</v>
      </c>
    </row>
    <row r="3794" spans="1:5" x14ac:dyDescent="0.25">
      <c r="A3794" t="s">
        <v>35</v>
      </c>
      <c r="B3794" t="s">
        <v>446</v>
      </c>
      <c r="C3794">
        <v>0.2</v>
      </c>
      <c r="D3794">
        <f t="shared" si="120"/>
        <v>57</v>
      </c>
      <c r="E3794" t="str">
        <f t="shared" si="121"/>
        <v>57. Bolivia</v>
      </c>
    </row>
    <row r="3795" spans="1:5" x14ac:dyDescent="0.25">
      <c r="A3795" t="s">
        <v>63</v>
      </c>
      <c r="B3795" t="s">
        <v>446</v>
      </c>
      <c r="C3795">
        <v>0.2</v>
      </c>
      <c r="D3795">
        <f t="shared" si="120"/>
        <v>58</v>
      </c>
      <c r="E3795" t="str">
        <f t="shared" si="121"/>
        <v>58. Denmark</v>
      </c>
    </row>
    <row r="3796" spans="1:5" x14ac:dyDescent="0.25">
      <c r="A3796" t="s">
        <v>64</v>
      </c>
      <c r="B3796" t="s">
        <v>446</v>
      </c>
      <c r="C3796">
        <v>0.2</v>
      </c>
      <c r="D3796">
        <f t="shared" si="120"/>
        <v>59</v>
      </c>
      <c r="E3796" t="str">
        <f t="shared" si="121"/>
        <v>59. Dominican Republic</v>
      </c>
    </row>
    <row r="3797" spans="1:5" x14ac:dyDescent="0.25">
      <c r="A3797" t="s">
        <v>78</v>
      </c>
      <c r="B3797" t="s">
        <v>446</v>
      </c>
      <c r="C3797">
        <v>0.2</v>
      </c>
      <c r="D3797">
        <f t="shared" si="120"/>
        <v>60</v>
      </c>
      <c r="E3797" t="str">
        <f t="shared" si="121"/>
        <v>60. Georgia</v>
      </c>
    </row>
    <row r="3798" spans="1:5" x14ac:dyDescent="0.25">
      <c r="A3798" t="s">
        <v>87</v>
      </c>
      <c r="B3798" t="s">
        <v>446</v>
      </c>
      <c r="C3798">
        <v>0.2</v>
      </c>
      <c r="D3798">
        <f t="shared" si="120"/>
        <v>61</v>
      </c>
      <c r="E3798" t="str">
        <f t="shared" si="121"/>
        <v>61. Guatemala</v>
      </c>
    </row>
    <row r="3799" spans="1:5" x14ac:dyDescent="0.25">
      <c r="A3799" t="s">
        <v>91</v>
      </c>
      <c r="B3799" t="s">
        <v>446</v>
      </c>
      <c r="C3799">
        <v>0.2</v>
      </c>
      <c r="D3799">
        <f t="shared" si="120"/>
        <v>62</v>
      </c>
      <c r="E3799" t="str">
        <f t="shared" si="121"/>
        <v>62. Honduras</v>
      </c>
    </row>
    <row r="3800" spans="1:5" x14ac:dyDescent="0.25">
      <c r="A3800" t="s">
        <v>203</v>
      </c>
      <c r="B3800" t="s">
        <v>446</v>
      </c>
      <c r="C3800">
        <v>0.2</v>
      </c>
      <c r="D3800">
        <f t="shared" si="120"/>
        <v>63</v>
      </c>
      <c r="E3800" t="str">
        <f t="shared" si="121"/>
        <v>63. Turkiye</v>
      </c>
    </row>
    <row r="3801" spans="1:5" x14ac:dyDescent="0.25">
      <c r="A3801" t="s">
        <v>32</v>
      </c>
      <c r="B3801" t="s">
        <v>446</v>
      </c>
      <c r="C3801">
        <v>0.1</v>
      </c>
      <c r="D3801">
        <f t="shared" si="120"/>
        <v>64</v>
      </c>
      <c r="E3801" t="str">
        <f t="shared" si="121"/>
        <v>64. Belarus</v>
      </c>
    </row>
    <row r="3802" spans="1:5" x14ac:dyDescent="0.25">
      <c r="A3802" t="s">
        <v>38</v>
      </c>
      <c r="B3802" t="s">
        <v>446</v>
      </c>
      <c r="C3802">
        <v>0.1</v>
      </c>
      <c r="D3802">
        <f t="shared" si="120"/>
        <v>65</v>
      </c>
      <c r="E3802" t="str">
        <f t="shared" si="121"/>
        <v>65. Brunei Darussalam</v>
      </c>
    </row>
    <row r="3803" spans="1:5" x14ac:dyDescent="0.25">
      <c r="A3803" t="s">
        <v>55</v>
      </c>
      <c r="B3803" t="s">
        <v>446</v>
      </c>
      <c r="C3803">
        <v>0.1</v>
      </c>
      <c r="D3803">
        <f t="shared" si="120"/>
        <v>66</v>
      </c>
      <c r="E3803" t="str">
        <f t="shared" si="121"/>
        <v>66. Cuba</v>
      </c>
    </row>
    <row r="3804" spans="1:5" x14ac:dyDescent="0.25">
      <c r="A3804" t="s">
        <v>59</v>
      </c>
      <c r="B3804" t="s">
        <v>446</v>
      </c>
      <c r="C3804">
        <v>0.1</v>
      </c>
      <c r="D3804">
        <f t="shared" si="120"/>
        <v>67</v>
      </c>
      <c r="E3804" t="str">
        <f t="shared" si="121"/>
        <v>67. Czechia</v>
      </c>
    </row>
    <row r="3805" spans="1:5" x14ac:dyDescent="0.25">
      <c r="A3805" t="s">
        <v>179</v>
      </c>
      <c r="B3805" t="s">
        <v>446</v>
      </c>
      <c r="C3805">
        <v>0.1</v>
      </c>
      <c r="D3805">
        <f t="shared" si="120"/>
        <v>68</v>
      </c>
      <c r="E3805" t="str">
        <f t="shared" si="121"/>
        <v>68. El Salvador</v>
      </c>
    </row>
    <row r="3806" spans="1:5" x14ac:dyDescent="0.25">
      <c r="A3806" t="s">
        <v>71</v>
      </c>
      <c r="B3806" t="s">
        <v>446</v>
      </c>
      <c r="C3806">
        <v>0.1</v>
      </c>
      <c r="D3806">
        <f t="shared" si="120"/>
        <v>69</v>
      </c>
      <c r="E3806" t="str">
        <f t="shared" si="121"/>
        <v>69. Finland</v>
      </c>
    </row>
    <row r="3807" spans="1:5" x14ac:dyDescent="0.25">
      <c r="A3807" t="s">
        <v>81</v>
      </c>
      <c r="B3807" t="s">
        <v>446</v>
      </c>
      <c r="C3807">
        <v>0.1</v>
      </c>
      <c r="D3807">
        <f t="shared" si="120"/>
        <v>70</v>
      </c>
      <c r="E3807" t="str">
        <f t="shared" si="121"/>
        <v>70. Gambia, The</v>
      </c>
    </row>
    <row r="3808" spans="1:5" x14ac:dyDescent="0.25">
      <c r="A3808" t="s">
        <v>104</v>
      </c>
      <c r="B3808" t="s">
        <v>446</v>
      </c>
      <c r="C3808">
        <v>0.1</v>
      </c>
      <c r="D3808">
        <f t="shared" si="120"/>
        <v>71</v>
      </c>
      <c r="E3808" t="str">
        <f t="shared" si="121"/>
        <v>71. Jamaica</v>
      </c>
    </row>
    <row r="3809" spans="1:5" x14ac:dyDescent="0.25">
      <c r="A3809" t="s">
        <v>139</v>
      </c>
      <c r="B3809" t="s">
        <v>446</v>
      </c>
      <c r="C3809">
        <v>0.1</v>
      </c>
      <c r="D3809">
        <f t="shared" si="120"/>
        <v>72</v>
      </c>
      <c r="E3809" t="str">
        <f t="shared" si="121"/>
        <v>72. Mongolia</v>
      </c>
    </row>
    <row r="3810" spans="1:5" x14ac:dyDescent="0.25">
      <c r="A3810" t="s">
        <v>163</v>
      </c>
      <c r="B3810" t="s">
        <v>446</v>
      </c>
      <c r="C3810">
        <v>0.1</v>
      </c>
      <c r="D3810">
        <f t="shared" si="120"/>
        <v>73</v>
      </c>
      <c r="E3810" t="str">
        <f t="shared" si="121"/>
        <v>73. Poland</v>
      </c>
    </row>
    <row r="3811" spans="1:5" x14ac:dyDescent="0.25">
      <c r="A3811" t="s">
        <v>68</v>
      </c>
      <c r="B3811" t="s">
        <v>446</v>
      </c>
      <c r="C3811">
        <v>0.1</v>
      </c>
      <c r="D3811">
        <f t="shared" si="120"/>
        <v>74</v>
      </c>
      <c r="E3811" t="str">
        <f t="shared" si="121"/>
        <v>74. Spain</v>
      </c>
    </row>
    <row r="3812" spans="1:5" x14ac:dyDescent="0.25">
      <c r="A3812" t="s">
        <v>201</v>
      </c>
      <c r="B3812" t="s">
        <v>446</v>
      </c>
      <c r="C3812">
        <v>0.1</v>
      </c>
      <c r="D3812">
        <f t="shared" si="120"/>
        <v>75</v>
      </c>
      <c r="E3812" t="str">
        <f t="shared" si="121"/>
        <v>75. Trinidad and Tobago</v>
      </c>
    </row>
    <row r="3813" spans="1:5" x14ac:dyDescent="0.25">
      <c r="A3813" t="s">
        <v>13</v>
      </c>
      <c r="B3813" t="s">
        <v>446</v>
      </c>
      <c r="C3813">
        <v>0</v>
      </c>
      <c r="D3813">
        <f t="shared" si="120"/>
        <v>76</v>
      </c>
      <c r="E3813" t="str">
        <f t="shared" si="121"/>
        <v>76. Albania</v>
      </c>
    </row>
    <row r="3814" spans="1:5" x14ac:dyDescent="0.25">
      <c r="A3814" t="s">
        <v>14</v>
      </c>
      <c r="B3814" t="s">
        <v>446</v>
      </c>
      <c r="C3814">
        <v>0</v>
      </c>
      <c r="D3814">
        <f t="shared" si="120"/>
        <v>77</v>
      </c>
      <c r="E3814" t="str">
        <f t="shared" si="121"/>
        <v>77. Andorra</v>
      </c>
    </row>
    <row r="3815" spans="1:5" x14ac:dyDescent="0.25">
      <c r="A3815" t="s">
        <v>19</v>
      </c>
      <c r="B3815" t="s">
        <v>446</v>
      </c>
      <c r="C3815">
        <v>0</v>
      </c>
      <c r="D3815">
        <f t="shared" si="120"/>
        <v>78</v>
      </c>
      <c r="E3815" t="str">
        <f t="shared" si="121"/>
        <v>78. Antigua and Barbuda</v>
      </c>
    </row>
    <row r="3816" spans="1:5" x14ac:dyDescent="0.25">
      <c r="A3816" t="s">
        <v>17</v>
      </c>
      <c r="B3816" t="s">
        <v>446</v>
      </c>
      <c r="C3816">
        <v>0</v>
      </c>
      <c r="D3816">
        <f t="shared" si="120"/>
        <v>79</v>
      </c>
      <c r="E3816" t="str">
        <f t="shared" si="121"/>
        <v>79. Armenia</v>
      </c>
    </row>
    <row r="3817" spans="1:5" x14ac:dyDescent="0.25">
      <c r="A3817" t="s">
        <v>22</v>
      </c>
      <c r="B3817" t="s">
        <v>446</v>
      </c>
      <c r="C3817">
        <v>0</v>
      </c>
      <c r="D3817">
        <f t="shared" si="120"/>
        <v>80</v>
      </c>
      <c r="E3817" t="str">
        <f t="shared" si="121"/>
        <v>80. Azerbaijan</v>
      </c>
    </row>
    <row r="3818" spans="1:5" x14ac:dyDescent="0.25">
      <c r="A3818" t="s">
        <v>33</v>
      </c>
      <c r="B3818" t="s">
        <v>446</v>
      </c>
      <c r="C3818">
        <v>0</v>
      </c>
      <c r="D3818">
        <f t="shared" si="120"/>
        <v>81</v>
      </c>
      <c r="E3818" t="str">
        <f t="shared" si="121"/>
        <v>81. Belize</v>
      </c>
    </row>
    <row r="3819" spans="1:5" x14ac:dyDescent="0.25">
      <c r="A3819" t="s">
        <v>39</v>
      </c>
      <c r="B3819" t="s">
        <v>446</v>
      </c>
      <c r="C3819">
        <v>0</v>
      </c>
      <c r="D3819">
        <f t="shared" si="120"/>
        <v>82</v>
      </c>
      <c r="E3819" t="str">
        <f t="shared" si="121"/>
        <v>82. Bhutan</v>
      </c>
    </row>
    <row r="3820" spans="1:5" x14ac:dyDescent="0.25">
      <c r="A3820" t="s">
        <v>31</v>
      </c>
      <c r="B3820" t="s">
        <v>446</v>
      </c>
      <c r="C3820">
        <v>0</v>
      </c>
      <c r="D3820">
        <f t="shared" si="120"/>
        <v>83</v>
      </c>
      <c r="E3820" t="str">
        <f t="shared" si="121"/>
        <v>83. Bosnia and Herzegovina</v>
      </c>
    </row>
    <row r="3821" spans="1:5" x14ac:dyDescent="0.25">
      <c r="A3821" t="s">
        <v>28</v>
      </c>
      <c r="B3821" t="s">
        <v>446</v>
      </c>
      <c r="C3821">
        <v>0</v>
      </c>
      <c r="D3821">
        <f t="shared" si="120"/>
        <v>84</v>
      </c>
      <c r="E3821" t="str">
        <f t="shared" si="121"/>
        <v>84. Bulgaria</v>
      </c>
    </row>
    <row r="3822" spans="1:5" x14ac:dyDescent="0.25">
      <c r="A3822" t="s">
        <v>53</v>
      </c>
      <c r="B3822" t="s">
        <v>446</v>
      </c>
      <c r="C3822">
        <v>0</v>
      </c>
      <c r="D3822">
        <f t="shared" si="120"/>
        <v>85</v>
      </c>
      <c r="E3822" t="str">
        <f t="shared" si="121"/>
        <v>85. Cabo Verde</v>
      </c>
    </row>
    <row r="3823" spans="1:5" x14ac:dyDescent="0.25">
      <c r="A3823" t="s">
        <v>92</v>
      </c>
      <c r="B3823" t="s">
        <v>446</v>
      </c>
      <c r="C3823">
        <v>0</v>
      </c>
      <c r="D3823">
        <f t="shared" si="120"/>
        <v>86</v>
      </c>
      <c r="E3823" t="str">
        <f t="shared" si="121"/>
        <v>86. Croatia</v>
      </c>
    </row>
    <row r="3824" spans="1:5" x14ac:dyDescent="0.25">
      <c r="A3824" t="s">
        <v>58</v>
      </c>
      <c r="B3824" t="s">
        <v>446</v>
      </c>
      <c r="C3824">
        <v>0</v>
      </c>
      <c r="D3824">
        <f t="shared" si="120"/>
        <v>87</v>
      </c>
      <c r="E3824" t="str">
        <f t="shared" si="121"/>
        <v>87. Cyprus</v>
      </c>
    </row>
    <row r="3825" spans="1:5" x14ac:dyDescent="0.25">
      <c r="A3825" t="s">
        <v>61</v>
      </c>
      <c r="B3825" t="s">
        <v>446</v>
      </c>
      <c r="C3825">
        <v>0</v>
      </c>
      <c r="D3825">
        <f t="shared" si="120"/>
        <v>88</v>
      </c>
      <c r="E3825" t="str">
        <f t="shared" si="121"/>
        <v>88. Djibouti</v>
      </c>
    </row>
    <row r="3826" spans="1:5" x14ac:dyDescent="0.25">
      <c r="A3826" t="s">
        <v>62</v>
      </c>
      <c r="B3826" t="s">
        <v>446</v>
      </c>
      <c r="C3826">
        <v>0</v>
      </c>
      <c r="D3826">
        <f t="shared" si="120"/>
        <v>89</v>
      </c>
      <c r="E3826" t="str">
        <f t="shared" si="121"/>
        <v>89. Dominica</v>
      </c>
    </row>
    <row r="3827" spans="1:5" x14ac:dyDescent="0.25">
      <c r="A3827" t="s">
        <v>69</v>
      </c>
      <c r="B3827" t="s">
        <v>446</v>
      </c>
      <c r="C3827">
        <v>0</v>
      </c>
      <c r="D3827">
        <f t="shared" si="120"/>
        <v>90</v>
      </c>
      <c r="E3827" t="str">
        <f t="shared" si="121"/>
        <v>90. Estonia</v>
      </c>
    </row>
    <row r="3828" spans="1:5" x14ac:dyDescent="0.25">
      <c r="A3828" t="s">
        <v>85</v>
      </c>
      <c r="B3828" t="s">
        <v>446</v>
      </c>
      <c r="C3828">
        <v>0</v>
      </c>
      <c r="D3828">
        <f t="shared" si="120"/>
        <v>91</v>
      </c>
      <c r="E3828" t="str">
        <f t="shared" si="121"/>
        <v>91. Grenada</v>
      </c>
    </row>
    <row r="3829" spans="1:5" x14ac:dyDescent="0.25">
      <c r="A3829" t="s">
        <v>94</v>
      </c>
      <c r="B3829" t="s">
        <v>446</v>
      </c>
      <c r="C3829">
        <v>0</v>
      </c>
      <c r="D3829">
        <f t="shared" si="120"/>
        <v>92</v>
      </c>
      <c r="E3829" t="str">
        <f t="shared" si="121"/>
        <v>92. Hungary</v>
      </c>
    </row>
    <row r="3830" spans="1:5" x14ac:dyDescent="0.25">
      <c r="A3830" t="s">
        <v>101</v>
      </c>
      <c r="B3830" t="s">
        <v>446</v>
      </c>
      <c r="C3830">
        <v>0</v>
      </c>
      <c r="D3830">
        <f t="shared" si="120"/>
        <v>93</v>
      </c>
      <c r="E3830" t="str">
        <f t="shared" si="121"/>
        <v>93. Iceland</v>
      </c>
    </row>
    <row r="3831" spans="1:5" x14ac:dyDescent="0.25">
      <c r="A3831" t="s">
        <v>98</v>
      </c>
      <c r="B3831" t="s">
        <v>446</v>
      </c>
      <c r="C3831">
        <v>0</v>
      </c>
      <c r="D3831">
        <f t="shared" si="120"/>
        <v>94</v>
      </c>
      <c r="E3831" t="str">
        <f t="shared" si="121"/>
        <v>94. Ireland</v>
      </c>
    </row>
    <row r="3832" spans="1:5" x14ac:dyDescent="0.25">
      <c r="A3832" t="s">
        <v>108</v>
      </c>
      <c r="B3832" t="s">
        <v>446</v>
      </c>
      <c r="C3832">
        <v>0</v>
      </c>
      <c r="D3832">
        <f t="shared" si="120"/>
        <v>95</v>
      </c>
      <c r="E3832" t="str">
        <f t="shared" si="121"/>
        <v>95. Kenya</v>
      </c>
    </row>
    <row r="3833" spans="1:5" x14ac:dyDescent="0.25">
      <c r="A3833" t="s">
        <v>109</v>
      </c>
      <c r="B3833" t="s">
        <v>446</v>
      </c>
      <c r="C3833">
        <v>0</v>
      </c>
      <c r="D3833">
        <f t="shared" si="120"/>
        <v>96</v>
      </c>
      <c r="E3833" t="str">
        <f t="shared" si="121"/>
        <v>96. Kyrgyz Republic</v>
      </c>
    </row>
    <row r="3834" spans="1:5" x14ac:dyDescent="0.25">
      <c r="A3834" t="s">
        <v>125</v>
      </c>
      <c r="B3834" t="s">
        <v>446</v>
      </c>
      <c r="C3834">
        <v>0</v>
      </c>
      <c r="D3834">
        <f t="shared" si="120"/>
        <v>97</v>
      </c>
      <c r="E3834" t="str">
        <f t="shared" si="121"/>
        <v>97. Latvia</v>
      </c>
    </row>
    <row r="3835" spans="1:5" x14ac:dyDescent="0.25">
      <c r="A3835" t="s">
        <v>123</v>
      </c>
      <c r="B3835" t="s">
        <v>446</v>
      </c>
      <c r="C3835">
        <v>0</v>
      </c>
      <c r="D3835">
        <f t="shared" si="120"/>
        <v>98</v>
      </c>
      <c r="E3835" t="str">
        <f t="shared" si="121"/>
        <v>98. Lithuania</v>
      </c>
    </row>
    <row r="3836" spans="1:5" x14ac:dyDescent="0.25">
      <c r="A3836" t="s">
        <v>126</v>
      </c>
      <c r="B3836" t="s">
        <v>446</v>
      </c>
      <c r="C3836">
        <v>0</v>
      </c>
      <c r="D3836">
        <f t="shared" si="120"/>
        <v>99</v>
      </c>
      <c r="E3836" t="str">
        <f t="shared" si="121"/>
        <v>99. Macao SAR, China</v>
      </c>
    </row>
    <row r="3837" spans="1:5" x14ac:dyDescent="0.25">
      <c r="A3837" t="s">
        <v>130</v>
      </c>
      <c r="B3837" t="s">
        <v>446</v>
      </c>
      <c r="C3837">
        <v>0</v>
      </c>
      <c r="D3837">
        <f t="shared" si="120"/>
        <v>100</v>
      </c>
      <c r="E3837" t="str">
        <f t="shared" si="121"/>
        <v>100. Madagascar</v>
      </c>
    </row>
    <row r="3838" spans="1:5" x14ac:dyDescent="0.25">
      <c r="A3838" t="s">
        <v>136</v>
      </c>
      <c r="B3838" t="s">
        <v>446</v>
      </c>
      <c r="C3838">
        <v>0</v>
      </c>
      <c r="D3838">
        <f t="shared" si="120"/>
        <v>101</v>
      </c>
      <c r="E3838" t="str">
        <f t="shared" si="121"/>
        <v>101. Malta</v>
      </c>
    </row>
    <row r="3839" spans="1:5" x14ac:dyDescent="0.25">
      <c r="A3839" t="s">
        <v>143</v>
      </c>
      <c r="B3839" t="s">
        <v>446</v>
      </c>
      <c r="C3839">
        <v>0</v>
      </c>
      <c r="D3839">
        <f t="shared" si="120"/>
        <v>102</v>
      </c>
      <c r="E3839" t="str">
        <f t="shared" si="121"/>
        <v>102. Mauritius</v>
      </c>
    </row>
    <row r="3840" spans="1:5" x14ac:dyDescent="0.25">
      <c r="A3840" t="s">
        <v>129</v>
      </c>
      <c r="B3840" t="s">
        <v>446</v>
      </c>
      <c r="C3840">
        <v>0</v>
      </c>
      <c r="D3840">
        <f t="shared" si="120"/>
        <v>103</v>
      </c>
      <c r="E3840" t="str">
        <f t="shared" si="121"/>
        <v>103. Moldova</v>
      </c>
    </row>
    <row r="3841" spans="1:5" x14ac:dyDescent="0.25">
      <c r="A3841" t="s">
        <v>128</v>
      </c>
      <c r="B3841" t="s">
        <v>446</v>
      </c>
      <c r="C3841">
        <v>0</v>
      </c>
      <c r="D3841">
        <f t="shared" si="120"/>
        <v>104</v>
      </c>
      <c r="E3841" t="str">
        <f t="shared" si="121"/>
        <v>104. Monaco</v>
      </c>
    </row>
    <row r="3842" spans="1:5" x14ac:dyDescent="0.25">
      <c r="A3842" t="s">
        <v>141</v>
      </c>
      <c r="B3842" t="s">
        <v>446</v>
      </c>
      <c r="C3842">
        <v>0</v>
      </c>
      <c r="D3842">
        <f t="shared" si="120"/>
        <v>105</v>
      </c>
      <c r="E3842" t="str">
        <f t="shared" si="121"/>
        <v>105. Mozambique</v>
      </c>
    </row>
    <row r="3843" spans="1:5" x14ac:dyDescent="0.25">
      <c r="A3843" t="s">
        <v>162</v>
      </c>
      <c r="B3843" t="s">
        <v>446</v>
      </c>
      <c r="C3843">
        <v>0</v>
      </c>
      <c r="D3843">
        <f t="shared" si="120"/>
        <v>106</v>
      </c>
      <c r="E3843" t="str">
        <f t="shared" si="121"/>
        <v>106. Papua New Guinea</v>
      </c>
    </row>
    <row r="3844" spans="1:5" x14ac:dyDescent="0.25">
      <c r="A3844" t="s">
        <v>165</v>
      </c>
      <c r="B3844" t="s">
        <v>446</v>
      </c>
      <c r="C3844">
        <v>0</v>
      </c>
      <c r="D3844">
        <f t="shared" ref="D3844:D3907" si="122">IF(ROW() = 2, 1, IF(B3844 = B3843, D3843 + 1, 1))</f>
        <v>107</v>
      </c>
      <c r="E3844" t="str">
        <f t="shared" ref="E3844:E3907" si="123">_xlfn.CONCAT(D3844, ". ", A3844)</f>
        <v>107. Portugal</v>
      </c>
    </row>
    <row r="3845" spans="1:5" x14ac:dyDescent="0.25">
      <c r="A3845" t="s">
        <v>170</v>
      </c>
      <c r="B3845" t="s">
        <v>446</v>
      </c>
      <c r="C3845">
        <v>0</v>
      </c>
      <c r="D3845">
        <f t="shared" si="122"/>
        <v>108</v>
      </c>
      <c r="E3845" t="str">
        <f t="shared" si="123"/>
        <v>108. Romania</v>
      </c>
    </row>
    <row r="3846" spans="1:5" x14ac:dyDescent="0.25">
      <c r="A3846" t="s">
        <v>172</v>
      </c>
      <c r="B3846" t="s">
        <v>446</v>
      </c>
      <c r="C3846">
        <v>0</v>
      </c>
      <c r="D3846">
        <f t="shared" si="122"/>
        <v>109</v>
      </c>
      <c r="E3846" t="str">
        <f t="shared" si="123"/>
        <v>109. Rwanda</v>
      </c>
    </row>
    <row r="3847" spans="1:5" x14ac:dyDescent="0.25">
      <c r="A3847" t="s">
        <v>184</v>
      </c>
      <c r="B3847" t="s">
        <v>446</v>
      </c>
      <c r="C3847">
        <v>0</v>
      </c>
      <c r="D3847">
        <f t="shared" si="122"/>
        <v>110</v>
      </c>
      <c r="E3847" t="str">
        <f t="shared" si="123"/>
        <v>110. Sao Tome and Principe</v>
      </c>
    </row>
    <row r="3848" spans="1:5" x14ac:dyDescent="0.25">
      <c r="A3848" t="s">
        <v>182</v>
      </c>
      <c r="B3848" t="s">
        <v>446</v>
      </c>
      <c r="C3848">
        <v>0</v>
      </c>
      <c r="D3848">
        <f t="shared" si="122"/>
        <v>111</v>
      </c>
      <c r="E3848" t="str">
        <f t="shared" si="123"/>
        <v>111. Serbia</v>
      </c>
    </row>
    <row r="3849" spans="1:5" x14ac:dyDescent="0.25">
      <c r="A3849" t="s">
        <v>191</v>
      </c>
      <c r="B3849" t="s">
        <v>446</v>
      </c>
      <c r="C3849">
        <v>0</v>
      </c>
      <c r="D3849">
        <f t="shared" si="122"/>
        <v>112</v>
      </c>
      <c r="E3849" t="str">
        <f t="shared" si="123"/>
        <v>112. Seychelles</v>
      </c>
    </row>
    <row r="3850" spans="1:5" x14ac:dyDescent="0.25">
      <c r="A3850" t="s">
        <v>186</v>
      </c>
      <c r="B3850" t="s">
        <v>446</v>
      </c>
      <c r="C3850">
        <v>0</v>
      </c>
      <c r="D3850">
        <f t="shared" si="122"/>
        <v>113</v>
      </c>
      <c r="E3850" t="str">
        <f t="shared" si="123"/>
        <v>113. Slovak Republic</v>
      </c>
    </row>
    <row r="3851" spans="1:5" x14ac:dyDescent="0.25">
      <c r="A3851" t="s">
        <v>187</v>
      </c>
      <c r="B3851" t="s">
        <v>446</v>
      </c>
      <c r="C3851">
        <v>0</v>
      </c>
      <c r="D3851">
        <f t="shared" si="122"/>
        <v>114</v>
      </c>
      <c r="E3851" t="str">
        <f t="shared" si="123"/>
        <v>114. Slovenia</v>
      </c>
    </row>
    <row r="3852" spans="1:5" x14ac:dyDescent="0.25">
      <c r="A3852" t="s">
        <v>211</v>
      </c>
      <c r="B3852" t="s">
        <v>446</v>
      </c>
      <c r="C3852">
        <v>0</v>
      </c>
      <c r="D3852">
        <f t="shared" si="122"/>
        <v>115</v>
      </c>
      <c r="E3852" t="str">
        <f t="shared" si="123"/>
        <v>115. St. Vincent and the Grenadines</v>
      </c>
    </row>
    <row r="3853" spans="1:5" x14ac:dyDescent="0.25">
      <c r="A3853" t="s">
        <v>192</v>
      </c>
      <c r="B3853" t="s">
        <v>446</v>
      </c>
      <c r="C3853">
        <v>0</v>
      </c>
      <c r="D3853">
        <f t="shared" si="122"/>
        <v>116</v>
      </c>
      <c r="E3853" t="str">
        <f t="shared" si="123"/>
        <v>116. Syrian Arab Republic</v>
      </c>
    </row>
    <row r="3854" spans="1:5" x14ac:dyDescent="0.25">
      <c r="A3854" t="s">
        <v>200</v>
      </c>
      <c r="B3854" t="s">
        <v>446</v>
      </c>
      <c r="C3854">
        <v>0</v>
      </c>
      <c r="D3854">
        <f t="shared" si="122"/>
        <v>117</v>
      </c>
      <c r="E3854" t="str">
        <f t="shared" si="123"/>
        <v>117. Tonga</v>
      </c>
    </row>
    <row r="3855" spans="1:5" x14ac:dyDescent="0.25">
      <c r="A3855" t="s">
        <v>204</v>
      </c>
      <c r="B3855" t="s">
        <v>446</v>
      </c>
      <c r="C3855">
        <v>0</v>
      </c>
      <c r="D3855">
        <f t="shared" si="122"/>
        <v>118</v>
      </c>
      <c r="E3855" t="str">
        <f t="shared" si="123"/>
        <v>118. Tuvalu</v>
      </c>
    </row>
    <row r="3856" spans="1:5" x14ac:dyDescent="0.25">
      <c r="A3856" t="s">
        <v>206</v>
      </c>
      <c r="B3856" t="s">
        <v>446</v>
      </c>
      <c r="C3856">
        <v>0</v>
      </c>
      <c r="D3856">
        <f t="shared" si="122"/>
        <v>119</v>
      </c>
      <c r="E3856" t="str">
        <f t="shared" si="123"/>
        <v>119. Uganda</v>
      </c>
    </row>
    <row r="3857" spans="1:5" x14ac:dyDescent="0.25">
      <c r="A3857" t="s">
        <v>217</v>
      </c>
      <c r="B3857" t="s">
        <v>446</v>
      </c>
      <c r="C3857">
        <v>0</v>
      </c>
      <c r="D3857">
        <f t="shared" si="122"/>
        <v>120</v>
      </c>
      <c r="E3857" t="str">
        <f t="shared" si="123"/>
        <v>120. Yemen, Rep.</v>
      </c>
    </row>
    <row r="3858" spans="1:5" x14ac:dyDescent="0.25">
      <c r="A3858" t="s">
        <v>219</v>
      </c>
      <c r="B3858" t="s">
        <v>446</v>
      </c>
      <c r="C3858">
        <v>0</v>
      </c>
      <c r="D3858">
        <f t="shared" si="122"/>
        <v>121</v>
      </c>
      <c r="E3858" t="str">
        <f t="shared" si="123"/>
        <v>121. Zambia</v>
      </c>
    </row>
    <row r="3859" spans="1:5" x14ac:dyDescent="0.25">
      <c r="A3859" t="s">
        <v>46</v>
      </c>
      <c r="B3859" t="s">
        <v>445</v>
      </c>
      <c r="C3859" s="56">
        <v>1426.6</v>
      </c>
      <c r="D3859">
        <f t="shared" si="122"/>
        <v>1</v>
      </c>
      <c r="E3859" t="str">
        <f t="shared" si="123"/>
        <v>1. China</v>
      </c>
    </row>
    <row r="3860" spans="1:5" x14ac:dyDescent="0.25">
      <c r="A3860" t="s">
        <v>209</v>
      </c>
      <c r="B3860" t="s">
        <v>445</v>
      </c>
      <c r="C3860" s="56">
        <v>262.2</v>
      </c>
      <c r="D3860">
        <f t="shared" si="122"/>
        <v>2</v>
      </c>
      <c r="E3860" t="str">
        <f t="shared" si="123"/>
        <v>2. United States</v>
      </c>
    </row>
    <row r="3861" spans="1:5" x14ac:dyDescent="0.25">
      <c r="A3861" t="s">
        <v>106</v>
      </c>
      <c r="B3861" t="s">
        <v>445</v>
      </c>
      <c r="C3861" s="56">
        <v>222.5</v>
      </c>
      <c r="D3861">
        <f t="shared" si="122"/>
        <v>3</v>
      </c>
      <c r="E3861" t="str">
        <f t="shared" si="123"/>
        <v>3. Japan</v>
      </c>
    </row>
    <row r="3862" spans="1:5" x14ac:dyDescent="0.25">
      <c r="A3862" t="s">
        <v>113</v>
      </c>
      <c r="B3862" t="s">
        <v>445</v>
      </c>
      <c r="C3862" s="56">
        <v>186.2</v>
      </c>
      <c r="D3862">
        <f t="shared" si="122"/>
        <v>4</v>
      </c>
      <c r="E3862" t="str">
        <f t="shared" si="123"/>
        <v>4. Korea, Rep.</v>
      </c>
    </row>
    <row r="3863" spans="1:5" x14ac:dyDescent="0.25">
      <c r="A3863" t="s">
        <v>60</v>
      </c>
      <c r="B3863" t="s">
        <v>445</v>
      </c>
      <c r="C3863" s="56">
        <v>39.799999999999997</v>
      </c>
      <c r="D3863">
        <f t="shared" si="122"/>
        <v>5</v>
      </c>
      <c r="E3863" t="str">
        <f t="shared" si="123"/>
        <v>5. Germany</v>
      </c>
    </row>
    <row r="3864" spans="1:5" x14ac:dyDescent="0.25">
      <c r="A3864" t="s">
        <v>97</v>
      </c>
      <c r="B3864" t="s">
        <v>445</v>
      </c>
      <c r="C3864" s="56">
        <v>26.3</v>
      </c>
      <c r="D3864">
        <f t="shared" si="122"/>
        <v>6</v>
      </c>
      <c r="E3864" t="str">
        <f t="shared" si="123"/>
        <v>6. India</v>
      </c>
    </row>
    <row r="3865" spans="1:5" x14ac:dyDescent="0.25">
      <c r="A3865" t="s">
        <v>171</v>
      </c>
      <c r="B3865" t="s">
        <v>445</v>
      </c>
      <c r="C3865" s="56">
        <v>19.600000000000001</v>
      </c>
      <c r="D3865">
        <f t="shared" si="122"/>
        <v>7</v>
      </c>
      <c r="E3865" t="str">
        <f t="shared" si="123"/>
        <v>7. Russian Federation</v>
      </c>
    </row>
    <row r="3866" spans="1:5" x14ac:dyDescent="0.25">
      <c r="A3866" t="s">
        <v>73</v>
      </c>
      <c r="B3866" t="s">
        <v>445</v>
      </c>
      <c r="C3866" s="56">
        <v>13.4</v>
      </c>
      <c r="D3866">
        <f t="shared" si="122"/>
        <v>8</v>
      </c>
      <c r="E3866" t="str">
        <f t="shared" si="123"/>
        <v>8. France</v>
      </c>
    </row>
    <row r="3867" spans="1:5" x14ac:dyDescent="0.25">
      <c r="A3867" t="s">
        <v>77</v>
      </c>
      <c r="B3867" t="s">
        <v>445</v>
      </c>
      <c r="C3867" s="56">
        <v>11.6</v>
      </c>
      <c r="D3867">
        <f t="shared" si="122"/>
        <v>9</v>
      </c>
      <c r="E3867" t="str">
        <f t="shared" si="123"/>
        <v>9. United Kingdom</v>
      </c>
    </row>
    <row r="3868" spans="1:5" x14ac:dyDescent="0.25">
      <c r="A3868" t="s">
        <v>103</v>
      </c>
      <c r="B3868" t="s">
        <v>445</v>
      </c>
      <c r="C3868" s="56">
        <v>10.3</v>
      </c>
      <c r="D3868">
        <f t="shared" si="122"/>
        <v>10</v>
      </c>
      <c r="E3868" t="str">
        <f t="shared" si="123"/>
        <v>10. Italy</v>
      </c>
    </row>
    <row r="3869" spans="1:5" x14ac:dyDescent="0.25">
      <c r="A3869" t="s">
        <v>99</v>
      </c>
      <c r="B3869" t="s">
        <v>445</v>
      </c>
      <c r="C3869" s="56">
        <v>10.199999999999999</v>
      </c>
      <c r="D3869">
        <f t="shared" si="122"/>
        <v>11</v>
      </c>
      <c r="E3869" t="str">
        <f t="shared" si="123"/>
        <v>11. Iran, Islamic Rep.</v>
      </c>
    </row>
    <row r="3870" spans="1:5" x14ac:dyDescent="0.25">
      <c r="A3870" t="s">
        <v>203</v>
      </c>
      <c r="B3870" t="s">
        <v>445</v>
      </c>
      <c r="C3870" s="56">
        <v>8.1999999999999993</v>
      </c>
      <c r="D3870">
        <f t="shared" si="122"/>
        <v>12</v>
      </c>
      <c r="E3870" t="str">
        <f t="shared" si="123"/>
        <v>12. Turkiye</v>
      </c>
    </row>
    <row r="3871" spans="1:5" x14ac:dyDescent="0.25">
      <c r="A3871" t="s">
        <v>36</v>
      </c>
      <c r="B3871" t="s">
        <v>445</v>
      </c>
      <c r="C3871" s="56">
        <v>4.7</v>
      </c>
      <c r="D3871">
        <f t="shared" si="122"/>
        <v>13</v>
      </c>
      <c r="E3871" t="str">
        <f t="shared" si="123"/>
        <v>13. Brazil</v>
      </c>
    </row>
    <row r="3872" spans="1:5" x14ac:dyDescent="0.25">
      <c r="A3872" t="s">
        <v>42</v>
      </c>
      <c r="B3872" t="s">
        <v>445</v>
      </c>
      <c r="C3872" s="56">
        <v>4.7</v>
      </c>
      <c r="D3872">
        <f t="shared" si="122"/>
        <v>14</v>
      </c>
      <c r="E3872" t="str">
        <f t="shared" si="123"/>
        <v>14. Canada</v>
      </c>
    </row>
    <row r="3873" spans="1:5" x14ac:dyDescent="0.25">
      <c r="A3873" t="s">
        <v>163</v>
      </c>
      <c r="B3873" t="s">
        <v>445</v>
      </c>
      <c r="C3873" s="56">
        <v>3.4</v>
      </c>
      <c r="D3873">
        <f t="shared" si="122"/>
        <v>15</v>
      </c>
      <c r="E3873" t="str">
        <f t="shared" si="123"/>
        <v>15. Poland</v>
      </c>
    </row>
    <row r="3874" spans="1:5" x14ac:dyDescent="0.25">
      <c r="A3874" t="s">
        <v>20</v>
      </c>
      <c r="B3874" t="s">
        <v>445</v>
      </c>
      <c r="C3874" s="56">
        <v>3</v>
      </c>
      <c r="D3874">
        <f t="shared" si="122"/>
        <v>16</v>
      </c>
      <c r="E3874" t="str">
        <f t="shared" si="123"/>
        <v>16. Australia</v>
      </c>
    </row>
    <row r="3875" spans="1:5" x14ac:dyDescent="0.25">
      <c r="A3875" t="s">
        <v>151</v>
      </c>
      <c r="B3875" t="s">
        <v>445</v>
      </c>
      <c r="C3875" s="56">
        <v>2.1</v>
      </c>
      <c r="D3875">
        <f t="shared" si="122"/>
        <v>17</v>
      </c>
      <c r="E3875" t="str">
        <f t="shared" si="123"/>
        <v>17. Netherlands</v>
      </c>
    </row>
    <row r="3876" spans="1:5" x14ac:dyDescent="0.25">
      <c r="A3876" t="s">
        <v>176</v>
      </c>
      <c r="B3876" t="s">
        <v>445</v>
      </c>
      <c r="C3876" s="56">
        <v>2</v>
      </c>
      <c r="D3876">
        <f t="shared" si="122"/>
        <v>18</v>
      </c>
      <c r="E3876" t="str">
        <f t="shared" si="123"/>
        <v>18. Singapore</v>
      </c>
    </row>
    <row r="3877" spans="1:5" x14ac:dyDescent="0.25">
      <c r="A3877" t="s">
        <v>21</v>
      </c>
      <c r="B3877" t="s">
        <v>445</v>
      </c>
      <c r="C3877" s="56">
        <v>1.9</v>
      </c>
      <c r="D3877">
        <f t="shared" si="122"/>
        <v>19</v>
      </c>
      <c r="E3877" t="str">
        <f t="shared" si="123"/>
        <v>19. Austria</v>
      </c>
    </row>
    <row r="3878" spans="1:5" x14ac:dyDescent="0.25">
      <c r="A3878" t="s">
        <v>218</v>
      </c>
      <c r="B3878" t="s">
        <v>445</v>
      </c>
      <c r="C3878" s="56">
        <v>1.8</v>
      </c>
      <c r="D3878">
        <f t="shared" si="122"/>
        <v>20</v>
      </c>
      <c r="E3878" t="str">
        <f t="shared" si="123"/>
        <v>20. South Africa</v>
      </c>
    </row>
    <row r="3879" spans="1:5" x14ac:dyDescent="0.25">
      <c r="A3879" t="s">
        <v>188</v>
      </c>
      <c r="B3879" t="s">
        <v>445</v>
      </c>
      <c r="C3879" s="56">
        <v>1.8</v>
      </c>
      <c r="D3879">
        <f t="shared" si="122"/>
        <v>21</v>
      </c>
      <c r="E3879" t="str">
        <f t="shared" si="123"/>
        <v>21. Sweden</v>
      </c>
    </row>
    <row r="3880" spans="1:5" x14ac:dyDescent="0.25">
      <c r="A3880" t="s">
        <v>71</v>
      </c>
      <c r="B3880" t="s">
        <v>445</v>
      </c>
      <c r="C3880" s="56">
        <v>1.6</v>
      </c>
      <c r="D3880">
        <f t="shared" si="122"/>
        <v>22</v>
      </c>
      <c r="E3880" t="str">
        <f t="shared" si="123"/>
        <v>22. Finland</v>
      </c>
    </row>
    <row r="3881" spans="1:5" x14ac:dyDescent="0.25">
      <c r="A3881" t="s">
        <v>102</v>
      </c>
      <c r="B3881" t="s">
        <v>445</v>
      </c>
      <c r="C3881" s="56">
        <v>1.6</v>
      </c>
      <c r="D3881">
        <f t="shared" si="122"/>
        <v>23</v>
      </c>
      <c r="E3881" t="str">
        <f t="shared" si="123"/>
        <v>23. Israel</v>
      </c>
    </row>
    <row r="3882" spans="1:5" x14ac:dyDescent="0.25">
      <c r="A3882" t="s">
        <v>95</v>
      </c>
      <c r="B3882" t="s">
        <v>445</v>
      </c>
      <c r="C3882" s="56">
        <v>1.4</v>
      </c>
      <c r="D3882">
        <f t="shared" si="122"/>
        <v>24</v>
      </c>
      <c r="E3882" t="str">
        <f t="shared" si="123"/>
        <v>24. Indonesia</v>
      </c>
    </row>
    <row r="3883" spans="1:5" x14ac:dyDescent="0.25">
      <c r="A3883" t="s">
        <v>173</v>
      </c>
      <c r="B3883" t="s">
        <v>445</v>
      </c>
      <c r="C3883" s="56">
        <v>1.4</v>
      </c>
      <c r="D3883">
        <f t="shared" si="122"/>
        <v>25</v>
      </c>
      <c r="E3883" t="str">
        <f t="shared" si="123"/>
        <v>25. Saudi Arabia</v>
      </c>
    </row>
    <row r="3884" spans="1:5" x14ac:dyDescent="0.25">
      <c r="A3884" t="s">
        <v>68</v>
      </c>
      <c r="B3884" t="s">
        <v>445</v>
      </c>
      <c r="C3884" s="56">
        <v>1.3</v>
      </c>
      <c r="D3884">
        <f t="shared" si="122"/>
        <v>26</v>
      </c>
      <c r="E3884" t="str">
        <f t="shared" si="123"/>
        <v>26. Spain</v>
      </c>
    </row>
    <row r="3885" spans="1:5" x14ac:dyDescent="0.25">
      <c r="A3885" t="s">
        <v>43</v>
      </c>
      <c r="B3885" t="s">
        <v>445</v>
      </c>
      <c r="C3885" s="56">
        <v>1.3</v>
      </c>
      <c r="D3885">
        <f t="shared" si="122"/>
        <v>27</v>
      </c>
      <c r="E3885" t="str">
        <f t="shared" si="123"/>
        <v>27. Switzerland</v>
      </c>
    </row>
    <row r="3886" spans="1:5" x14ac:dyDescent="0.25">
      <c r="A3886" t="s">
        <v>207</v>
      </c>
      <c r="B3886" t="s">
        <v>445</v>
      </c>
      <c r="C3886" s="56">
        <v>1.3</v>
      </c>
      <c r="D3886">
        <f t="shared" si="122"/>
        <v>28</v>
      </c>
      <c r="E3886" t="str">
        <f t="shared" si="123"/>
        <v>28. Ukraine</v>
      </c>
    </row>
    <row r="3887" spans="1:5" x14ac:dyDescent="0.25">
      <c r="A3887" t="s">
        <v>63</v>
      </c>
      <c r="B3887" t="s">
        <v>445</v>
      </c>
      <c r="C3887" s="56">
        <v>1.1000000000000001</v>
      </c>
      <c r="D3887">
        <f t="shared" si="122"/>
        <v>29</v>
      </c>
      <c r="E3887" t="str">
        <f t="shared" si="123"/>
        <v>29. Denmark</v>
      </c>
    </row>
    <row r="3888" spans="1:5" x14ac:dyDescent="0.25">
      <c r="A3888" t="s">
        <v>132</v>
      </c>
      <c r="B3888" t="s">
        <v>445</v>
      </c>
      <c r="C3888" s="56">
        <v>1.1000000000000001</v>
      </c>
      <c r="D3888">
        <f t="shared" si="122"/>
        <v>30</v>
      </c>
      <c r="E3888" t="str">
        <f t="shared" si="123"/>
        <v>30. Mexico</v>
      </c>
    </row>
    <row r="3889" spans="1:5" x14ac:dyDescent="0.25">
      <c r="A3889" t="s">
        <v>213</v>
      </c>
      <c r="B3889" t="s">
        <v>445</v>
      </c>
      <c r="C3889" s="56">
        <v>1.1000000000000001</v>
      </c>
      <c r="D3889">
        <f t="shared" si="122"/>
        <v>31</v>
      </c>
      <c r="E3889" t="str">
        <f t="shared" si="123"/>
        <v>31. Viet Nam</v>
      </c>
    </row>
    <row r="3890" spans="1:5" x14ac:dyDescent="0.25">
      <c r="A3890" t="s">
        <v>67</v>
      </c>
      <c r="B3890" t="s">
        <v>445</v>
      </c>
      <c r="C3890" s="56">
        <v>0.9</v>
      </c>
      <c r="D3890">
        <f t="shared" si="122"/>
        <v>32</v>
      </c>
      <c r="E3890" t="str">
        <f t="shared" si="123"/>
        <v>32. Egypt, Arab Rep.</v>
      </c>
    </row>
    <row r="3891" spans="1:5" x14ac:dyDescent="0.25">
      <c r="A3891" t="s">
        <v>145</v>
      </c>
      <c r="B3891" t="s">
        <v>445</v>
      </c>
      <c r="C3891" s="56">
        <v>0.9</v>
      </c>
      <c r="D3891">
        <f t="shared" si="122"/>
        <v>33</v>
      </c>
      <c r="E3891" t="str">
        <f t="shared" si="123"/>
        <v>33. Malaysia</v>
      </c>
    </row>
    <row r="3892" spans="1:5" x14ac:dyDescent="0.25">
      <c r="A3892" t="s">
        <v>152</v>
      </c>
      <c r="B3892" t="s">
        <v>445</v>
      </c>
      <c r="C3892" s="56">
        <v>0.9</v>
      </c>
      <c r="D3892">
        <f t="shared" si="122"/>
        <v>34</v>
      </c>
      <c r="E3892" t="str">
        <f t="shared" si="123"/>
        <v>34. Norway</v>
      </c>
    </row>
    <row r="3893" spans="1:5" x14ac:dyDescent="0.25">
      <c r="A3893" t="s">
        <v>196</v>
      </c>
      <c r="B3893" t="s">
        <v>445</v>
      </c>
      <c r="C3893" s="56">
        <v>0.9</v>
      </c>
      <c r="D3893">
        <f t="shared" si="122"/>
        <v>35</v>
      </c>
      <c r="E3893" t="str">
        <f t="shared" si="123"/>
        <v>35. Thailand</v>
      </c>
    </row>
    <row r="3894" spans="1:5" x14ac:dyDescent="0.25">
      <c r="A3894" t="s">
        <v>24</v>
      </c>
      <c r="B3894" t="s">
        <v>445</v>
      </c>
      <c r="C3894" s="56">
        <v>0.8</v>
      </c>
      <c r="D3894">
        <f t="shared" si="122"/>
        <v>36</v>
      </c>
      <c r="E3894" t="str">
        <f t="shared" si="123"/>
        <v>36. Belgium</v>
      </c>
    </row>
    <row r="3895" spans="1:5" x14ac:dyDescent="0.25">
      <c r="A3895" t="s">
        <v>170</v>
      </c>
      <c r="B3895" t="s">
        <v>445</v>
      </c>
      <c r="C3895" s="56">
        <v>0.8</v>
      </c>
      <c r="D3895">
        <f t="shared" si="122"/>
        <v>37</v>
      </c>
      <c r="E3895" t="str">
        <f t="shared" si="123"/>
        <v>37. Romania</v>
      </c>
    </row>
    <row r="3896" spans="1:5" x14ac:dyDescent="0.25">
      <c r="A3896" t="s">
        <v>165</v>
      </c>
      <c r="B3896" t="s">
        <v>445</v>
      </c>
      <c r="C3896" s="56">
        <v>0.7</v>
      </c>
      <c r="D3896">
        <f t="shared" si="122"/>
        <v>38</v>
      </c>
      <c r="E3896" t="str">
        <f t="shared" si="123"/>
        <v>38. Portugal</v>
      </c>
    </row>
    <row r="3897" spans="1:5" x14ac:dyDescent="0.25">
      <c r="A3897" t="s">
        <v>59</v>
      </c>
      <c r="B3897" t="s">
        <v>445</v>
      </c>
      <c r="C3897" s="56">
        <v>0.5</v>
      </c>
      <c r="D3897">
        <f t="shared" si="122"/>
        <v>39</v>
      </c>
      <c r="E3897" t="str">
        <f t="shared" si="123"/>
        <v>39. Czechia</v>
      </c>
    </row>
    <row r="3898" spans="1:5" x14ac:dyDescent="0.25">
      <c r="A3898" t="s">
        <v>160</v>
      </c>
      <c r="B3898" t="s">
        <v>445</v>
      </c>
      <c r="C3898" s="56">
        <v>0.5</v>
      </c>
      <c r="D3898">
        <f t="shared" si="122"/>
        <v>40</v>
      </c>
      <c r="E3898" t="str">
        <f t="shared" si="123"/>
        <v>40. Philippines</v>
      </c>
    </row>
    <row r="3899" spans="1:5" x14ac:dyDescent="0.25">
      <c r="A3899" t="s">
        <v>16</v>
      </c>
      <c r="B3899" t="s">
        <v>445</v>
      </c>
      <c r="C3899" s="56">
        <v>0.4</v>
      </c>
      <c r="D3899">
        <f t="shared" si="122"/>
        <v>41</v>
      </c>
      <c r="E3899" t="str">
        <f t="shared" si="123"/>
        <v>41. Argentina</v>
      </c>
    </row>
    <row r="3900" spans="1:5" x14ac:dyDescent="0.25">
      <c r="A3900" t="s">
        <v>45</v>
      </c>
      <c r="B3900" t="s">
        <v>445</v>
      </c>
      <c r="C3900" s="56">
        <v>0.4</v>
      </c>
      <c r="D3900">
        <f t="shared" si="122"/>
        <v>42</v>
      </c>
      <c r="E3900" t="str">
        <f t="shared" si="123"/>
        <v>42. Chile</v>
      </c>
    </row>
    <row r="3901" spans="1:5" x14ac:dyDescent="0.25">
      <c r="A3901" t="s">
        <v>51</v>
      </c>
      <c r="B3901" t="s">
        <v>445</v>
      </c>
      <c r="C3901" s="56">
        <v>0.4</v>
      </c>
      <c r="D3901">
        <f t="shared" si="122"/>
        <v>43</v>
      </c>
      <c r="E3901" t="str">
        <f t="shared" si="123"/>
        <v>43. Colombia</v>
      </c>
    </row>
    <row r="3902" spans="1:5" x14ac:dyDescent="0.25">
      <c r="A3902" t="s">
        <v>84</v>
      </c>
      <c r="B3902" t="s">
        <v>445</v>
      </c>
      <c r="C3902" s="56">
        <v>0.4</v>
      </c>
      <c r="D3902">
        <f t="shared" si="122"/>
        <v>44</v>
      </c>
      <c r="E3902" t="str">
        <f t="shared" si="123"/>
        <v>44. Greece</v>
      </c>
    </row>
    <row r="3903" spans="1:5" x14ac:dyDescent="0.25">
      <c r="A3903" t="s">
        <v>90</v>
      </c>
      <c r="B3903" t="s">
        <v>445</v>
      </c>
      <c r="C3903" s="56">
        <v>0.4</v>
      </c>
      <c r="D3903">
        <f t="shared" si="122"/>
        <v>45</v>
      </c>
      <c r="E3903" t="str">
        <f t="shared" si="123"/>
        <v>45. Hong Kong SAR, China</v>
      </c>
    </row>
    <row r="3904" spans="1:5" x14ac:dyDescent="0.25">
      <c r="A3904" t="s">
        <v>94</v>
      </c>
      <c r="B3904" t="s">
        <v>445</v>
      </c>
      <c r="C3904" s="56">
        <v>0.4</v>
      </c>
      <c r="D3904">
        <f t="shared" si="122"/>
        <v>46</v>
      </c>
      <c r="E3904" t="str">
        <f t="shared" si="123"/>
        <v>46. Hungary</v>
      </c>
    </row>
    <row r="3905" spans="1:5" x14ac:dyDescent="0.25">
      <c r="A3905" t="s">
        <v>157</v>
      </c>
      <c r="B3905" t="s">
        <v>445</v>
      </c>
      <c r="C3905" s="56">
        <v>0.4</v>
      </c>
      <c r="D3905">
        <f t="shared" si="122"/>
        <v>47</v>
      </c>
      <c r="E3905" t="str">
        <f t="shared" si="123"/>
        <v>47. Pakistan</v>
      </c>
    </row>
    <row r="3906" spans="1:5" x14ac:dyDescent="0.25">
      <c r="A3906" t="s">
        <v>210</v>
      </c>
      <c r="B3906" t="s">
        <v>445</v>
      </c>
      <c r="C3906" s="56">
        <v>0.4</v>
      </c>
      <c r="D3906">
        <f t="shared" si="122"/>
        <v>48</v>
      </c>
      <c r="E3906" t="str">
        <f t="shared" si="123"/>
        <v>48. Uzbekistan</v>
      </c>
    </row>
    <row r="3907" spans="1:5" x14ac:dyDescent="0.25">
      <c r="A3907" t="s">
        <v>65</v>
      </c>
      <c r="B3907" t="s">
        <v>445</v>
      </c>
      <c r="C3907" s="56">
        <v>0.3</v>
      </c>
      <c r="D3907">
        <f t="shared" si="122"/>
        <v>49</v>
      </c>
      <c r="E3907" t="str">
        <f t="shared" si="123"/>
        <v>49. Algeria</v>
      </c>
    </row>
    <row r="3908" spans="1:5" x14ac:dyDescent="0.25">
      <c r="A3908" t="s">
        <v>32</v>
      </c>
      <c r="B3908" t="s">
        <v>445</v>
      </c>
      <c r="C3908" s="56">
        <v>0.3</v>
      </c>
      <c r="D3908">
        <f t="shared" ref="D3908:D3971" si="124">IF(ROW() = 2, 1, IF(B3908 = B3907, D3907 + 1, 1))</f>
        <v>50</v>
      </c>
      <c r="E3908" t="str">
        <f t="shared" ref="E3908:E3971" si="125">_xlfn.CONCAT(D3908, ". ", A3908)</f>
        <v>50. Belarus</v>
      </c>
    </row>
    <row r="3909" spans="1:5" x14ac:dyDescent="0.25">
      <c r="A3909" t="s">
        <v>127</v>
      </c>
      <c r="B3909" t="s">
        <v>445</v>
      </c>
      <c r="C3909" s="56">
        <v>0.3</v>
      </c>
      <c r="D3909">
        <f t="shared" si="124"/>
        <v>51</v>
      </c>
      <c r="E3909" t="str">
        <f t="shared" si="125"/>
        <v>51. Morocco</v>
      </c>
    </row>
    <row r="3910" spans="1:5" x14ac:dyDescent="0.25">
      <c r="A3910" t="s">
        <v>155</v>
      </c>
      <c r="B3910" t="s">
        <v>445</v>
      </c>
      <c r="C3910" s="56">
        <v>0.3</v>
      </c>
      <c r="D3910">
        <f t="shared" si="124"/>
        <v>52</v>
      </c>
      <c r="E3910" t="str">
        <f t="shared" si="125"/>
        <v>52. New Zealand</v>
      </c>
    </row>
    <row r="3911" spans="1:5" x14ac:dyDescent="0.25">
      <c r="A3911" t="s">
        <v>121</v>
      </c>
      <c r="B3911" t="s">
        <v>445</v>
      </c>
      <c r="C3911" s="56">
        <v>0.3</v>
      </c>
      <c r="D3911">
        <f t="shared" si="124"/>
        <v>53</v>
      </c>
      <c r="E3911" t="str">
        <f t="shared" si="125"/>
        <v>53. Sri Lanka</v>
      </c>
    </row>
    <row r="3912" spans="1:5" x14ac:dyDescent="0.25">
      <c r="A3912" t="s">
        <v>28</v>
      </c>
      <c r="B3912" t="s">
        <v>445</v>
      </c>
      <c r="C3912" s="56">
        <v>0.2</v>
      </c>
      <c r="D3912">
        <f t="shared" si="124"/>
        <v>54</v>
      </c>
      <c r="E3912" t="str">
        <f t="shared" si="125"/>
        <v>54. Bulgaria</v>
      </c>
    </row>
    <row r="3913" spans="1:5" x14ac:dyDescent="0.25">
      <c r="A3913" t="s">
        <v>108</v>
      </c>
      <c r="B3913" t="s">
        <v>445</v>
      </c>
      <c r="C3913" s="56">
        <v>0.2</v>
      </c>
      <c r="D3913">
        <f t="shared" si="124"/>
        <v>55</v>
      </c>
      <c r="E3913" t="str">
        <f t="shared" si="125"/>
        <v>55. Kenya</v>
      </c>
    </row>
    <row r="3914" spans="1:5" x14ac:dyDescent="0.25">
      <c r="A3914" t="s">
        <v>187</v>
      </c>
      <c r="B3914" t="s">
        <v>445</v>
      </c>
      <c r="C3914" s="56">
        <v>0.2</v>
      </c>
      <c r="D3914">
        <f t="shared" si="124"/>
        <v>56</v>
      </c>
      <c r="E3914" t="str">
        <f t="shared" si="125"/>
        <v>56. Slovenia</v>
      </c>
    </row>
    <row r="3915" spans="1:5" x14ac:dyDescent="0.25">
      <c r="A3915" t="s">
        <v>22</v>
      </c>
      <c r="B3915" t="s">
        <v>445</v>
      </c>
      <c r="C3915" s="56">
        <v>0.1</v>
      </c>
      <c r="D3915">
        <f t="shared" si="124"/>
        <v>57</v>
      </c>
      <c r="E3915" t="str">
        <f t="shared" si="125"/>
        <v>57. Azerbaijan</v>
      </c>
    </row>
    <row r="3916" spans="1:5" x14ac:dyDescent="0.25">
      <c r="A3916" t="s">
        <v>27</v>
      </c>
      <c r="B3916" t="s">
        <v>445</v>
      </c>
      <c r="C3916" s="56">
        <v>0.1</v>
      </c>
      <c r="D3916">
        <f t="shared" si="124"/>
        <v>58</v>
      </c>
      <c r="E3916" t="str">
        <f t="shared" si="125"/>
        <v>58. Bangladesh</v>
      </c>
    </row>
    <row r="3917" spans="1:5" x14ac:dyDescent="0.25">
      <c r="A3917" t="s">
        <v>37</v>
      </c>
      <c r="B3917" t="s">
        <v>445</v>
      </c>
      <c r="C3917" s="56">
        <v>0.1</v>
      </c>
      <c r="D3917">
        <f t="shared" si="124"/>
        <v>59</v>
      </c>
      <c r="E3917" t="str">
        <f t="shared" si="125"/>
        <v>59. Barbados</v>
      </c>
    </row>
    <row r="3918" spans="1:5" x14ac:dyDescent="0.25">
      <c r="A3918" t="s">
        <v>31</v>
      </c>
      <c r="B3918" t="s">
        <v>445</v>
      </c>
      <c r="C3918" s="56">
        <v>0.1</v>
      </c>
      <c r="D3918">
        <f t="shared" si="124"/>
        <v>60</v>
      </c>
      <c r="E3918" t="str">
        <f t="shared" si="125"/>
        <v>60. Bosnia and Herzegovina</v>
      </c>
    </row>
    <row r="3919" spans="1:5" x14ac:dyDescent="0.25">
      <c r="A3919" t="s">
        <v>92</v>
      </c>
      <c r="B3919" t="s">
        <v>445</v>
      </c>
      <c r="C3919" s="56">
        <v>0.1</v>
      </c>
      <c r="D3919">
        <f t="shared" si="124"/>
        <v>61</v>
      </c>
      <c r="E3919" t="str">
        <f t="shared" si="125"/>
        <v>61. Croatia</v>
      </c>
    </row>
    <row r="3920" spans="1:5" x14ac:dyDescent="0.25">
      <c r="A3920" t="s">
        <v>78</v>
      </c>
      <c r="B3920" t="s">
        <v>445</v>
      </c>
      <c r="C3920" s="56">
        <v>0.1</v>
      </c>
      <c r="D3920">
        <f t="shared" si="124"/>
        <v>62</v>
      </c>
      <c r="E3920" t="str">
        <f t="shared" si="125"/>
        <v>62. Georgia</v>
      </c>
    </row>
    <row r="3921" spans="1:5" x14ac:dyDescent="0.25">
      <c r="A3921" t="s">
        <v>98</v>
      </c>
      <c r="B3921" t="s">
        <v>445</v>
      </c>
      <c r="C3921" s="56">
        <v>0.1</v>
      </c>
      <c r="D3921">
        <f t="shared" si="124"/>
        <v>63</v>
      </c>
      <c r="E3921" t="str">
        <f t="shared" si="125"/>
        <v>63. Ireland</v>
      </c>
    </row>
    <row r="3922" spans="1:5" x14ac:dyDescent="0.25">
      <c r="A3922" t="s">
        <v>109</v>
      </c>
      <c r="B3922" t="s">
        <v>445</v>
      </c>
      <c r="C3922" s="56">
        <v>0.1</v>
      </c>
      <c r="D3922">
        <f t="shared" si="124"/>
        <v>64</v>
      </c>
      <c r="E3922" t="str">
        <f t="shared" si="125"/>
        <v>64. Kyrgyz Republic</v>
      </c>
    </row>
    <row r="3923" spans="1:5" x14ac:dyDescent="0.25">
      <c r="A3923" t="s">
        <v>125</v>
      </c>
      <c r="B3923" t="s">
        <v>445</v>
      </c>
      <c r="C3923" s="56">
        <v>0.1</v>
      </c>
      <c r="D3923">
        <f t="shared" si="124"/>
        <v>65</v>
      </c>
      <c r="E3923" t="str">
        <f t="shared" si="125"/>
        <v>65. Latvia</v>
      </c>
    </row>
    <row r="3924" spans="1:5" x14ac:dyDescent="0.25">
      <c r="A3924" t="s">
        <v>123</v>
      </c>
      <c r="B3924" t="s">
        <v>445</v>
      </c>
      <c r="C3924" s="56">
        <v>0.1</v>
      </c>
      <c r="D3924">
        <f t="shared" si="124"/>
        <v>66</v>
      </c>
      <c r="E3924" t="str">
        <f t="shared" si="125"/>
        <v>66. Lithuania</v>
      </c>
    </row>
    <row r="3925" spans="1:5" x14ac:dyDescent="0.25">
      <c r="A3925" t="s">
        <v>124</v>
      </c>
      <c r="B3925" t="s">
        <v>445</v>
      </c>
      <c r="C3925" s="56">
        <v>0.1</v>
      </c>
      <c r="D3925">
        <f t="shared" si="124"/>
        <v>67</v>
      </c>
      <c r="E3925" t="str">
        <f t="shared" si="125"/>
        <v>67. Luxembourg</v>
      </c>
    </row>
    <row r="3926" spans="1:5" x14ac:dyDescent="0.25">
      <c r="A3926" t="s">
        <v>129</v>
      </c>
      <c r="B3926" t="s">
        <v>445</v>
      </c>
      <c r="C3926" s="56">
        <v>0.1</v>
      </c>
      <c r="D3926">
        <f t="shared" si="124"/>
        <v>68</v>
      </c>
      <c r="E3926" t="str">
        <f t="shared" si="125"/>
        <v>68. Moldova</v>
      </c>
    </row>
    <row r="3927" spans="1:5" x14ac:dyDescent="0.25">
      <c r="A3927" t="s">
        <v>139</v>
      </c>
      <c r="B3927" t="s">
        <v>445</v>
      </c>
      <c r="C3927" s="56">
        <v>0.1</v>
      </c>
      <c r="D3927">
        <f t="shared" si="124"/>
        <v>69</v>
      </c>
      <c r="E3927" t="str">
        <f t="shared" si="125"/>
        <v>69. Mongolia</v>
      </c>
    </row>
    <row r="3928" spans="1:5" x14ac:dyDescent="0.25">
      <c r="A3928" t="s">
        <v>159</v>
      </c>
      <c r="B3928" t="s">
        <v>445</v>
      </c>
      <c r="C3928" s="56">
        <v>0.1</v>
      </c>
      <c r="D3928">
        <f t="shared" si="124"/>
        <v>70</v>
      </c>
      <c r="E3928" t="str">
        <f t="shared" si="125"/>
        <v>70. Peru</v>
      </c>
    </row>
    <row r="3929" spans="1:5" x14ac:dyDescent="0.25">
      <c r="A3929" t="s">
        <v>182</v>
      </c>
      <c r="B3929" t="s">
        <v>445</v>
      </c>
      <c r="C3929" s="56">
        <v>0.1</v>
      </c>
      <c r="D3929">
        <f t="shared" si="124"/>
        <v>71</v>
      </c>
      <c r="E3929" t="str">
        <f t="shared" si="125"/>
        <v>71. Serbia</v>
      </c>
    </row>
    <row r="3930" spans="1:5" x14ac:dyDescent="0.25">
      <c r="A3930" t="s">
        <v>186</v>
      </c>
      <c r="B3930" t="s">
        <v>445</v>
      </c>
      <c r="C3930" s="56">
        <v>0.1</v>
      </c>
      <c r="D3930">
        <f t="shared" si="124"/>
        <v>72</v>
      </c>
      <c r="E3930" t="str">
        <f t="shared" si="125"/>
        <v>72. Slovak Republic</v>
      </c>
    </row>
    <row r="3931" spans="1:5" x14ac:dyDescent="0.25">
      <c r="A3931" t="s">
        <v>192</v>
      </c>
      <c r="B3931" t="s">
        <v>445</v>
      </c>
      <c r="C3931" s="56">
        <v>0.1</v>
      </c>
      <c r="D3931">
        <f t="shared" si="124"/>
        <v>73</v>
      </c>
      <c r="E3931" t="str">
        <f t="shared" si="125"/>
        <v>73. Syrian Arab Republic</v>
      </c>
    </row>
    <row r="3932" spans="1:5" x14ac:dyDescent="0.25">
      <c r="A3932" t="s">
        <v>15</v>
      </c>
      <c r="B3932" t="s">
        <v>445</v>
      </c>
      <c r="C3932" s="56">
        <v>0.1</v>
      </c>
      <c r="D3932">
        <f t="shared" si="124"/>
        <v>74</v>
      </c>
      <c r="E3932" t="str">
        <f t="shared" si="125"/>
        <v>74. United Arab Emirates</v>
      </c>
    </row>
    <row r="3933" spans="1:5" x14ac:dyDescent="0.25">
      <c r="A3933" t="s">
        <v>13</v>
      </c>
      <c r="B3933" t="s">
        <v>445</v>
      </c>
      <c r="C3933" s="56">
        <v>0</v>
      </c>
      <c r="D3933">
        <f t="shared" si="124"/>
        <v>75</v>
      </c>
      <c r="E3933" t="str">
        <f t="shared" si="125"/>
        <v>75. Albania</v>
      </c>
    </row>
    <row r="3934" spans="1:5" x14ac:dyDescent="0.25">
      <c r="A3934" t="s">
        <v>14</v>
      </c>
      <c r="B3934" t="s">
        <v>445</v>
      </c>
      <c r="C3934" s="56">
        <v>0</v>
      </c>
      <c r="D3934">
        <f t="shared" si="124"/>
        <v>76</v>
      </c>
      <c r="E3934" t="str">
        <f t="shared" si="125"/>
        <v>76. Andorra</v>
      </c>
    </row>
    <row r="3935" spans="1:5" x14ac:dyDescent="0.25">
      <c r="A3935" t="s">
        <v>17</v>
      </c>
      <c r="B3935" t="s">
        <v>445</v>
      </c>
      <c r="C3935" s="56">
        <v>0</v>
      </c>
      <c r="D3935">
        <f t="shared" si="124"/>
        <v>77</v>
      </c>
      <c r="E3935" t="str">
        <f t="shared" si="125"/>
        <v>77. Armenia</v>
      </c>
    </row>
    <row r="3936" spans="1:5" x14ac:dyDescent="0.25">
      <c r="A3936" t="s">
        <v>29</v>
      </c>
      <c r="B3936" t="s">
        <v>445</v>
      </c>
      <c r="C3936" s="56">
        <v>0</v>
      </c>
      <c r="D3936">
        <f t="shared" si="124"/>
        <v>78</v>
      </c>
      <c r="E3936" t="str">
        <f t="shared" si="125"/>
        <v>78. Bahrain</v>
      </c>
    </row>
    <row r="3937" spans="1:5" x14ac:dyDescent="0.25">
      <c r="A3937" t="s">
        <v>35</v>
      </c>
      <c r="B3937" t="s">
        <v>445</v>
      </c>
      <c r="C3937" s="56">
        <v>0</v>
      </c>
      <c r="D3937">
        <f t="shared" si="124"/>
        <v>79</v>
      </c>
      <c r="E3937" t="str">
        <f t="shared" si="125"/>
        <v>79. Bolivia</v>
      </c>
    </row>
    <row r="3938" spans="1:5" x14ac:dyDescent="0.25">
      <c r="A3938" t="s">
        <v>40</v>
      </c>
      <c r="B3938" t="s">
        <v>445</v>
      </c>
      <c r="C3938" s="56">
        <v>0</v>
      </c>
      <c r="D3938">
        <f t="shared" si="124"/>
        <v>80</v>
      </c>
      <c r="E3938" t="str">
        <f t="shared" si="125"/>
        <v>80. Botswana</v>
      </c>
    </row>
    <row r="3939" spans="1:5" x14ac:dyDescent="0.25">
      <c r="A3939" t="s">
        <v>38</v>
      </c>
      <c r="B3939" t="s">
        <v>445</v>
      </c>
      <c r="C3939" s="56">
        <v>0</v>
      </c>
      <c r="D3939">
        <f t="shared" si="124"/>
        <v>81</v>
      </c>
      <c r="E3939" t="str">
        <f t="shared" si="125"/>
        <v>81. Brunei Darussalam</v>
      </c>
    </row>
    <row r="3940" spans="1:5" x14ac:dyDescent="0.25">
      <c r="A3940" t="s">
        <v>53</v>
      </c>
      <c r="B3940" t="s">
        <v>445</v>
      </c>
      <c r="C3940" s="56">
        <v>0</v>
      </c>
      <c r="D3940">
        <f t="shared" si="124"/>
        <v>82</v>
      </c>
      <c r="E3940" t="str">
        <f t="shared" si="125"/>
        <v>82. Cabo Verde</v>
      </c>
    </row>
    <row r="3941" spans="1:5" x14ac:dyDescent="0.25">
      <c r="A3941" t="s">
        <v>54</v>
      </c>
      <c r="B3941" t="s">
        <v>445</v>
      </c>
      <c r="C3941" s="56">
        <v>0</v>
      </c>
      <c r="D3941">
        <f t="shared" si="124"/>
        <v>83</v>
      </c>
      <c r="E3941" t="str">
        <f t="shared" si="125"/>
        <v>83. Costa Rica</v>
      </c>
    </row>
    <row r="3942" spans="1:5" x14ac:dyDescent="0.25">
      <c r="A3942" t="s">
        <v>55</v>
      </c>
      <c r="B3942" t="s">
        <v>445</v>
      </c>
      <c r="C3942" s="56">
        <v>0</v>
      </c>
      <c r="D3942">
        <f t="shared" si="124"/>
        <v>84</v>
      </c>
      <c r="E3942" t="str">
        <f t="shared" si="125"/>
        <v>84. Cuba</v>
      </c>
    </row>
    <row r="3943" spans="1:5" x14ac:dyDescent="0.25">
      <c r="A3943" t="s">
        <v>58</v>
      </c>
      <c r="B3943" t="s">
        <v>445</v>
      </c>
      <c r="C3943" s="56">
        <v>0</v>
      </c>
      <c r="D3943">
        <f t="shared" si="124"/>
        <v>85</v>
      </c>
      <c r="E3943" t="str">
        <f t="shared" si="125"/>
        <v>85. Cyprus</v>
      </c>
    </row>
    <row r="3944" spans="1:5" x14ac:dyDescent="0.25">
      <c r="A3944" t="s">
        <v>61</v>
      </c>
      <c r="B3944" t="s">
        <v>445</v>
      </c>
      <c r="C3944" s="56">
        <v>0</v>
      </c>
      <c r="D3944">
        <f t="shared" si="124"/>
        <v>86</v>
      </c>
      <c r="E3944" t="str">
        <f t="shared" si="125"/>
        <v>86. Djibouti</v>
      </c>
    </row>
    <row r="3945" spans="1:5" x14ac:dyDescent="0.25">
      <c r="A3945" t="s">
        <v>64</v>
      </c>
      <c r="B3945" t="s">
        <v>445</v>
      </c>
      <c r="C3945" s="56">
        <v>0</v>
      </c>
      <c r="D3945">
        <f t="shared" si="124"/>
        <v>87</v>
      </c>
      <c r="E3945" t="str">
        <f t="shared" si="125"/>
        <v>87. Dominican Republic</v>
      </c>
    </row>
    <row r="3946" spans="1:5" x14ac:dyDescent="0.25">
      <c r="A3946" t="s">
        <v>66</v>
      </c>
      <c r="B3946" t="s">
        <v>445</v>
      </c>
      <c r="C3946" s="56">
        <v>0</v>
      </c>
      <c r="D3946">
        <f t="shared" si="124"/>
        <v>88</v>
      </c>
      <c r="E3946" t="str">
        <f t="shared" si="125"/>
        <v>88. Ecuador</v>
      </c>
    </row>
    <row r="3947" spans="1:5" x14ac:dyDescent="0.25">
      <c r="A3947" t="s">
        <v>179</v>
      </c>
      <c r="B3947" t="s">
        <v>445</v>
      </c>
      <c r="C3947" s="56">
        <v>0</v>
      </c>
      <c r="D3947">
        <f t="shared" si="124"/>
        <v>89</v>
      </c>
      <c r="E3947" t="str">
        <f t="shared" si="125"/>
        <v>89. El Salvador</v>
      </c>
    </row>
    <row r="3948" spans="1:5" x14ac:dyDescent="0.25">
      <c r="A3948" t="s">
        <v>69</v>
      </c>
      <c r="B3948" t="s">
        <v>445</v>
      </c>
      <c r="C3948" s="56">
        <v>0</v>
      </c>
      <c r="D3948">
        <f t="shared" si="124"/>
        <v>90</v>
      </c>
      <c r="E3948" t="str">
        <f t="shared" si="125"/>
        <v>90. Estonia</v>
      </c>
    </row>
    <row r="3949" spans="1:5" x14ac:dyDescent="0.25">
      <c r="A3949" t="s">
        <v>87</v>
      </c>
      <c r="B3949" t="s">
        <v>445</v>
      </c>
      <c r="C3949" s="56">
        <v>0</v>
      </c>
      <c r="D3949">
        <f t="shared" si="124"/>
        <v>91</v>
      </c>
      <c r="E3949" t="str">
        <f t="shared" si="125"/>
        <v>91. Guatemala</v>
      </c>
    </row>
    <row r="3950" spans="1:5" x14ac:dyDescent="0.25">
      <c r="A3950" t="s">
        <v>89</v>
      </c>
      <c r="B3950" t="s">
        <v>445</v>
      </c>
      <c r="C3950" s="56">
        <v>0</v>
      </c>
      <c r="D3950">
        <f t="shared" si="124"/>
        <v>92</v>
      </c>
      <c r="E3950" t="str">
        <f t="shared" si="125"/>
        <v>92. Guyana</v>
      </c>
    </row>
    <row r="3951" spans="1:5" x14ac:dyDescent="0.25">
      <c r="A3951" t="s">
        <v>101</v>
      </c>
      <c r="B3951" t="s">
        <v>445</v>
      </c>
      <c r="C3951" s="56">
        <v>0</v>
      </c>
      <c r="D3951">
        <f t="shared" si="124"/>
        <v>93</v>
      </c>
      <c r="E3951" t="str">
        <f t="shared" si="125"/>
        <v>93. Iceland</v>
      </c>
    </row>
    <row r="3952" spans="1:5" x14ac:dyDescent="0.25">
      <c r="A3952" t="s">
        <v>104</v>
      </c>
      <c r="B3952" t="s">
        <v>445</v>
      </c>
      <c r="C3952" s="56">
        <v>0</v>
      </c>
      <c r="D3952">
        <f t="shared" si="124"/>
        <v>94</v>
      </c>
      <c r="E3952" t="str">
        <f t="shared" si="125"/>
        <v>94. Jamaica</v>
      </c>
    </row>
    <row r="3953" spans="1:5" x14ac:dyDescent="0.25">
      <c r="A3953" t="s">
        <v>105</v>
      </c>
      <c r="B3953" t="s">
        <v>445</v>
      </c>
      <c r="C3953" s="56">
        <v>0</v>
      </c>
      <c r="D3953">
        <f t="shared" si="124"/>
        <v>95</v>
      </c>
      <c r="E3953" t="str">
        <f t="shared" si="125"/>
        <v>95. Jordan</v>
      </c>
    </row>
    <row r="3954" spans="1:5" x14ac:dyDescent="0.25">
      <c r="A3954" t="s">
        <v>126</v>
      </c>
      <c r="B3954" t="s">
        <v>445</v>
      </c>
      <c r="C3954" s="56">
        <v>0</v>
      </c>
      <c r="D3954">
        <f t="shared" si="124"/>
        <v>96</v>
      </c>
      <c r="E3954" t="str">
        <f t="shared" si="125"/>
        <v>96. Macao SAR, China</v>
      </c>
    </row>
    <row r="3955" spans="1:5" x14ac:dyDescent="0.25">
      <c r="A3955" t="s">
        <v>130</v>
      </c>
      <c r="B3955" t="s">
        <v>445</v>
      </c>
      <c r="C3955" s="56">
        <v>0</v>
      </c>
      <c r="D3955">
        <f t="shared" si="124"/>
        <v>97</v>
      </c>
      <c r="E3955" t="str">
        <f t="shared" si="125"/>
        <v>97. Madagascar</v>
      </c>
    </row>
    <row r="3956" spans="1:5" x14ac:dyDescent="0.25">
      <c r="A3956" t="s">
        <v>136</v>
      </c>
      <c r="B3956" t="s">
        <v>445</v>
      </c>
      <c r="C3956" s="56">
        <v>0</v>
      </c>
      <c r="D3956">
        <f t="shared" si="124"/>
        <v>98</v>
      </c>
      <c r="E3956" t="str">
        <f t="shared" si="125"/>
        <v>98. Malta</v>
      </c>
    </row>
    <row r="3957" spans="1:5" x14ac:dyDescent="0.25">
      <c r="A3957" t="s">
        <v>143</v>
      </c>
      <c r="B3957" t="s">
        <v>445</v>
      </c>
      <c r="C3957" s="56">
        <v>0</v>
      </c>
      <c r="D3957">
        <f t="shared" si="124"/>
        <v>99</v>
      </c>
      <c r="E3957" t="str">
        <f t="shared" si="125"/>
        <v>99. Mauritius</v>
      </c>
    </row>
    <row r="3958" spans="1:5" x14ac:dyDescent="0.25">
      <c r="A3958" t="s">
        <v>128</v>
      </c>
      <c r="B3958" t="s">
        <v>445</v>
      </c>
      <c r="C3958" s="56">
        <v>0</v>
      </c>
      <c r="D3958">
        <f t="shared" si="124"/>
        <v>100</v>
      </c>
      <c r="E3958" t="str">
        <f t="shared" si="125"/>
        <v>100. Monaco</v>
      </c>
    </row>
    <row r="3959" spans="1:5" x14ac:dyDescent="0.25">
      <c r="A3959" t="s">
        <v>141</v>
      </c>
      <c r="B3959" t="s">
        <v>445</v>
      </c>
      <c r="C3959" s="56">
        <v>0</v>
      </c>
      <c r="D3959">
        <f t="shared" si="124"/>
        <v>101</v>
      </c>
      <c r="E3959" t="str">
        <f t="shared" si="125"/>
        <v>101. Mozambique</v>
      </c>
    </row>
    <row r="3960" spans="1:5" x14ac:dyDescent="0.25">
      <c r="A3960" t="s">
        <v>134</v>
      </c>
      <c r="B3960" t="s">
        <v>445</v>
      </c>
      <c r="C3960" s="56">
        <v>0</v>
      </c>
      <c r="D3960">
        <f t="shared" si="124"/>
        <v>102</v>
      </c>
      <c r="E3960" t="str">
        <f t="shared" si="125"/>
        <v>102. North Macedonia</v>
      </c>
    </row>
    <row r="3961" spans="1:5" x14ac:dyDescent="0.25">
      <c r="A3961" t="s">
        <v>156</v>
      </c>
      <c r="B3961" t="s">
        <v>445</v>
      </c>
      <c r="C3961" s="56">
        <v>0</v>
      </c>
      <c r="D3961">
        <f t="shared" si="124"/>
        <v>103</v>
      </c>
      <c r="E3961" t="str">
        <f t="shared" si="125"/>
        <v>103. Oman</v>
      </c>
    </row>
    <row r="3962" spans="1:5" x14ac:dyDescent="0.25">
      <c r="A3962" t="s">
        <v>158</v>
      </c>
      <c r="B3962" t="s">
        <v>445</v>
      </c>
      <c r="C3962" s="56">
        <v>0</v>
      </c>
      <c r="D3962">
        <f t="shared" si="124"/>
        <v>104</v>
      </c>
      <c r="E3962" t="str">
        <f t="shared" si="125"/>
        <v>104. Panama</v>
      </c>
    </row>
    <row r="3963" spans="1:5" x14ac:dyDescent="0.25">
      <c r="A3963" t="s">
        <v>166</v>
      </c>
      <c r="B3963" t="s">
        <v>445</v>
      </c>
      <c r="C3963" s="56">
        <v>0</v>
      </c>
      <c r="D3963">
        <f t="shared" si="124"/>
        <v>105</v>
      </c>
      <c r="E3963" t="str">
        <f t="shared" si="125"/>
        <v>105. Paraguay</v>
      </c>
    </row>
    <row r="3964" spans="1:5" x14ac:dyDescent="0.25">
      <c r="A3964" t="s">
        <v>169</v>
      </c>
      <c r="B3964" t="s">
        <v>445</v>
      </c>
      <c r="C3964" s="56">
        <v>0</v>
      </c>
      <c r="D3964">
        <f t="shared" si="124"/>
        <v>106</v>
      </c>
      <c r="E3964" t="str">
        <f t="shared" si="125"/>
        <v>106. Qatar</v>
      </c>
    </row>
    <row r="3965" spans="1:5" x14ac:dyDescent="0.25">
      <c r="A3965" t="s">
        <v>172</v>
      </c>
      <c r="B3965" t="s">
        <v>445</v>
      </c>
      <c r="C3965" s="56">
        <v>0</v>
      </c>
      <c r="D3965">
        <f t="shared" si="124"/>
        <v>107</v>
      </c>
      <c r="E3965" t="str">
        <f t="shared" si="125"/>
        <v>107. Rwanda</v>
      </c>
    </row>
    <row r="3966" spans="1:5" x14ac:dyDescent="0.25">
      <c r="A3966" t="s">
        <v>215</v>
      </c>
      <c r="B3966" t="s">
        <v>445</v>
      </c>
      <c r="C3966" s="56">
        <v>0</v>
      </c>
      <c r="D3966">
        <f t="shared" si="124"/>
        <v>108</v>
      </c>
      <c r="E3966" t="str">
        <f t="shared" si="125"/>
        <v>108. Samoa</v>
      </c>
    </row>
    <row r="3967" spans="1:5" x14ac:dyDescent="0.25">
      <c r="A3967" t="s">
        <v>180</v>
      </c>
      <c r="B3967" t="s">
        <v>445</v>
      </c>
      <c r="C3967" s="56">
        <v>0</v>
      </c>
      <c r="D3967">
        <f t="shared" si="124"/>
        <v>109</v>
      </c>
      <c r="E3967" t="str">
        <f t="shared" si="125"/>
        <v>109. San Marino</v>
      </c>
    </row>
    <row r="3968" spans="1:5" x14ac:dyDescent="0.25">
      <c r="A3968" t="s">
        <v>201</v>
      </c>
      <c r="B3968" t="s">
        <v>445</v>
      </c>
      <c r="C3968" s="56">
        <v>0</v>
      </c>
      <c r="D3968">
        <f t="shared" si="124"/>
        <v>110</v>
      </c>
      <c r="E3968" t="str">
        <f t="shared" si="125"/>
        <v>110. Trinidad and Tobago</v>
      </c>
    </row>
    <row r="3969" spans="1:5" x14ac:dyDescent="0.25">
      <c r="A3969" t="s">
        <v>206</v>
      </c>
      <c r="B3969" t="s">
        <v>445</v>
      </c>
      <c r="C3969" s="56">
        <v>0</v>
      </c>
      <c r="D3969">
        <f t="shared" si="124"/>
        <v>111</v>
      </c>
      <c r="E3969" t="str">
        <f t="shared" si="125"/>
        <v>111. Uganda</v>
      </c>
    </row>
    <row r="3970" spans="1:5" x14ac:dyDescent="0.25">
      <c r="A3970" t="s">
        <v>217</v>
      </c>
      <c r="B3970" t="s">
        <v>445</v>
      </c>
      <c r="C3970" s="56">
        <v>0</v>
      </c>
      <c r="D3970">
        <f t="shared" si="124"/>
        <v>112</v>
      </c>
      <c r="E3970" t="str">
        <f t="shared" si="125"/>
        <v>112. Yemen, Rep.</v>
      </c>
    </row>
    <row r="3971" spans="1:5" x14ac:dyDescent="0.25">
      <c r="A3971" t="s">
        <v>219</v>
      </c>
      <c r="B3971" t="s">
        <v>445</v>
      </c>
      <c r="C3971" s="56">
        <v>0</v>
      </c>
      <c r="D3971">
        <f t="shared" si="124"/>
        <v>113</v>
      </c>
      <c r="E3971" t="str">
        <f t="shared" si="125"/>
        <v>113. Zambia</v>
      </c>
    </row>
    <row r="3972" spans="1:5" x14ac:dyDescent="0.25">
      <c r="A3972" t="s">
        <v>97</v>
      </c>
      <c r="B3972" t="s">
        <v>357</v>
      </c>
      <c r="C3972">
        <v>1450.9</v>
      </c>
      <c r="D3972">
        <f t="shared" ref="D3972:D4035" si="126">IF(ROW() = 2, 1, IF(B3972 = B3971, D3971 + 1, 1))</f>
        <v>1</v>
      </c>
      <c r="E3972" t="str">
        <f t="shared" ref="E3972:E4035" si="127">_xlfn.CONCAT(D3972, ". ", A3972)</f>
        <v>1. India</v>
      </c>
    </row>
    <row r="3973" spans="1:5" x14ac:dyDescent="0.25">
      <c r="A3973" t="s">
        <v>46</v>
      </c>
      <c r="B3973" t="s">
        <v>357</v>
      </c>
      <c r="C3973">
        <v>1409</v>
      </c>
      <c r="D3973">
        <f t="shared" si="126"/>
        <v>2</v>
      </c>
      <c r="E3973" t="str">
        <f t="shared" si="127"/>
        <v>2. China</v>
      </c>
    </row>
    <row r="3974" spans="1:5" x14ac:dyDescent="0.25">
      <c r="A3974" t="s">
        <v>209</v>
      </c>
      <c r="B3974" t="s">
        <v>357</v>
      </c>
      <c r="C3974">
        <v>340.1</v>
      </c>
      <c r="D3974">
        <f t="shared" si="126"/>
        <v>3</v>
      </c>
      <c r="E3974" t="str">
        <f t="shared" si="127"/>
        <v>3. United States</v>
      </c>
    </row>
    <row r="3975" spans="1:5" x14ac:dyDescent="0.25">
      <c r="A3975" t="s">
        <v>95</v>
      </c>
      <c r="B3975" t="s">
        <v>357</v>
      </c>
      <c r="C3975">
        <v>283.5</v>
      </c>
      <c r="D3975">
        <f t="shared" si="126"/>
        <v>4</v>
      </c>
      <c r="E3975" t="str">
        <f t="shared" si="127"/>
        <v>4. Indonesia</v>
      </c>
    </row>
    <row r="3976" spans="1:5" x14ac:dyDescent="0.25">
      <c r="A3976" t="s">
        <v>157</v>
      </c>
      <c r="B3976" t="s">
        <v>357</v>
      </c>
      <c r="C3976">
        <v>251.3</v>
      </c>
      <c r="D3976">
        <f t="shared" si="126"/>
        <v>5</v>
      </c>
      <c r="E3976" t="str">
        <f t="shared" si="127"/>
        <v>5. Pakistan</v>
      </c>
    </row>
    <row r="3977" spans="1:5" x14ac:dyDescent="0.25">
      <c r="A3977" t="s">
        <v>149</v>
      </c>
      <c r="B3977" t="s">
        <v>357</v>
      </c>
      <c r="C3977">
        <v>232.7</v>
      </c>
      <c r="D3977">
        <f t="shared" si="126"/>
        <v>6</v>
      </c>
      <c r="E3977" t="str">
        <f t="shared" si="127"/>
        <v>6. Nigeria</v>
      </c>
    </row>
    <row r="3978" spans="1:5" x14ac:dyDescent="0.25">
      <c r="A3978" t="s">
        <v>36</v>
      </c>
      <c r="B3978" t="s">
        <v>357</v>
      </c>
      <c r="C3978">
        <v>212</v>
      </c>
      <c r="D3978">
        <f t="shared" si="126"/>
        <v>7</v>
      </c>
      <c r="E3978" t="str">
        <f t="shared" si="127"/>
        <v>7. Brazil</v>
      </c>
    </row>
    <row r="3979" spans="1:5" x14ac:dyDescent="0.25">
      <c r="A3979" t="s">
        <v>27</v>
      </c>
      <c r="B3979" t="s">
        <v>357</v>
      </c>
      <c r="C3979">
        <v>173.6</v>
      </c>
      <c r="D3979">
        <f t="shared" si="126"/>
        <v>8</v>
      </c>
      <c r="E3979" t="str">
        <f t="shared" si="127"/>
        <v>8. Bangladesh</v>
      </c>
    </row>
    <row r="3980" spans="1:5" x14ac:dyDescent="0.25">
      <c r="A3980" t="s">
        <v>171</v>
      </c>
      <c r="B3980" t="s">
        <v>357</v>
      </c>
      <c r="C3980">
        <v>143.5</v>
      </c>
      <c r="D3980">
        <f t="shared" si="126"/>
        <v>9</v>
      </c>
      <c r="E3980" t="str">
        <f t="shared" si="127"/>
        <v>9. Russian Federation</v>
      </c>
    </row>
    <row r="3981" spans="1:5" x14ac:dyDescent="0.25">
      <c r="A3981" t="s">
        <v>70</v>
      </c>
      <c r="B3981" t="s">
        <v>357</v>
      </c>
      <c r="C3981">
        <v>132.1</v>
      </c>
      <c r="D3981">
        <f t="shared" si="126"/>
        <v>10</v>
      </c>
      <c r="E3981" t="str">
        <f t="shared" si="127"/>
        <v>10. Ethiopia</v>
      </c>
    </row>
    <row r="3982" spans="1:5" x14ac:dyDescent="0.25">
      <c r="A3982" t="s">
        <v>132</v>
      </c>
      <c r="B3982" t="s">
        <v>357</v>
      </c>
      <c r="C3982">
        <v>130.9</v>
      </c>
      <c r="D3982">
        <f t="shared" si="126"/>
        <v>11</v>
      </c>
      <c r="E3982" t="str">
        <f t="shared" si="127"/>
        <v>11. Mexico</v>
      </c>
    </row>
    <row r="3983" spans="1:5" x14ac:dyDescent="0.25">
      <c r="A3983" t="s">
        <v>106</v>
      </c>
      <c r="B3983" t="s">
        <v>357</v>
      </c>
      <c r="C3983">
        <v>124</v>
      </c>
      <c r="D3983">
        <f t="shared" si="126"/>
        <v>12</v>
      </c>
      <c r="E3983" t="str">
        <f t="shared" si="127"/>
        <v>12. Japan</v>
      </c>
    </row>
    <row r="3984" spans="1:5" x14ac:dyDescent="0.25">
      <c r="A3984" t="s">
        <v>67</v>
      </c>
      <c r="B3984" t="s">
        <v>357</v>
      </c>
      <c r="C3984">
        <v>116.5</v>
      </c>
      <c r="D3984">
        <f t="shared" si="126"/>
        <v>13</v>
      </c>
      <c r="E3984" t="str">
        <f t="shared" si="127"/>
        <v>13. Egypt, Arab Rep.</v>
      </c>
    </row>
    <row r="3985" spans="1:5" x14ac:dyDescent="0.25">
      <c r="A3985" t="s">
        <v>160</v>
      </c>
      <c r="B3985" t="s">
        <v>357</v>
      </c>
      <c r="C3985">
        <v>115.8</v>
      </c>
      <c r="D3985">
        <f t="shared" si="126"/>
        <v>14</v>
      </c>
      <c r="E3985" t="str">
        <f t="shared" si="127"/>
        <v>14. Philippines</v>
      </c>
    </row>
    <row r="3986" spans="1:5" x14ac:dyDescent="0.25">
      <c r="A3986" t="s">
        <v>49</v>
      </c>
      <c r="B3986" t="s">
        <v>357</v>
      </c>
      <c r="C3986">
        <v>109.3</v>
      </c>
      <c r="D3986">
        <f t="shared" si="126"/>
        <v>15</v>
      </c>
      <c r="E3986" t="str">
        <f t="shared" si="127"/>
        <v>15. Congo, Dem. Rep.</v>
      </c>
    </row>
    <row r="3987" spans="1:5" x14ac:dyDescent="0.25">
      <c r="A3987" t="s">
        <v>213</v>
      </c>
      <c r="B3987" t="s">
        <v>357</v>
      </c>
      <c r="C3987">
        <v>101</v>
      </c>
      <c r="D3987">
        <f t="shared" si="126"/>
        <v>16</v>
      </c>
      <c r="E3987" t="str">
        <f t="shared" si="127"/>
        <v>16. Viet Nam</v>
      </c>
    </row>
    <row r="3988" spans="1:5" x14ac:dyDescent="0.25">
      <c r="A3988" t="s">
        <v>99</v>
      </c>
      <c r="B3988" t="s">
        <v>357</v>
      </c>
      <c r="C3988">
        <v>91.6</v>
      </c>
      <c r="D3988">
        <f t="shared" si="126"/>
        <v>17</v>
      </c>
      <c r="E3988" t="str">
        <f t="shared" si="127"/>
        <v>17. Iran, Islamic Rep.</v>
      </c>
    </row>
    <row r="3989" spans="1:5" x14ac:dyDescent="0.25">
      <c r="A3989" t="s">
        <v>203</v>
      </c>
      <c r="B3989" t="s">
        <v>357</v>
      </c>
      <c r="C3989">
        <v>85.5</v>
      </c>
      <c r="D3989">
        <f t="shared" si="126"/>
        <v>18</v>
      </c>
      <c r="E3989" t="str">
        <f t="shared" si="127"/>
        <v>18. Turkiye</v>
      </c>
    </row>
    <row r="3990" spans="1:5" x14ac:dyDescent="0.25">
      <c r="A3990" t="s">
        <v>60</v>
      </c>
      <c r="B3990" t="s">
        <v>357</v>
      </c>
      <c r="C3990">
        <v>83.5</v>
      </c>
      <c r="D3990">
        <f t="shared" si="126"/>
        <v>19</v>
      </c>
      <c r="E3990" t="str">
        <f t="shared" si="127"/>
        <v>19. Germany</v>
      </c>
    </row>
    <row r="3991" spans="1:5" x14ac:dyDescent="0.25">
      <c r="A3991" t="s">
        <v>196</v>
      </c>
      <c r="B3991" t="s">
        <v>357</v>
      </c>
      <c r="C3991">
        <v>71.7</v>
      </c>
      <c r="D3991">
        <f t="shared" si="126"/>
        <v>20</v>
      </c>
      <c r="E3991" t="str">
        <f t="shared" si="127"/>
        <v>20. Thailand</v>
      </c>
    </row>
    <row r="3992" spans="1:5" x14ac:dyDescent="0.25">
      <c r="A3992" t="s">
        <v>77</v>
      </c>
      <c r="B3992" t="s">
        <v>357</v>
      </c>
      <c r="C3992">
        <v>69.2</v>
      </c>
      <c r="D3992">
        <f t="shared" si="126"/>
        <v>21</v>
      </c>
      <c r="E3992" t="str">
        <f t="shared" si="127"/>
        <v>21. United Kingdom</v>
      </c>
    </row>
    <row r="3993" spans="1:5" x14ac:dyDescent="0.25">
      <c r="A3993" t="s">
        <v>205</v>
      </c>
      <c r="B3993" t="s">
        <v>357</v>
      </c>
      <c r="C3993">
        <v>68.599999999999994</v>
      </c>
      <c r="D3993">
        <f t="shared" si="126"/>
        <v>22</v>
      </c>
      <c r="E3993" t="str">
        <f t="shared" si="127"/>
        <v>22. Tanzania</v>
      </c>
    </row>
    <row r="3994" spans="1:5" x14ac:dyDescent="0.25">
      <c r="A3994" t="s">
        <v>73</v>
      </c>
      <c r="B3994" t="s">
        <v>357</v>
      </c>
      <c r="C3994">
        <v>68.5</v>
      </c>
      <c r="D3994">
        <f t="shared" si="126"/>
        <v>23</v>
      </c>
      <c r="E3994" t="str">
        <f t="shared" si="127"/>
        <v>23. France</v>
      </c>
    </row>
    <row r="3995" spans="1:5" x14ac:dyDescent="0.25">
      <c r="A3995" t="s">
        <v>218</v>
      </c>
      <c r="B3995" t="s">
        <v>357</v>
      </c>
      <c r="C3995">
        <v>64</v>
      </c>
      <c r="D3995">
        <f t="shared" si="126"/>
        <v>24</v>
      </c>
      <c r="E3995" t="str">
        <f t="shared" si="127"/>
        <v>24. South Africa</v>
      </c>
    </row>
    <row r="3996" spans="1:5" x14ac:dyDescent="0.25">
      <c r="A3996" t="s">
        <v>103</v>
      </c>
      <c r="B3996" t="s">
        <v>357</v>
      </c>
      <c r="C3996">
        <v>59</v>
      </c>
      <c r="D3996">
        <f t="shared" si="126"/>
        <v>25</v>
      </c>
      <c r="E3996" t="str">
        <f t="shared" si="127"/>
        <v>25. Italy</v>
      </c>
    </row>
    <row r="3997" spans="1:5" x14ac:dyDescent="0.25">
      <c r="A3997" t="s">
        <v>108</v>
      </c>
      <c r="B3997" t="s">
        <v>357</v>
      </c>
      <c r="C3997">
        <v>56.4</v>
      </c>
      <c r="D3997">
        <f t="shared" si="126"/>
        <v>26</v>
      </c>
      <c r="E3997" t="str">
        <f t="shared" si="127"/>
        <v>26. Kenya</v>
      </c>
    </row>
    <row r="3998" spans="1:5" x14ac:dyDescent="0.25">
      <c r="A3998" t="s">
        <v>137</v>
      </c>
      <c r="B3998" t="s">
        <v>357</v>
      </c>
      <c r="C3998">
        <v>54.5</v>
      </c>
      <c r="D3998">
        <f t="shared" si="126"/>
        <v>27</v>
      </c>
      <c r="E3998" t="str">
        <f t="shared" si="127"/>
        <v>27. Myanmar</v>
      </c>
    </row>
    <row r="3999" spans="1:5" x14ac:dyDescent="0.25">
      <c r="A3999" t="s">
        <v>51</v>
      </c>
      <c r="B3999" t="s">
        <v>357</v>
      </c>
      <c r="C3999">
        <v>52.9</v>
      </c>
      <c r="D3999">
        <f t="shared" si="126"/>
        <v>28</v>
      </c>
      <c r="E3999" t="str">
        <f t="shared" si="127"/>
        <v>28. Colombia</v>
      </c>
    </row>
    <row r="4000" spans="1:5" x14ac:dyDescent="0.25">
      <c r="A4000" t="s">
        <v>113</v>
      </c>
      <c r="B4000" t="s">
        <v>357</v>
      </c>
      <c r="C4000">
        <v>51.8</v>
      </c>
      <c r="D4000">
        <f t="shared" si="126"/>
        <v>29</v>
      </c>
      <c r="E4000" t="str">
        <f t="shared" si="127"/>
        <v>29. Korea, Rep.</v>
      </c>
    </row>
    <row r="4001" spans="1:5" x14ac:dyDescent="0.25">
      <c r="A4001" t="s">
        <v>174</v>
      </c>
      <c r="B4001" t="s">
        <v>357</v>
      </c>
      <c r="C4001">
        <v>50.4</v>
      </c>
      <c r="D4001">
        <f t="shared" si="126"/>
        <v>30</v>
      </c>
      <c r="E4001" t="str">
        <f t="shared" si="127"/>
        <v>30. Sudan</v>
      </c>
    </row>
    <row r="4002" spans="1:5" x14ac:dyDescent="0.25">
      <c r="A4002" t="s">
        <v>206</v>
      </c>
      <c r="B4002" t="s">
        <v>357</v>
      </c>
      <c r="C4002">
        <v>50</v>
      </c>
      <c r="D4002">
        <f t="shared" si="126"/>
        <v>31</v>
      </c>
      <c r="E4002" t="str">
        <f t="shared" si="127"/>
        <v>31. Uganda</v>
      </c>
    </row>
    <row r="4003" spans="1:5" x14ac:dyDescent="0.25">
      <c r="A4003" t="s">
        <v>68</v>
      </c>
      <c r="B4003" t="s">
        <v>357</v>
      </c>
      <c r="C4003">
        <v>48.8</v>
      </c>
      <c r="D4003">
        <f t="shared" si="126"/>
        <v>32</v>
      </c>
      <c r="E4003" t="str">
        <f t="shared" si="127"/>
        <v>32. Spain</v>
      </c>
    </row>
    <row r="4004" spans="1:5" x14ac:dyDescent="0.25">
      <c r="A4004" t="s">
        <v>65</v>
      </c>
      <c r="B4004" t="s">
        <v>357</v>
      </c>
      <c r="C4004">
        <v>46.8</v>
      </c>
      <c r="D4004">
        <f t="shared" si="126"/>
        <v>33</v>
      </c>
      <c r="E4004" t="str">
        <f t="shared" si="127"/>
        <v>33. Algeria</v>
      </c>
    </row>
    <row r="4005" spans="1:5" x14ac:dyDescent="0.25">
      <c r="A4005" t="s">
        <v>100</v>
      </c>
      <c r="B4005" t="s">
        <v>357</v>
      </c>
      <c r="C4005">
        <v>46</v>
      </c>
      <c r="D4005">
        <f t="shared" si="126"/>
        <v>34</v>
      </c>
      <c r="E4005" t="str">
        <f t="shared" si="127"/>
        <v>34. Iraq</v>
      </c>
    </row>
    <row r="4006" spans="1:5" x14ac:dyDescent="0.25">
      <c r="A4006" t="s">
        <v>16</v>
      </c>
      <c r="B4006" t="s">
        <v>357</v>
      </c>
      <c r="C4006">
        <v>45.7</v>
      </c>
      <c r="D4006">
        <f t="shared" si="126"/>
        <v>35</v>
      </c>
      <c r="E4006" t="str">
        <f t="shared" si="127"/>
        <v>35. Argentina</v>
      </c>
    </row>
    <row r="4007" spans="1:5" x14ac:dyDescent="0.25">
      <c r="A4007" t="s">
        <v>11</v>
      </c>
      <c r="B4007" t="s">
        <v>357</v>
      </c>
      <c r="C4007">
        <v>42.6</v>
      </c>
      <c r="D4007">
        <f t="shared" si="126"/>
        <v>36</v>
      </c>
      <c r="E4007" t="str">
        <f t="shared" si="127"/>
        <v>36. Afghanistan</v>
      </c>
    </row>
    <row r="4008" spans="1:5" x14ac:dyDescent="0.25">
      <c r="A4008" t="s">
        <v>42</v>
      </c>
      <c r="B4008" t="s">
        <v>357</v>
      </c>
      <c r="C4008">
        <v>41.3</v>
      </c>
      <c r="D4008">
        <f t="shared" si="126"/>
        <v>37</v>
      </c>
      <c r="E4008" t="str">
        <f t="shared" si="127"/>
        <v>37. Canada</v>
      </c>
    </row>
    <row r="4009" spans="1:5" x14ac:dyDescent="0.25">
      <c r="A4009" t="s">
        <v>217</v>
      </c>
      <c r="B4009" t="s">
        <v>357</v>
      </c>
      <c r="C4009">
        <v>40.6</v>
      </c>
      <c r="D4009">
        <f t="shared" si="126"/>
        <v>38</v>
      </c>
      <c r="E4009" t="str">
        <f t="shared" si="127"/>
        <v>38. Yemen, Rep.</v>
      </c>
    </row>
    <row r="4010" spans="1:5" x14ac:dyDescent="0.25">
      <c r="A4010" t="s">
        <v>127</v>
      </c>
      <c r="B4010" t="s">
        <v>357</v>
      </c>
      <c r="C4010">
        <v>38.1</v>
      </c>
      <c r="D4010">
        <f t="shared" si="126"/>
        <v>39</v>
      </c>
      <c r="E4010" t="str">
        <f t="shared" si="127"/>
        <v>39. Morocco</v>
      </c>
    </row>
    <row r="4011" spans="1:5" x14ac:dyDescent="0.25">
      <c r="A4011" t="s">
        <v>12</v>
      </c>
      <c r="B4011" t="s">
        <v>357</v>
      </c>
      <c r="C4011">
        <v>37.9</v>
      </c>
      <c r="D4011">
        <f t="shared" si="126"/>
        <v>40</v>
      </c>
      <c r="E4011" t="str">
        <f t="shared" si="127"/>
        <v>40. Angola</v>
      </c>
    </row>
    <row r="4012" spans="1:5" x14ac:dyDescent="0.25">
      <c r="A4012" t="s">
        <v>207</v>
      </c>
      <c r="B4012" t="s">
        <v>357</v>
      </c>
      <c r="C4012">
        <v>37.9</v>
      </c>
      <c r="D4012">
        <f t="shared" si="126"/>
        <v>41</v>
      </c>
      <c r="E4012" t="str">
        <f t="shared" si="127"/>
        <v>41. Ukraine</v>
      </c>
    </row>
    <row r="4013" spans="1:5" x14ac:dyDescent="0.25">
      <c r="A4013" t="s">
        <v>163</v>
      </c>
      <c r="B4013" t="s">
        <v>357</v>
      </c>
      <c r="C4013">
        <v>36.6</v>
      </c>
      <c r="D4013">
        <f t="shared" si="126"/>
        <v>42</v>
      </c>
      <c r="E4013" t="str">
        <f t="shared" si="127"/>
        <v>42. Poland</v>
      </c>
    </row>
    <row r="4014" spans="1:5" x14ac:dyDescent="0.25">
      <c r="A4014" t="s">
        <v>210</v>
      </c>
      <c r="B4014" t="s">
        <v>357</v>
      </c>
      <c r="C4014">
        <v>36.4</v>
      </c>
      <c r="D4014">
        <f t="shared" si="126"/>
        <v>43</v>
      </c>
      <c r="E4014" t="str">
        <f t="shared" si="127"/>
        <v>43. Uzbekistan</v>
      </c>
    </row>
    <row r="4015" spans="1:5" x14ac:dyDescent="0.25">
      <c r="A4015" t="s">
        <v>145</v>
      </c>
      <c r="B4015" t="s">
        <v>357</v>
      </c>
      <c r="C4015">
        <v>35.6</v>
      </c>
      <c r="D4015">
        <f t="shared" si="126"/>
        <v>44</v>
      </c>
      <c r="E4015" t="str">
        <f t="shared" si="127"/>
        <v>44. Malaysia</v>
      </c>
    </row>
    <row r="4016" spans="1:5" x14ac:dyDescent="0.25">
      <c r="A4016" t="s">
        <v>173</v>
      </c>
      <c r="B4016" t="s">
        <v>357</v>
      </c>
      <c r="C4016">
        <v>35.299999999999997</v>
      </c>
      <c r="D4016">
        <f t="shared" si="126"/>
        <v>45</v>
      </c>
      <c r="E4016" t="str">
        <f t="shared" si="127"/>
        <v>45. Saudi Arabia</v>
      </c>
    </row>
    <row r="4017" spans="1:5" x14ac:dyDescent="0.25">
      <c r="A4017" t="s">
        <v>141</v>
      </c>
      <c r="B4017" t="s">
        <v>357</v>
      </c>
      <c r="C4017">
        <v>34.6</v>
      </c>
      <c r="D4017">
        <f t="shared" si="126"/>
        <v>46</v>
      </c>
      <c r="E4017" t="str">
        <f t="shared" si="127"/>
        <v>46. Mozambique</v>
      </c>
    </row>
    <row r="4018" spans="1:5" x14ac:dyDescent="0.25">
      <c r="A4018" t="s">
        <v>79</v>
      </c>
      <c r="B4018" t="s">
        <v>357</v>
      </c>
      <c r="C4018">
        <v>34.4</v>
      </c>
      <c r="D4018">
        <f t="shared" si="126"/>
        <v>47</v>
      </c>
      <c r="E4018" t="str">
        <f t="shared" si="127"/>
        <v>47. Ghana</v>
      </c>
    </row>
    <row r="4019" spans="1:5" x14ac:dyDescent="0.25">
      <c r="A4019" t="s">
        <v>159</v>
      </c>
      <c r="B4019" t="s">
        <v>357</v>
      </c>
      <c r="C4019">
        <v>34.200000000000003</v>
      </c>
      <c r="D4019">
        <f t="shared" si="126"/>
        <v>48</v>
      </c>
      <c r="E4019" t="str">
        <f t="shared" si="127"/>
        <v>48. Peru</v>
      </c>
    </row>
    <row r="4020" spans="1:5" x14ac:dyDescent="0.25">
      <c r="A4020" t="s">
        <v>130</v>
      </c>
      <c r="B4020" t="s">
        <v>357</v>
      </c>
      <c r="C4020">
        <v>32</v>
      </c>
      <c r="D4020">
        <f t="shared" si="126"/>
        <v>49</v>
      </c>
      <c r="E4020" t="str">
        <f t="shared" si="127"/>
        <v>49. Madagascar</v>
      </c>
    </row>
    <row r="4021" spans="1:5" x14ac:dyDescent="0.25">
      <c r="A4021" t="s">
        <v>47</v>
      </c>
      <c r="B4021" t="s">
        <v>357</v>
      </c>
      <c r="C4021">
        <v>31.9</v>
      </c>
      <c r="D4021">
        <f t="shared" si="126"/>
        <v>50</v>
      </c>
      <c r="E4021" t="str">
        <f t="shared" si="127"/>
        <v>50. Cote d'Ivoire</v>
      </c>
    </row>
    <row r="4022" spans="1:5" x14ac:dyDescent="0.25">
      <c r="A4022" t="s">
        <v>153</v>
      </c>
      <c r="B4022" t="s">
        <v>357</v>
      </c>
      <c r="C4022">
        <v>29.7</v>
      </c>
      <c r="D4022">
        <f t="shared" si="126"/>
        <v>51</v>
      </c>
      <c r="E4022" t="str">
        <f t="shared" si="127"/>
        <v>51. Nepal</v>
      </c>
    </row>
    <row r="4023" spans="1:5" x14ac:dyDescent="0.25">
      <c r="A4023" t="s">
        <v>48</v>
      </c>
      <c r="B4023" t="s">
        <v>357</v>
      </c>
      <c r="C4023">
        <v>29.1</v>
      </c>
      <c r="D4023">
        <f t="shared" si="126"/>
        <v>52</v>
      </c>
      <c r="E4023" t="str">
        <f t="shared" si="127"/>
        <v>52. Cameroon</v>
      </c>
    </row>
    <row r="4024" spans="1:5" x14ac:dyDescent="0.25">
      <c r="A4024" t="s">
        <v>223</v>
      </c>
      <c r="B4024" t="s">
        <v>357</v>
      </c>
      <c r="C4024">
        <v>28.4</v>
      </c>
      <c r="D4024">
        <f t="shared" si="126"/>
        <v>53</v>
      </c>
      <c r="E4024" t="str">
        <f t="shared" si="127"/>
        <v>53. Venezuela, RB</v>
      </c>
    </row>
    <row r="4025" spans="1:5" x14ac:dyDescent="0.25">
      <c r="A4025" t="s">
        <v>20</v>
      </c>
      <c r="B4025" t="s">
        <v>357</v>
      </c>
      <c r="C4025">
        <v>27.2</v>
      </c>
      <c r="D4025">
        <f t="shared" si="126"/>
        <v>54</v>
      </c>
      <c r="E4025" t="str">
        <f t="shared" si="127"/>
        <v>54. Australia</v>
      </c>
    </row>
    <row r="4026" spans="1:5" x14ac:dyDescent="0.25">
      <c r="A4026" t="s">
        <v>148</v>
      </c>
      <c r="B4026" t="s">
        <v>357</v>
      </c>
      <c r="C4026">
        <v>27</v>
      </c>
      <c r="D4026">
        <f t="shared" si="126"/>
        <v>55</v>
      </c>
      <c r="E4026" t="str">
        <f t="shared" si="127"/>
        <v>55. Niger</v>
      </c>
    </row>
    <row r="4027" spans="1:5" x14ac:dyDescent="0.25">
      <c r="A4027" t="s">
        <v>192</v>
      </c>
      <c r="B4027" t="s">
        <v>357</v>
      </c>
      <c r="C4027">
        <v>24.7</v>
      </c>
      <c r="D4027">
        <f t="shared" si="126"/>
        <v>56</v>
      </c>
      <c r="E4027" t="str">
        <f t="shared" si="127"/>
        <v>56. Syrian Arab Republic</v>
      </c>
    </row>
    <row r="4028" spans="1:5" x14ac:dyDescent="0.25">
      <c r="A4028" t="s">
        <v>135</v>
      </c>
      <c r="B4028" t="s">
        <v>357</v>
      </c>
      <c r="C4028">
        <v>24.5</v>
      </c>
      <c r="D4028">
        <f t="shared" si="126"/>
        <v>57</v>
      </c>
      <c r="E4028" t="str">
        <f t="shared" si="127"/>
        <v>57. Mali</v>
      </c>
    </row>
    <row r="4029" spans="1:5" x14ac:dyDescent="0.25">
      <c r="A4029" t="s">
        <v>26</v>
      </c>
      <c r="B4029" t="s">
        <v>357</v>
      </c>
      <c r="C4029">
        <v>23.5</v>
      </c>
      <c r="D4029">
        <f t="shared" si="126"/>
        <v>58</v>
      </c>
      <c r="E4029" t="str">
        <f t="shared" si="127"/>
        <v>58. Burkina Faso</v>
      </c>
    </row>
    <row r="4030" spans="1:5" x14ac:dyDescent="0.25">
      <c r="A4030" t="s">
        <v>121</v>
      </c>
      <c r="B4030" t="s">
        <v>357</v>
      </c>
      <c r="C4030">
        <v>21.9</v>
      </c>
      <c r="D4030">
        <f t="shared" si="126"/>
        <v>59</v>
      </c>
      <c r="E4030" t="str">
        <f t="shared" si="127"/>
        <v>59. Sri Lanka</v>
      </c>
    </row>
    <row r="4031" spans="1:5" x14ac:dyDescent="0.25">
      <c r="A4031" t="s">
        <v>144</v>
      </c>
      <c r="B4031" t="s">
        <v>357</v>
      </c>
      <c r="C4031">
        <v>21.7</v>
      </c>
      <c r="D4031">
        <f t="shared" si="126"/>
        <v>60</v>
      </c>
      <c r="E4031" t="str">
        <f t="shared" si="127"/>
        <v>60. Malawi</v>
      </c>
    </row>
    <row r="4032" spans="1:5" x14ac:dyDescent="0.25">
      <c r="A4032" t="s">
        <v>219</v>
      </c>
      <c r="B4032" t="s">
        <v>357</v>
      </c>
      <c r="C4032">
        <v>21.3</v>
      </c>
      <c r="D4032">
        <f t="shared" si="126"/>
        <v>61</v>
      </c>
      <c r="E4032" t="str">
        <f t="shared" si="127"/>
        <v>61. Zambia</v>
      </c>
    </row>
    <row r="4033" spans="1:5" x14ac:dyDescent="0.25">
      <c r="A4033" t="s">
        <v>107</v>
      </c>
      <c r="B4033" t="s">
        <v>357</v>
      </c>
      <c r="C4033">
        <v>20.6</v>
      </c>
      <c r="D4033">
        <f t="shared" si="126"/>
        <v>62</v>
      </c>
      <c r="E4033" t="str">
        <f t="shared" si="127"/>
        <v>62. Kazakhstan</v>
      </c>
    </row>
    <row r="4034" spans="1:5" x14ac:dyDescent="0.25">
      <c r="A4034" t="s">
        <v>194</v>
      </c>
      <c r="B4034" t="s">
        <v>357</v>
      </c>
      <c r="C4034">
        <v>20.3</v>
      </c>
      <c r="D4034">
        <f t="shared" si="126"/>
        <v>63</v>
      </c>
      <c r="E4034" t="str">
        <f t="shared" si="127"/>
        <v>63. Chad</v>
      </c>
    </row>
    <row r="4035" spans="1:5" x14ac:dyDescent="0.25">
      <c r="A4035" t="s">
        <v>45</v>
      </c>
      <c r="B4035" t="s">
        <v>357</v>
      </c>
      <c r="C4035">
        <v>19.8</v>
      </c>
      <c r="D4035">
        <f t="shared" si="126"/>
        <v>64</v>
      </c>
      <c r="E4035" t="str">
        <f t="shared" si="127"/>
        <v>64. Chile</v>
      </c>
    </row>
    <row r="4036" spans="1:5" x14ac:dyDescent="0.25">
      <c r="A4036" t="s">
        <v>170</v>
      </c>
      <c r="B4036" t="s">
        <v>357</v>
      </c>
      <c r="C4036">
        <v>19.100000000000001</v>
      </c>
      <c r="D4036">
        <f t="shared" ref="D4036:D4099" si="128">IF(ROW() = 2, 1, IF(B4036 = B4035, D4035 + 1, 1))</f>
        <v>65</v>
      </c>
      <c r="E4036" t="str">
        <f t="shared" ref="E4036:E4099" si="129">_xlfn.CONCAT(D4036, ". ", A4036)</f>
        <v>65. Romania</v>
      </c>
    </row>
    <row r="4037" spans="1:5" x14ac:dyDescent="0.25">
      <c r="A4037" t="s">
        <v>222</v>
      </c>
      <c r="B4037" t="s">
        <v>357</v>
      </c>
      <c r="C4037">
        <v>19</v>
      </c>
      <c r="D4037">
        <f t="shared" si="128"/>
        <v>66</v>
      </c>
      <c r="E4037" t="str">
        <f t="shared" si="129"/>
        <v>66. Somalia, Fed. Rep.</v>
      </c>
    </row>
    <row r="4038" spans="1:5" x14ac:dyDescent="0.25">
      <c r="A4038" t="s">
        <v>175</v>
      </c>
      <c r="B4038" t="s">
        <v>357</v>
      </c>
      <c r="C4038">
        <v>18.5</v>
      </c>
      <c r="D4038">
        <f t="shared" si="128"/>
        <v>67</v>
      </c>
      <c r="E4038" t="str">
        <f t="shared" si="129"/>
        <v>67. Senegal</v>
      </c>
    </row>
    <row r="4039" spans="1:5" x14ac:dyDescent="0.25">
      <c r="A4039" t="s">
        <v>87</v>
      </c>
      <c r="B4039" t="s">
        <v>357</v>
      </c>
      <c r="C4039">
        <v>18.399999999999999</v>
      </c>
      <c r="D4039">
        <f t="shared" si="128"/>
        <v>68</v>
      </c>
      <c r="E4039" t="str">
        <f t="shared" si="129"/>
        <v>68. Guatemala</v>
      </c>
    </row>
    <row r="4040" spans="1:5" x14ac:dyDescent="0.25">
      <c r="A4040" t="s">
        <v>66</v>
      </c>
      <c r="B4040" t="s">
        <v>357</v>
      </c>
      <c r="C4040">
        <v>18.100000000000001</v>
      </c>
      <c r="D4040">
        <f t="shared" si="128"/>
        <v>69</v>
      </c>
      <c r="E4040" t="str">
        <f t="shared" si="129"/>
        <v>69. Ecuador</v>
      </c>
    </row>
    <row r="4041" spans="1:5" x14ac:dyDescent="0.25">
      <c r="A4041" t="s">
        <v>151</v>
      </c>
      <c r="B4041" t="s">
        <v>357</v>
      </c>
      <c r="C4041">
        <v>18</v>
      </c>
      <c r="D4041">
        <f t="shared" si="128"/>
        <v>70</v>
      </c>
      <c r="E4041" t="str">
        <f t="shared" si="129"/>
        <v>70. Netherlands</v>
      </c>
    </row>
    <row r="4042" spans="1:5" x14ac:dyDescent="0.25">
      <c r="A4042" t="s">
        <v>110</v>
      </c>
      <c r="B4042" t="s">
        <v>357</v>
      </c>
      <c r="C4042">
        <v>17.600000000000001</v>
      </c>
      <c r="D4042">
        <f t="shared" si="128"/>
        <v>71</v>
      </c>
      <c r="E4042" t="str">
        <f t="shared" si="129"/>
        <v>71. Cambodia</v>
      </c>
    </row>
    <row r="4043" spans="1:5" x14ac:dyDescent="0.25">
      <c r="A4043" t="s">
        <v>220</v>
      </c>
      <c r="B4043" t="s">
        <v>357</v>
      </c>
      <c r="C4043">
        <v>16.600000000000001</v>
      </c>
      <c r="D4043">
        <f t="shared" si="128"/>
        <v>72</v>
      </c>
      <c r="E4043" t="str">
        <f t="shared" si="129"/>
        <v>72. Zimbabwe</v>
      </c>
    </row>
    <row r="4044" spans="1:5" x14ac:dyDescent="0.25">
      <c r="A4044" t="s">
        <v>80</v>
      </c>
      <c r="B4044" t="s">
        <v>357</v>
      </c>
      <c r="C4044">
        <v>14.8</v>
      </c>
      <c r="D4044">
        <f t="shared" si="128"/>
        <v>73</v>
      </c>
      <c r="E4044" t="str">
        <f t="shared" si="129"/>
        <v>73. Guinea</v>
      </c>
    </row>
    <row r="4045" spans="1:5" x14ac:dyDescent="0.25">
      <c r="A4045" t="s">
        <v>25</v>
      </c>
      <c r="B4045" t="s">
        <v>357</v>
      </c>
      <c r="C4045">
        <v>14.5</v>
      </c>
      <c r="D4045">
        <f t="shared" si="128"/>
        <v>74</v>
      </c>
      <c r="E4045" t="str">
        <f t="shared" si="129"/>
        <v>74. Benin</v>
      </c>
    </row>
    <row r="4046" spans="1:5" x14ac:dyDescent="0.25">
      <c r="A4046" t="s">
        <v>172</v>
      </c>
      <c r="B4046" t="s">
        <v>357</v>
      </c>
      <c r="C4046">
        <v>14.3</v>
      </c>
      <c r="D4046">
        <f t="shared" si="128"/>
        <v>75</v>
      </c>
      <c r="E4046" t="str">
        <f t="shared" si="129"/>
        <v>75. Rwanda</v>
      </c>
    </row>
    <row r="4047" spans="1:5" x14ac:dyDescent="0.25">
      <c r="A4047" t="s">
        <v>23</v>
      </c>
      <c r="B4047" t="s">
        <v>357</v>
      </c>
      <c r="C4047">
        <v>14</v>
      </c>
      <c r="D4047">
        <f t="shared" si="128"/>
        <v>76</v>
      </c>
      <c r="E4047" t="str">
        <f t="shared" si="129"/>
        <v>76. Burundi</v>
      </c>
    </row>
    <row r="4048" spans="1:5" x14ac:dyDescent="0.25">
      <c r="A4048" t="s">
        <v>35</v>
      </c>
      <c r="B4048" t="s">
        <v>357</v>
      </c>
      <c r="C4048">
        <v>12.4</v>
      </c>
      <c r="D4048">
        <f t="shared" si="128"/>
        <v>77</v>
      </c>
      <c r="E4048" t="str">
        <f t="shared" si="129"/>
        <v>77. Bolivia</v>
      </c>
    </row>
    <row r="4049" spans="1:5" x14ac:dyDescent="0.25">
      <c r="A4049" t="s">
        <v>202</v>
      </c>
      <c r="B4049" t="s">
        <v>357</v>
      </c>
      <c r="C4049">
        <v>12.3</v>
      </c>
      <c r="D4049">
        <f t="shared" si="128"/>
        <v>78</v>
      </c>
      <c r="E4049" t="str">
        <f t="shared" si="129"/>
        <v>78. Tunisia</v>
      </c>
    </row>
    <row r="4050" spans="1:5" x14ac:dyDescent="0.25">
      <c r="A4050" t="s">
        <v>24</v>
      </c>
      <c r="B4050" t="s">
        <v>357</v>
      </c>
      <c r="C4050">
        <v>11.9</v>
      </c>
      <c r="D4050">
        <f t="shared" si="128"/>
        <v>79</v>
      </c>
      <c r="E4050" t="str">
        <f t="shared" si="129"/>
        <v>79. Belgium</v>
      </c>
    </row>
    <row r="4051" spans="1:5" x14ac:dyDescent="0.25">
      <c r="A4051" t="s">
        <v>183</v>
      </c>
      <c r="B4051" t="s">
        <v>357</v>
      </c>
      <c r="C4051">
        <v>11.9</v>
      </c>
      <c r="D4051">
        <f t="shared" si="128"/>
        <v>80</v>
      </c>
      <c r="E4051" t="str">
        <f t="shared" si="129"/>
        <v>80. South Sudan</v>
      </c>
    </row>
    <row r="4052" spans="1:5" x14ac:dyDescent="0.25">
      <c r="A4052" t="s">
        <v>93</v>
      </c>
      <c r="B4052" t="s">
        <v>357</v>
      </c>
      <c r="C4052">
        <v>11.8</v>
      </c>
      <c r="D4052">
        <f t="shared" si="128"/>
        <v>81</v>
      </c>
      <c r="E4052" t="str">
        <f t="shared" si="129"/>
        <v>81. Haiti</v>
      </c>
    </row>
    <row r="4053" spans="1:5" x14ac:dyDescent="0.25">
      <c r="A4053" t="s">
        <v>105</v>
      </c>
      <c r="B4053" t="s">
        <v>357</v>
      </c>
      <c r="C4053">
        <v>11.6</v>
      </c>
      <c r="D4053">
        <f t="shared" si="128"/>
        <v>82</v>
      </c>
      <c r="E4053" t="str">
        <f t="shared" si="129"/>
        <v>82. Jordan</v>
      </c>
    </row>
    <row r="4054" spans="1:5" x14ac:dyDescent="0.25">
      <c r="A4054" t="s">
        <v>64</v>
      </c>
      <c r="B4054" t="s">
        <v>357</v>
      </c>
      <c r="C4054">
        <v>11.4</v>
      </c>
      <c r="D4054">
        <f t="shared" si="128"/>
        <v>83</v>
      </c>
      <c r="E4054" t="str">
        <f t="shared" si="129"/>
        <v>83. Dominican Republic</v>
      </c>
    </row>
    <row r="4055" spans="1:5" x14ac:dyDescent="0.25">
      <c r="A4055" t="s">
        <v>55</v>
      </c>
      <c r="B4055" t="s">
        <v>357</v>
      </c>
      <c r="C4055">
        <v>11</v>
      </c>
      <c r="D4055">
        <f t="shared" si="128"/>
        <v>84</v>
      </c>
      <c r="E4055" t="str">
        <f t="shared" si="129"/>
        <v>84. Cuba</v>
      </c>
    </row>
    <row r="4056" spans="1:5" x14ac:dyDescent="0.25">
      <c r="A4056" t="s">
        <v>59</v>
      </c>
      <c r="B4056" t="s">
        <v>357</v>
      </c>
      <c r="C4056">
        <v>10.9</v>
      </c>
      <c r="D4056">
        <f t="shared" si="128"/>
        <v>85</v>
      </c>
      <c r="E4056" t="str">
        <f t="shared" si="129"/>
        <v>85. Czechia</v>
      </c>
    </row>
    <row r="4057" spans="1:5" x14ac:dyDescent="0.25">
      <c r="A4057" t="s">
        <v>15</v>
      </c>
      <c r="B4057" t="s">
        <v>357</v>
      </c>
      <c r="C4057">
        <v>10.9</v>
      </c>
      <c r="D4057">
        <f t="shared" si="128"/>
        <v>86</v>
      </c>
      <c r="E4057" t="str">
        <f t="shared" si="129"/>
        <v>86. United Arab Emirates</v>
      </c>
    </row>
    <row r="4058" spans="1:5" x14ac:dyDescent="0.25">
      <c r="A4058" t="s">
        <v>91</v>
      </c>
      <c r="B4058" t="s">
        <v>357</v>
      </c>
      <c r="C4058">
        <v>10.8</v>
      </c>
      <c r="D4058">
        <f t="shared" si="128"/>
        <v>87</v>
      </c>
      <c r="E4058" t="str">
        <f t="shared" si="129"/>
        <v>87. Honduras</v>
      </c>
    </row>
    <row r="4059" spans="1:5" x14ac:dyDescent="0.25">
      <c r="A4059" t="s">
        <v>165</v>
      </c>
      <c r="B4059" t="s">
        <v>357</v>
      </c>
      <c r="C4059">
        <v>10.7</v>
      </c>
      <c r="D4059">
        <f t="shared" si="128"/>
        <v>88</v>
      </c>
      <c r="E4059" t="str">
        <f t="shared" si="129"/>
        <v>88. Portugal</v>
      </c>
    </row>
    <row r="4060" spans="1:5" x14ac:dyDescent="0.25">
      <c r="A4060" t="s">
        <v>162</v>
      </c>
      <c r="B4060" t="s">
        <v>357</v>
      </c>
      <c r="C4060">
        <v>10.6</v>
      </c>
      <c r="D4060">
        <f t="shared" si="128"/>
        <v>89</v>
      </c>
      <c r="E4060" t="str">
        <f t="shared" si="129"/>
        <v>89. Papua New Guinea</v>
      </c>
    </row>
    <row r="4061" spans="1:5" x14ac:dyDescent="0.25">
      <c r="A4061" t="s">
        <v>188</v>
      </c>
      <c r="B4061" t="s">
        <v>357</v>
      </c>
      <c r="C4061">
        <v>10.6</v>
      </c>
      <c r="D4061">
        <f t="shared" si="128"/>
        <v>90</v>
      </c>
      <c r="E4061" t="str">
        <f t="shared" si="129"/>
        <v>90. Sweden</v>
      </c>
    </row>
    <row r="4062" spans="1:5" x14ac:dyDescent="0.25">
      <c r="A4062" t="s">
        <v>197</v>
      </c>
      <c r="B4062" t="s">
        <v>357</v>
      </c>
      <c r="C4062">
        <v>10.6</v>
      </c>
      <c r="D4062">
        <f t="shared" si="128"/>
        <v>91</v>
      </c>
      <c r="E4062" t="str">
        <f t="shared" si="129"/>
        <v>91. Tajikistan</v>
      </c>
    </row>
    <row r="4063" spans="1:5" x14ac:dyDescent="0.25">
      <c r="A4063" t="s">
        <v>84</v>
      </c>
      <c r="B4063" t="s">
        <v>357</v>
      </c>
      <c r="C4063">
        <v>10.4</v>
      </c>
      <c r="D4063">
        <f t="shared" si="128"/>
        <v>92</v>
      </c>
      <c r="E4063" t="str">
        <f t="shared" si="129"/>
        <v>92. Greece</v>
      </c>
    </row>
    <row r="4064" spans="1:5" x14ac:dyDescent="0.25">
      <c r="A4064" t="s">
        <v>22</v>
      </c>
      <c r="B4064" t="s">
        <v>357</v>
      </c>
      <c r="C4064">
        <v>10.199999999999999</v>
      </c>
      <c r="D4064">
        <f t="shared" si="128"/>
        <v>93</v>
      </c>
      <c r="E4064" t="str">
        <f t="shared" si="129"/>
        <v>93. Azerbaijan</v>
      </c>
    </row>
    <row r="4065" spans="1:5" x14ac:dyDescent="0.25">
      <c r="A4065" t="s">
        <v>102</v>
      </c>
      <c r="B4065" t="s">
        <v>357</v>
      </c>
      <c r="C4065">
        <v>10</v>
      </c>
      <c r="D4065">
        <f t="shared" si="128"/>
        <v>94</v>
      </c>
      <c r="E4065" t="str">
        <f t="shared" si="129"/>
        <v>94. Israel</v>
      </c>
    </row>
    <row r="4066" spans="1:5" x14ac:dyDescent="0.25">
      <c r="A4066" t="s">
        <v>94</v>
      </c>
      <c r="B4066" t="s">
        <v>357</v>
      </c>
      <c r="C4066">
        <v>9.6</v>
      </c>
      <c r="D4066">
        <f t="shared" si="128"/>
        <v>95</v>
      </c>
      <c r="E4066" t="str">
        <f t="shared" si="129"/>
        <v>95. Hungary</v>
      </c>
    </row>
    <row r="4067" spans="1:5" x14ac:dyDescent="0.25">
      <c r="A4067" t="s">
        <v>195</v>
      </c>
      <c r="B4067" t="s">
        <v>357</v>
      </c>
      <c r="C4067">
        <v>9.5</v>
      </c>
      <c r="D4067">
        <f t="shared" si="128"/>
        <v>96</v>
      </c>
      <c r="E4067" t="str">
        <f t="shared" si="129"/>
        <v>96. Togo</v>
      </c>
    </row>
    <row r="4068" spans="1:5" x14ac:dyDescent="0.25">
      <c r="A4068" t="s">
        <v>21</v>
      </c>
      <c r="B4068" t="s">
        <v>357</v>
      </c>
      <c r="C4068">
        <v>9.1999999999999993</v>
      </c>
      <c r="D4068">
        <f t="shared" si="128"/>
        <v>97</v>
      </c>
      <c r="E4068" t="str">
        <f t="shared" si="129"/>
        <v>97. Austria</v>
      </c>
    </row>
    <row r="4069" spans="1:5" x14ac:dyDescent="0.25">
      <c r="A4069" t="s">
        <v>32</v>
      </c>
      <c r="B4069" t="s">
        <v>357</v>
      </c>
      <c r="C4069">
        <v>9.1</v>
      </c>
      <c r="D4069">
        <f t="shared" si="128"/>
        <v>98</v>
      </c>
      <c r="E4069" t="str">
        <f t="shared" si="129"/>
        <v>98. Belarus</v>
      </c>
    </row>
    <row r="4070" spans="1:5" x14ac:dyDescent="0.25">
      <c r="A4070" t="s">
        <v>43</v>
      </c>
      <c r="B4070" t="s">
        <v>357</v>
      </c>
      <c r="C4070">
        <v>9</v>
      </c>
      <c r="D4070">
        <f t="shared" si="128"/>
        <v>99</v>
      </c>
      <c r="E4070" t="str">
        <f t="shared" si="129"/>
        <v>99. Switzerland</v>
      </c>
    </row>
    <row r="4071" spans="1:5" x14ac:dyDescent="0.25">
      <c r="A4071" t="s">
        <v>178</v>
      </c>
      <c r="B4071" t="s">
        <v>357</v>
      </c>
      <c r="C4071">
        <v>8.6</v>
      </c>
      <c r="D4071">
        <f t="shared" si="128"/>
        <v>100</v>
      </c>
      <c r="E4071" t="str">
        <f t="shared" si="129"/>
        <v>100. Sierra Leone</v>
      </c>
    </row>
    <row r="4072" spans="1:5" x14ac:dyDescent="0.25">
      <c r="A4072" t="s">
        <v>115</v>
      </c>
      <c r="B4072" t="s">
        <v>357</v>
      </c>
      <c r="C4072">
        <v>7.8</v>
      </c>
      <c r="D4072">
        <f t="shared" si="128"/>
        <v>101</v>
      </c>
      <c r="E4072" t="str">
        <f t="shared" si="129"/>
        <v>101. Lao PDR</v>
      </c>
    </row>
    <row r="4073" spans="1:5" x14ac:dyDescent="0.25">
      <c r="A4073" t="s">
        <v>90</v>
      </c>
      <c r="B4073" t="s">
        <v>357</v>
      </c>
      <c r="C4073">
        <v>7.5</v>
      </c>
      <c r="D4073">
        <f t="shared" si="128"/>
        <v>102</v>
      </c>
      <c r="E4073" t="str">
        <f t="shared" si="129"/>
        <v>102. Hong Kong SAR, China</v>
      </c>
    </row>
    <row r="4074" spans="1:5" x14ac:dyDescent="0.25">
      <c r="A4074" t="s">
        <v>198</v>
      </c>
      <c r="B4074" t="s">
        <v>357</v>
      </c>
      <c r="C4074">
        <v>7.5</v>
      </c>
      <c r="D4074">
        <f t="shared" si="128"/>
        <v>103</v>
      </c>
      <c r="E4074" t="str">
        <f t="shared" si="129"/>
        <v>103. Turkmenistan</v>
      </c>
    </row>
    <row r="4075" spans="1:5" x14ac:dyDescent="0.25">
      <c r="A4075" t="s">
        <v>118</v>
      </c>
      <c r="B4075" t="s">
        <v>357</v>
      </c>
      <c r="C4075">
        <v>7.4</v>
      </c>
      <c r="D4075">
        <f t="shared" si="128"/>
        <v>104</v>
      </c>
      <c r="E4075" t="str">
        <f t="shared" si="129"/>
        <v>104. Libya</v>
      </c>
    </row>
    <row r="4076" spans="1:5" x14ac:dyDescent="0.25">
      <c r="A4076" t="s">
        <v>109</v>
      </c>
      <c r="B4076" t="s">
        <v>357</v>
      </c>
      <c r="C4076">
        <v>7.2</v>
      </c>
      <c r="D4076">
        <f t="shared" si="128"/>
        <v>105</v>
      </c>
      <c r="E4076" t="str">
        <f t="shared" si="129"/>
        <v>105. Kyrgyz Republic</v>
      </c>
    </row>
    <row r="4077" spans="1:5" x14ac:dyDescent="0.25">
      <c r="A4077" t="s">
        <v>150</v>
      </c>
      <c r="B4077" t="s">
        <v>357</v>
      </c>
      <c r="C4077">
        <v>6.9</v>
      </c>
      <c r="D4077">
        <f t="shared" si="128"/>
        <v>106</v>
      </c>
      <c r="E4077" t="str">
        <f t="shared" si="129"/>
        <v>106. Nicaragua</v>
      </c>
    </row>
    <row r="4078" spans="1:5" x14ac:dyDescent="0.25">
      <c r="A4078" t="s">
        <v>166</v>
      </c>
      <c r="B4078" t="s">
        <v>357</v>
      </c>
      <c r="C4078">
        <v>6.9</v>
      </c>
      <c r="D4078">
        <f t="shared" si="128"/>
        <v>107</v>
      </c>
      <c r="E4078" t="str">
        <f t="shared" si="129"/>
        <v>107. Paraguay</v>
      </c>
    </row>
    <row r="4079" spans="1:5" x14ac:dyDescent="0.25">
      <c r="A4079" t="s">
        <v>182</v>
      </c>
      <c r="B4079" t="s">
        <v>357</v>
      </c>
      <c r="C4079">
        <v>6.6</v>
      </c>
      <c r="D4079">
        <f t="shared" si="128"/>
        <v>108</v>
      </c>
      <c r="E4079" t="str">
        <f t="shared" si="129"/>
        <v>108. Serbia</v>
      </c>
    </row>
    <row r="4080" spans="1:5" x14ac:dyDescent="0.25">
      <c r="A4080" t="s">
        <v>28</v>
      </c>
      <c r="B4080" t="s">
        <v>357</v>
      </c>
      <c r="C4080">
        <v>6.4</v>
      </c>
      <c r="D4080">
        <f t="shared" si="128"/>
        <v>109</v>
      </c>
      <c r="E4080" t="str">
        <f t="shared" si="129"/>
        <v>109. Bulgaria</v>
      </c>
    </row>
    <row r="4081" spans="1:5" x14ac:dyDescent="0.25">
      <c r="A4081" t="s">
        <v>50</v>
      </c>
      <c r="B4081" t="s">
        <v>357</v>
      </c>
      <c r="C4081">
        <v>6.3</v>
      </c>
      <c r="D4081">
        <f t="shared" si="128"/>
        <v>110</v>
      </c>
      <c r="E4081" t="str">
        <f t="shared" si="129"/>
        <v>110. Congo, Rep.</v>
      </c>
    </row>
    <row r="4082" spans="1:5" x14ac:dyDescent="0.25">
      <c r="A4082" t="s">
        <v>179</v>
      </c>
      <c r="B4082" t="s">
        <v>357</v>
      </c>
      <c r="C4082">
        <v>6.3</v>
      </c>
      <c r="D4082">
        <f t="shared" si="128"/>
        <v>111</v>
      </c>
      <c r="E4082" t="str">
        <f t="shared" si="129"/>
        <v>111. El Salvador</v>
      </c>
    </row>
    <row r="4083" spans="1:5" x14ac:dyDescent="0.25">
      <c r="A4083" t="s">
        <v>63</v>
      </c>
      <c r="B4083" t="s">
        <v>357</v>
      </c>
      <c r="C4083">
        <v>6</v>
      </c>
      <c r="D4083">
        <f t="shared" si="128"/>
        <v>112</v>
      </c>
      <c r="E4083" t="str">
        <f t="shared" si="129"/>
        <v>112. Denmark</v>
      </c>
    </row>
    <row r="4084" spans="1:5" x14ac:dyDescent="0.25">
      <c r="A4084" t="s">
        <v>176</v>
      </c>
      <c r="B4084" t="s">
        <v>357</v>
      </c>
      <c r="C4084">
        <v>6</v>
      </c>
      <c r="D4084">
        <f t="shared" si="128"/>
        <v>113</v>
      </c>
      <c r="E4084" t="str">
        <f t="shared" si="129"/>
        <v>113. Singapore</v>
      </c>
    </row>
    <row r="4085" spans="1:5" x14ac:dyDescent="0.25">
      <c r="A4085" t="s">
        <v>116</v>
      </c>
      <c r="B4085" t="s">
        <v>357</v>
      </c>
      <c r="C4085">
        <v>5.8</v>
      </c>
      <c r="D4085">
        <f t="shared" si="128"/>
        <v>114</v>
      </c>
      <c r="E4085" t="str">
        <f t="shared" si="129"/>
        <v>114. Lebanon</v>
      </c>
    </row>
    <row r="4086" spans="1:5" x14ac:dyDescent="0.25">
      <c r="A4086" t="s">
        <v>71</v>
      </c>
      <c r="B4086" t="s">
        <v>357</v>
      </c>
      <c r="C4086">
        <v>5.6</v>
      </c>
      <c r="D4086">
        <f t="shared" si="128"/>
        <v>115</v>
      </c>
      <c r="E4086" t="str">
        <f t="shared" si="129"/>
        <v>115. Finland</v>
      </c>
    </row>
    <row r="4087" spans="1:5" x14ac:dyDescent="0.25">
      <c r="A4087" t="s">
        <v>117</v>
      </c>
      <c r="B4087" t="s">
        <v>357</v>
      </c>
      <c r="C4087">
        <v>5.6</v>
      </c>
      <c r="D4087">
        <f t="shared" si="128"/>
        <v>116</v>
      </c>
      <c r="E4087" t="str">
        <f t="shared" si="129"/>
        <v>116. Liberia</v>
      </c>
    </row>
    <row r="4088" spans="1:5" x14ac:dyDescent="0.25">
      <c r="A4088" t="s">
        <v>152</v>
      </c>
      <c r="B4088" t="s">
        <v>357</v>
      </c>
      <c r="C4088">
        <v>5.6</v>
      </c>
      <c r="D4088">
        <f t="shared" si="128"/>
        <v>117</v>
      </c>
      <c r="E4088" t="str">
        <f t="shared" si="129"/>
        <v>117. Norway</v>
      </c>
    </row>
    <row r="4089" spans="1:5" x14ac:dyDescent="0.25">
      <c r="A4089" t="s">
        <v>98</v>
      </c>
      <c r="B4089" t="s">
        <v>357</v>
      </c>
      <c r="C4089">
        <v>5.4</v>
      </c>
      <c r="D4089">
        <f t="shared" si="128"/>
        <v>118</v>
      </c>
      <c r="E4089" t="str">
        <f t="shared" si="129"/>
        <v>118. Ireland</v>
      </c>
    </row>
    <row r="4090" spans="1:5" x14ac:dyDescent="0.25">
      <c r="A4090" t="s">
        <v>186</v>
      </c>
      <c r="B4090" t="s">
        <v>357</v>
      </c>
      <c r="C4090">
        <v>5.4</v>
      </c>
      <c r="D4090">
        <f t="shared" si="128"/>
        <v>119</v>
      </c>
      <c r="E4090" t="str">
        <f t="shared" si="129"/>
        <v>119. Slovak Republic</v>
      </c>
    </row>
    <row r="4091" spans="1:5" x14ac:dyDescent="0.25">
      <c r="A4091" t="s">
        <v>41</v>
      </c>
      <c r="B4091" t="s">
        <v>357</v>
      </c>
      <c r="C4091">
        <v>5.3</v>
      </c>
      <c r="D4091">
        <f t="shared" si="128"/>
        <v>120</v>
      </c>
      <c r="E4091" t="str">
        <f t="shared" si="129"/>
        <v>120. Central African Republic</v>
      </c>
    </row>
    <row r="4092" spans="1:5" x14ac:dyDescent="0.25">
      <c r="A4092" t="s">
        <v>155</v>
      </c>
      <c r="B4092" t="s">
        <v>357</v>
      </c>
      <c r="C4092">
        <v>5.3</v>
      </c>
      <c r="D4092">
        <f t="shared" si="128"/>
        <v>121</v>
      </c>
      <c r="E4092" t="str">
        <f t="shared" si="129"/>
        <v>121. New Zealand</v>
      </c>
    </row>
    <row r="4093" spans="1:5" x14ac:dyDescent="0.25">
      <c r="A4093" t="s">
        <v>156</v>
      </c>
      <c r="B4093" t="s">
        <v>357</v>
      </c>
      <c r="C4093">
        <v>5.3</v>
      </c>
      <c r="D4093">
        <f t="shared" si="128"/>
        <v>122</v>
      </c>
      <c r="E4093" t="str">
        <f t="shared" si="129"/>
        <v>122. Oman</v>
      </c>
    </row>
    <row r="4094" spans="1:5" x14ac:dyDescent="0.25">
      <c r="A4094" t="s">
        <v>167</v>
      </c>
      <c r="B4094" t="s">
        <v>357</v>
      </c>
      <c r="C4094">
        <v>5.3</v>
      </c>
      <c r="D4094">
        <f t="shared" si="128"/>
        <v>123</v>
      </c>
      <c r="E4094" t="str">
        <f t="shared" si="129"/>
        <v>123. West Bank and Gaza</v>
      </c>
    </row>
    <row r="4095" spans="1:5" x14ac:dyDescent="0.25">
      <c r="A4095" t="s">
        <v>142</v>
      </c>
      <c r="B4095" t="s">
        <v>357</v>
      </c>
      <c r="C4095">
        <v>5.2</v>
      </c>
      <c r="D4095">
        <f t="shared" si="128"/>
        <v>124</v>
      </c>
      <c r="E4095" t="str">
        <f t="shared" si="129"/>
        <v>124. Mauritania</v>
      </c>
    </row>
    <row r="4096" spans="1:5" x14ac:dyDescent="0.25">
      <c r="A4096" t="s">
        <v>54</v>
      </c>
      <c r="B4096" t="s">
        <v>357</v>
      </c>
      <c r="C4096">
        <v>5.0999999999999996</v>
      </c>
      <c r="D4096">
        <f t="shared" si="128"/>
        <v>125</v>
      </c>
      <c r="E4096" t="str">
        <f t="shared" si="129"/>
        <v>125. Costa Rica</v>
      </c>
    </row>
    <row r="4097" spans="1:5" x14ac:dyDescent="0.25">
      <c r="A4097" t="s">
        <v>114</v>
      </c>
      <c r="B4097" t="s">
        <v>357</v>
      </c>
      <c r="C4097">
        <v>5</v>
      </c>
      <c r="D4097">
        <f t="shared" si="128"/>
        <v>126</v>
      </c>
      <c r="E4097" t="str">
        <f t="shared" si="129"/>
        <v>126. Kuwait</v>
      </c>
    </row>
    <row r="4098" spans="1:5" x14ac:dyDescent="0.25">
      <c r="A4098" t="s">
        <v>158</v>
      </c>
      <c r="B4098" t="s">
        <v>357</v>
      </c>
      <c r="C4098">
        <v>4.5</v>
      </c>
      <c r="D4098">
        <f t="shared" si="128"/>
        <v>127</v>
      </c>
      <c r="E4098" t="str">
        <f t="shared" si="129"/>
        <v>127. Panama</v>
      </c>
    </row>
    <row r="4099" spans="1:5" x14ac:dyDescent="0.25">
      <c r="A4099" t="s">
        <v>92</v>
      </c>
      <c r="B4099" t="s">
        <v>357</v>
      </c>
      <c r="C4099">
        <v>3.9</v>
      </c>
      <c r="D4099">
        <f t="shared" si="128"/>
        <v>128</v>
      </c>
      <c r="E4099" t="str">
        <f t="shared" si="129"/>
        <v>128. Croatia</v>
      </c>
    </row>
    <row r="4100" spans="1:5" x14ac:dyDescent="0.25">
      <c r="A4100" t="s">
        <v>78</v>
      </c>
      <c r="B4100" t="s">
        <v>357</v>
      </c>
      <c r="C4100">
        <v>3.7</v>
      </c>
      <c r="D4100">
        <f t="shared" ref="D4100:D4163" si="130">IF(ROW() = 2, 1, IF(B4100 = B4099, D4099 + 1, 1))</f>
        <v>129</v>
      </c>
      <c r="E4100" t="str">
        <f t="shared" ref="E4100:E4163" si="131">_xlfn.CONCAT(D4100, ". ", A4100)</f>
        <v>129. Georgia</v>
      </c>
    </row>
    <row r="4101" spans="1:5" x14ac:dyDescent="0.25">
      <c r="A4101" t="s">
        <v>224</v>
      </c>
      <c r="B4101" t="s">
        <v>357</v>
      </c>
      <c r="C4101">
        <v>3.5</v>
      </c>
      <c r="D4101">
        <f t="shared" si="130"/>
        <v>130</v>
      </c>
      <c r="E4101" t="str">
        <f t="shared" si="131"/>
        <v>130. Eritrea</v>
      </c>
    </row>
    <row r="4102" spans="1:5" x14ac:dyDescent="0.25">
      <c r="A4102" t="s">
        <v>139</v>
      </c>
      <c r="B4102" t="s">
        <v>357</v>
      </c>
      <c r="C4102">
        <v>3.5</v>
      </c>
      <c r="D4102">
        <f t="shared" si="130"/>
        <v>131</v>
      </c>
      <c r="E4102" t="str">
        <f t="shared" si="131"/>
        <v>131. Mongolia</v>
      </c>
    </row>
    <row r="4103" spans="1:5" x14ac:dyDescent="0.25">
      <c r="A4103" t="s">
        <v>208</v>
      </c>
      <c r="B4103" t="s">
        <v>357</v>
      </c>
      <c r="C4103">
        <v>3.4</v>
      </c>
      <c r="D4103">
        <f t="shared" si="130"/>
        <v>132</v>
      </c>
      <c r="E4103" t="str">
        <f t="shared" si="131"/>
        <v>132. Uruguay</v>
      </c>
    </row>
    <row r="4104" spans="1:5" x14ac:dyDescent="0.25">
      <c r="A4104" t="s">
        <v>31</v>
      </c>
      <c r="B4104" t="s">
        <v>357</v>
      </c>
      <c r="C4104">
        <v>3.2</v>
      </c>
      <c r="D4104">
        <f t="shared" si="130"/>
        <v>133</v>
      </c>
      <c r="E4104" t="str">
        <f t="shared" si="131"/>
        <v>133. Bosnia and Herzegovina</v>
      </c>
    </row>
    <row r="4105" spans="1:5" x14ac:dyDescent="0.25">
      <c r="A4105" t="s">
        <v>164</v>
      </c>
      <c r="B4105" t="s">
        <v>357</v>
      </c>
      <c r="C4105">
        <v>3.2</v>
      </c>
      <c r="D4105">
        <f t="shared" si="130"/>
        <v>134</v>
      </c>
      <c r="E4105" t="str">
        <f t="shared" si="131"/>
        <v>134. Puerto Rico (US)</v>
      </c>
    </row>
    <row r="4106" spans="1:5" x14ac:dyDescent="0.25">
      <c r="A4106" t="s">
        <v>17</v>
      </c>
      <c r="B4106" t="s">
        <v>357</v>
      </c>
      <c r="C4106">
        <v>3</v>
      </c>
      <c r="D4106">
        <f t="shared" si="130"/>
        <v>135</v>
      </c>
      <c r="E4106" t="str">
        <f t="shared" si="131"/>
        <v>135. Armenia</v>
      </c>
    </row>
    <row r="4107" spans="1:5" x14ac:dyDescent="0.25">
      <c r="A4107" t="s">
        <v>146</v>
      </c>
      <c r="B4107" t="s">
        <v>357</v>
      </c>
      <c r="C4107">
        <v>3</v>
      </c>
      <c r="D4107">
        <f t="shared" si="130"/>
        <v>136</v>
      </c>
      <c r="E4107" t="str">
        <f t="shared" si="131"/>
        <v>136. Namibia</v>
      </c>
    </row>
    <row r="4108" spans="1:5" x14ac:dyDescent="0.25">
      <c r="A4108" t="s">
        <v>123</v>
      </c>
      <c r="B4108" t="s">
        <v>357</v>
      </c>
      <c r="C4108">
        <v>2.9</v>
      </c>
      <c r="D4108">
        <f t="shared" si="130"/>
        <v>137</v>
      </c>
      <c r="E4108" t="str">
        <f t="shared" si="131"/>
        <v>137. Lithuania</v>
      </c>
    </row>
    <row r="4109" spans="1:5" x14ac:dyDescent="0.25">
      <c r="A4109" t="s">
        <v>169</v>
      </c>
      <c r="B4109" t="s">
        <v>357</v>
      </c>
      <c r="C4109">
        <v>2.9</v>
      </c>
      <c r="D4109">
        <f t="shared" si="130"/>
        <v>138</v>
      </c>
      <c r="E4109" t="str">
        <f t="shared" si="131"/>
        <v>138. Qatar</v>
      </c>
    </row>
    <row r="4110" spans="1:5" x14ac:dyDescent="0.25">
      <c r="A4110" t="s">
        <v>81</v>
      </c>
      <c r="B4110" t="s">
        <v>357</v>
      </c>
      <c r="C4110">
        <v>2.8</v>
      </c>
      <c r="D4110">
        <f t="shared" si="130"/>
        <v>139</v>
      </c>
      <c r="E4110" t="str">
        <f t="shared" si="131"/>
        <v>139. Gambia, The</v>
      </c>
    </row>
    <row r="4111" spans="1:5" x14ac:dyDescent="0.25">
      <c r="A4111" t="s">
        <v>104</v>
      </c>
      <c r="B4111" t="s">
        <v>357</v>
      </c>
      <c r="C4111">
        <v>2.8</v>
      </c>
      <c r="D4111">
        <f t="shared" si="130"/>
        <v>140</v>
      </c>
      <c r="E4111" t="str">
        <f t="shared" si="131"/>
        <v>140. Jamaica</v>
      </c>
    </row>
    <row r="4112" spans="1:5" x14ac:dyDescent="0.25">
      <c r="A4112" t="s">
        <v>13</v>
      </c>
      <c r="B4112" t="s">
        <v>357</v>
      </c>
      <c r="C4112">
        <v>2.7</v>
      </c>
      <c r="D4112">
        <f t="shared" si="130"/>
        <v>141</v>
      </c>
      <c r="E4112" t="str">
        <f t="shared" si="131"/>
        <v>141. Albania</v>
      </c>
    </row>
    <row r="4113" spans="1:5" x14ac:dyDescent="0.25">
      <c r="A4113" t="s">
        <v>40</v>
      </c>
      <c r="B4113" t="s">
        <v>357</v>
      </c>
      <c r="C4113">
        <v>2.5</v>
      </c>
      <c r="D4113">
        <f t="shared" si="130"/>
        <v>142</v>
      </c>
      <c r="E4113" t="str">
        <f t="shared" si="131"/>
        <v>142. Botswana</v>
      </c>
    </row>
    <row r="4114" spans="1:5" x14ac:dyDescent="0.25">
      <c r="A4114" t="s">
        <v>76</v>
      </c>
      <c r="B4114" t="s">
        <v>357</v>
      </c>
      <c r="C4114">
        <v>2.5</v>
      </c>
      <c r="D4114">
        <f t="shared" si="130"/>
        <v>143</v>
      </c>
      <c r="E4114" t="str">
        <f t="shared" si="131"/>
        <v>143. Gabon</v>
      </c>
    </row>
    <row r="4115" spans="1:5" x14ac:dyDescent="0.25">
      <c r="A4115" t="s">
        <v>129</v>
      </c>
      <c r="B4115" t="s">
        <v>357</v>
      </c>
      <c r="C4115">
        <v>2.4</v>
      </c>
      <c r="D4115">
        <f t="shared" si="130"/>
        <v>144</v>
      </c>
      <c r="E4115" t="str">
        <f t="shared" si="131"/>
        <v>144. Moldova</v>
      </c>
    </row>
    <row r="4116" spans="1:5" x14ac:dyDescent="0.25">
      <c r="A4116" t="s">
        <v>122</v>
      </c>
      <c r="B4116" t="s">
        <v>357</v>
      </c>
      <c r="C4116">
        <v>2.2999999999999998</v>
      </c>
      <c r="D4116">
        <f t="shared" si="130"/>
        <v>145</v>
      </c>
      <c r="E4116" t="str">
        <f t="shared" si="131"/>
        <v>145. Lesotho</v>
      </c>
    </row>
    <row r="4117" spans="1:5" x14ac:dyDescent="0.25">
      <c r="A4117" t="s">
        <v>82</v>
      </c>
      <c r="B4117" t="s">
        <v>357</v>
      </c>
      <c r="C4117">
        <v>2.2000000000000002</v>
      </c>
      <c r="D4117">
        <f t="shared" si="130"/>
        <v>146</v>
      </c>
      <c r="E4117" t="str">
        <f t="shared" si="131"/>
        <v>146. Guinea-Bissau</v>
      </c>
    </row>
    <row r="4118" spans="1:5" x14ac:dyDescent="0.25">
      <c r="A4118" t="s">
        <v>187</v>
      </c>
      <c r="B4118" t="s">
        <v>357</v>
      </c>
      <c r="C4118">
        <v>2.1</v>
      </c>
      <c r="D4118">
        <f t="shared" si="130"/>
        <v>147</v>
      </c>
      <c r="E4118" t="str">
        <f t="shared" si="131"/>
        <v>147. Slovenia</v>
      </c>
    </row>
    <row r="4119" spans="1:5" x14ac:dyDescent="0.25">
      <c r="A4119" t="s">
        <v>83</v>
      </c>
      <c r="B4119" t="s">
        <v>357</v>
      </c>
      <c r="C4119">
        <v>1.9</v>
      </c>
      <c r="D4119">
        <f t="shared" si="130"/>
        <v>148</v>
      </c>
      <c r="E4119" t="str">
        <f t="shared" si="131"/>
        <v>148. Equatorial Guinea</v>
      </c>
    </row>
    <row r="4120" spans="1:5" x14ac:dyDescent="0.25">
      <c r="A4120" t="s">
        <v>125</v>
      </c>
      <c r="B4120" t="s">
        <v>357</v>
      </c>
      <c r="C4120">
        <v>1.9</v>
      </c>
      <c r="D4120">
        <f t="shared" si="130"/>
        <v>149</v>
      </c>
      <c r="E4120" t="str">
        <f t="shared" si="131"/>
        <v>149. Latvia</v>
      </c>
    </row>
    <row r="4121" spans="1:5" x14ac:dyDescent="0.25">
      <c r="A4121" t="s">
        <v>134</v>
      </c>
      <c r="B4121" t="s">
        <v>357</v>
      </c>
      <c r="C4121">
        <v>1.8</v>
      </c>
      <c r="D4121">
        <f t="shared" si="130"/>
        <v>150</v>
      </c>
      <c r="E4121" t="str">
        <f t="shared" si="131"/>
        <v>150. North Macedonia</v>
      </c>
    </row>
    <row r="4122" spans="1:5" x14ac:dyDescent="0.25">
      <c r="A4122" t="s">
        <v>29</v>
      </c>
      <c r="B4122" t="s">
        <v>357</v>
      </c>
      <c r="C4122">
        <v>1.6</v>
      </c>
      <c r="D4122">
        <f t="shared" si="130"/>
        <v>151</v>
      </c>
      <c r="E4122" t="str">
        <f t="shared" si="131"/>
        <v>151. Bahrain</v>
      </c>
    </row>
    <row r="4123" spans="1:5" x14ac:dyDescent="0.25">
      <c r="A4123" t="s">
        <v>216</v>
      </c>
      <c r="B4123" t="s">
        <v>357</v>
      </c>
      <c r="C4123">
        <v>1.5</v>
      </c>
      <c r="D4123">
        <f t="shared" si="130"/>
        <v>152</v>
      </c>
      <c r="E4123" t="str">
        <f t="shared" si="131"/>
        <v>152. Kosovo</v>
      </c>
    </row>
    <row r="4124" spans="1:5" x14ac:dyDescent="0.25">
      <c r="A4124" t="s">
        <v>58</v>
      </c>
      <c r="B4124" t="s">
        <v>357</v>
      </c>
      <c r="C4124">
        <v>1.4</v>
      </c>
      <c r="D4124">
        <f t="shared" si="130"/>
        <v>153</v>
      </c>
      <c r="E4124" t="str">
        <f t="shared" si="131"/>
        <v>153. Cyprus</v>
      </c>
    </row>
    <row r="4125" spans="1:5" x14ac:dyDescent="0.25">
      <c r="A4125" t="s">
        <v>69</v>
      </c>
      <c r="B4125" t="s">
        <v>357</v>
      </c>
      <c r="C4125">
        <v>1.4</v>
      </c>
      <c r="D4125">
        <f t="shared" si="130"/>
        <v>154</v>
      </c>
      <c r="E4125" t="str">
        <f t="shared" si="131"/>
        <v>154. Estonia</v>
      </c>
    </row>
    <row r="4126" spans="1:5" x14ac:dyDescent="0.25">
      <c r="A4126" t="s">
        <v>199</v>
      </c>
      <c r="B4126" t="s">
        <v>357</v>
      </c>
      <c r="C4126">
        <v>1.4</v>
      </c>
      <c r="D4126">
        <f t="shared" si="130"/>
        <v>155</v>
      </c>
      <c r="E4126" t="str">
        <f t="shared" si="131"/>
        <v>155. Timor-Leste</v>
      </c>
    </row>
    <row r="4127" spans="1:5" x14ac:dyDescent="0.25">
      <c r="A4127" t="s">
        <v>201</v>
      </c>
      <c r="B4127" t="s">
        <v>357</v>
      </c>
      <c r="C4127">
        <v>1.4</v>
      </c>
      <c r="D4127">
        <f t="shared" si="130"/>
        <v>156</v>
      </c>
      <c r="E4127" t="str">
        <f t="shared" si="131"/>
        <v>156. Trinidad and Tobago</v>
      </c>
    </row>
    <row r="4128" spans="1:5" x14ac:dyDescent="0.25">
      <c r="A4128" t="s">
        <v>143</v>
      </c>
      <c r="B4128" t="s">
        <v>357</v>
      </c>
      <c r="C4128">
        <v>1.3</v>
      </c>
      <c r="D4128">
        <f t="shared" si="130"/>
        <v>157</v>
      </c>
      <c r="E4128" t="str">
        <f t="shared" si="131"/>
        <v>157. Mauritius</v>
      </c>
    </row>
    <row r="4129" spans="1:5" x14ac:dyDescent="0.25">
      <c r="A4129" t="s">
        <v>61</v>
      </c>
      <c r="B4129" t="s">
        <v>357</v>
      </c>
      <c r="C4129">
        <v>1.2</v>
      </c>
      <c r="D4129">
        <f t="shared" si="130"/>
        <v>158</v>
      </c>
      <c r="E4129" t="str">
        <f t="shared" si="131"/>
        <v>158. Djibouti</v>
      </c>
    </row>
    <row r="4130" spans="1:5" x14ac:dyDescent="0.25">
      <c r="A4130" t="s">
        <v>189</v>
      </c>
      <c r="B4130" t="s">
        <v>357</v>
      </c>
      <c r="C4130">
        <v>1.2</v>
      </c>
      <c r="D4130">
        <f t="shared" si="130"/>
        <v>159</v>
      </c>
      <c r="E4130" t="str">
        <f t="shared" si="131"/>
        <v>159. Eswatini</v>
      </c>
    </row>
    <row r="4131" spans="1:5" x14ac:dyDescent="0.25">
      <c r="A4131" t="s">
        <v>52</v>
      </c>
      <c r="B4131" t="s">
        <v>357</v>
      </c>
      <c r="C4131">
        <v>0.9</v>
      </c>
      <c r="D4131">
        <f t="shared" si="130"/>
        <v>160</v>
      </c>
      <c r="E4131" t="str">
        <f t="shared" si="131"/>
        <v>160. Comoros</v>
      </c>
    </row>
    <row r="4132" spans="1:5" x14ac:dyDescent="0.25">
      <c r="A4132" t="s">
        <v>72</v>
      </c>
      <c r="B4132" t="s">
        <v>357</v>
      </c>
      <c r="C4132">
        <v>0.9</v>
      </c>
      <c r="D4132">
        <f t="shared" si="130"/>
        <v>161</v>
      </c>
      <c r="E4132" t="str">
        <f t="shared" si="131"/>
        <v>161. Fiji</v>
      </c>
    </row>
    <row r="4133" spans="1:5" x14ac:dyDescent="0.25">
      <c r="A4133" t="s">
        <v>39</v>
      </c>
      <c r="B4133" t="s">
        <v>357</v>
      </c>
      <c r="C4133">
        <v>0.8</v>
      </c>
      <c r="D4133">
        <f t="shared" si="130"/>
        <v>162</v>
      </c>
      <c r="E4133" t="str">
        <f t="shared" si="131"/>
        <v>162. Bhutan</v>
      </c>
    </row>
    <row r="4134" spans="1:5" x14ac:dyDescent="0.25">
      <c r="A4134" t="s">
        <v>89</v>
      </c>
      <c r="B4134" t="s">
        <v>357</v>
      </c>
      <c r="C4134">
        <v>0.8</v>
      </c>
      <c r="D4134">
        <f t="shared" si="130"/>
        <v>163</v>
      </c>
      <c r="E4134" t="str">
        <f t="shared" si="131"/>
        <v>163. Guyana</v>
      </c>
    </row>
    <row r="4135" spans="1:5" x14ac:dyDescent="0.25">
      <c r="A4135" t="s">
        <v>177</v>
      </c>
      <c r="B4135" t="s">
        <v>357</v>
      </c>
      <c r="C4135">
        <v>0.8</v>
      </c>
      <c r="D4135">
        <f t="shared" si="130"/>
        <v>164</v>
      </c>
      <c r="E4135" t="str">
        <f t="shared" si="131"/>
        <v>164. Solomon Islands</v>
      </c>
    </row>
    <row r="4136" spans="1:5" x14ac:dyDescent="0.25">
      <c r="A4136" t="s">
        <v>124</v>
      </c>
      <c r="B4136" t="s">
        <v>357</v>
      </c>
      <c r="C4136">
        <v>0.7</v>
      </c>
      <c r="D4136">
        <f t="shared" si="130"/>
        <v>165</v>
      </c>
      <c r="E4136" t="str">
        <f t="shared" si="131"/>
        <v>165. Luxembourg</v>
      </c>
    </row>
    <row r="4137" spans="1:5" x14ac:dyDescent="0.25">
      <c r="A4137" t="s">
        <v>126</v>
      </c>
      <c r="B4137" t="s">
        <v>357</v>
      </c>
      <c r="C4137">
        <v>0.7</v>
      </c>
      <c r="D4137">
        <f t="shared" si="130"/>
        <v>166</v>
      </c>
      <c r="E4137" t="str">
        <f t="shared" si="131"/>
        <v>166. Macao SAR, China</v>
      </c>
    </row>
    <row r="4138" spans="1:5" x14ac:dyDescent="0.25">
      <c r="A4138" t="s">
        <v>136</v>
      </c>
      <c r="B4138" t="s">
        <v>357</v>
      </c>
      <c r="C4138">
        <v>0.6</v>
      </c>
      <c r="D4138">
        <f t="shared" si="130"/>
        <v>167</v>
      </c>
      <c r="E4138" t="str">
        <f t="shared" si="131"/>
        <v>167. Malta</v>
      </c>
    </row>
    <row r="4139" spans="1:5" x14ac:dyDescent="0.25">
      <c r="A4139" t="s">
        <v>138</v>
      </c>
      <c r="B4139" t="s">
        <v>357</v>
      </c>
      <c r="C4139">
        <v>0.6</v>
      </c>
      <c r="D4139">
        <f t="shared" si="130"/>
        <v>168</v>
      </c>
      <c r="E4139" t="str">
        <f t="shared" si="131"/>
        <v>168. Montenegro</v>
      </c>
    </row>
    <row r="4140" spans="1:5" x14ac:dyDescent="0.25">
      <c r="A4140" t="s">
        <v>185</v>
      </c>
      <c r="B4140" t="s">
        <v>357</v>
      </c>
      <c r="C4140">
        <v>0.6</v>
      </c>
      <c r="D4140">
        <f t="shared" si="130"/>
        <v>169</v>
      </c>
      <c r="E4140" t="str">
        <f t="shared" si="131"/>
        <v>169. Suriname</v>
      </c>
    </row>
    <row r="4141" spans="1:5" x14ac:dyDescent="0.25">
      <c r="A4141" t="s">
        <v>38</v>
      </c>
      <c r="B4141" t="s">
        <v>357</v>
      </c>
      <c r="C4141">
        <v>0.5</v>
      </c>
      <c r="D4141">
        <f t="shared" si="130"/>
        <v>170</v>
      </c>
      <c r="E4141" t="str">
        <f t="shared" si="131"/>
        <v>170. Brunei Darussalam</v>
      </c>
    </row>
    <row r="4142" spans="1:5" x14ac:dyDescent="0.25">
      <c r="A4142" t="s">
        <v>53</v>
      </c>
      <c r="B4142" t="s">
        <v>357</v>
      </c>
      <c r="C4142">
        <v>0.5</v>
      </c>
      <c r="D4142">
        <f t="shared" si="130"/>
        <v>171</v>
      </c>
      <c r="E4142" t="str">
        <f t="shared" si="131"/>
        <v>171. Cabo Verde</v>
      </c>
    </row>
    <row r="4143" spans="1:5" x14ac:dyDescent="0.25">
      <c r="A4143" t="s">
        <v>131</v>
      </c>
      <c r="B4143" t="s">
        <v>357</v>
      </c>
      <c r="C4143">
        <v>0.5</v>
      </c>
      <c r="D4143">
        <f t="shared" si="130"/>
        <v>172</v>
      </c>
      <c r="E4143" t="str">
        <f t="shared" si="131"/>
        <v>172. Maldives</v>
      </c>
    </row>
    <row r="4144" spans="1:5" x14ac:dyDescent="0.25">
      <c r="A4144" t="s">
        <v>30</v>
      </c>
      <c r="B4144" t="s">
        <v>357</v>
      </c>
      <c r="C4144">
        <v>0.4</v>
      </c>
      <c r="D4144">
        <f t="shared" si="130"/>
        <v>173</v>
      </c>
      <c r="E4144" t="str">
        <f t="shared" si="131"/>
        <v>173. Bahamas, The</v>
      </c>
    </row>
    <row r="4145" spans="1:5" x14ac:dyDescent="0.25">
      <c r="A4145" t="s">
        <v>33</v>
      </c>
      <c r="B4145" t="s">
        <v>357</v>
      </c>
      <c r="C4145">
        <v>0.4</v>
      </c>
      <c r="D4145">
        <f t="shared" si="130"/>
        <v>174</v>
      </c>
      <c r="E4145" t="str">
        <f t="shared" si="131"/>
        <v>174. Belize</v>
      </c>
    </row>
    <row r="4146" spans="1:5" x14ac:dyDescent="0.25">
      <c r="A4146" t="s">
        <v>101</v>
      </c>
      <c r="B4146" t="s">
        <v>357</v>
      </c>
      <c r="C4146">
        <v>0.4</v>
      </c>
      <c r="D4146">
        <f t="shared" si="130"/>
        <v>175</v>
      </c>
      <c r="E4146" t="str">
        <f t="shared" si="131"/>
        <v>175. Iceland</v>
      </c>
    </row>
    <row r="4147" spans="1:5" x14ac:dyDescent="0.25">
      <c r="A4147" t="s">
        <v>37</v>
      </c>
      <c r="B4147" t="s">
        <v>357</v>
      </c>
      <c r="C4147">
        <v>0.3</v>
      </c>
      <c r="D4147">
        <f t="shared" si="130"/>
        <v>176</v>
      </c>
      <c r="E4147" t="str">
        <f t="shared" si="131"/>
        <v>176. Barbados</v>
      </c>
    </row>
    <row r="4148" spans="1:5" x14ac:dyDescent="0.25">
      <c r="A4148" t="s">
        <v>168</v>
      </c>
      <c r="B4148" t="s">
        <v>357</v>
      </c>
      <c r="C4148">
        <v>0.3</v>
      </c>
      <c r="D4148">
        <f t="shared" si="130"/>
        <v>177</v>
      </c>
      <c r="E4148" t="str">
        <f t="shared" si="131"/>
        <v>177. French Polynesia</v>
      </c>
    </row>
    <row r="4149" spans="1:5" x14ac:dyDescent="0.25">
      <c r="A4149" t="s">
        <v>147</v>
      </c>
      <c r="B4149" t="s">
        <v>357</v>
      </c>
      <c r="C4149">
        <v>0.3</v>
      </c>
      <c r="D4149">
        <f t="shared" si="130"/>
        <v>178</v>
      </c>
      <c r="E4149" t="str">
        <f t="shared" si="131"/>
        <v>178. New Caledonia</v>
      </c>
    </row>
    <row r="4150" spans="1:5" x14ac:dyDescent="0.25">
      <c r="A4150" t="s">
        <v>214</v>
      </c>
      <c r="B4150" t="s">
        <v>357</v>
      </c>
      <c r="C4150">
        <v>0.3</v>
      </c>
      <c r="D4150">
        <f t="shared" si="130"/>
        <v>179</v>
      </c>
      <c r="E4150" t="str">
        <f t="shared" si="131"/>
        <v>179. Vanuatu</v>
      </c>
    </row>
    <row r="4151" spans="1:5" x14ac:dyDescent="0.25">
      <c r="A4151" t="s">
        <v>44</v>
      </c>
      <c r="B4151" t="s">
        <v>357</v>
      </c>
      <c r="C4151">
        <v>0.2</v>
      </c>
      <c r="D4151">
        <f t="shared" si="130"/>
        <v>180</v>
      </c>
      <c r="E4151" t="str">
        <f t="shared" si="131"/>
        <v>180. Channel Islands</v>
      </c>
    </row>
    <row r="4152" spans="1:5" x14ac:dyDescent="0.25">
      <c r="A4152" t="s">
        <v>56</v>
      </c>
      <c r="B4152" t="s">
        <v>357</v>
      </c>
      <c r="C4152">
        <v>0.2</v>
      </c>
      <c r="D4152">
        <f t="shared" si="130"/>
        <v>181</v>
      </c>
      <c r="E4152" t="str">
        <f t="shared" si="131"/>
        <v>181. Curacao</v>
      </c>
    </row>
    <row r="4153" spans="1:5" x14ac:dyDescent="0.25">
      <c r="A4153" t="s">
        <v>88</v>
      </c>
      <c r="B4153" t="s">
        <v>357</v>
      </c>
      <c r="C4153">
        <v>0.2</v>
      </c>
      <c r="D4153">
        <f t="shared" si="130"/>
        <v>182</v>
      </c>
      <c r="E4153" t="str">
        <f t="shared" si="131"/>
        <v>182. Guam</v>
      </c>
    </row>
    <row r="4154" spans="1:5" x14ac:dyDescent="0.25">
      <c r="A4154" t="s">
        <v>215</v>
      </c>
      <c r="B4154" t="s">
        <v>357</v>
      </c>
      <c r="C4154">
        <v>0.2</v>
      </c>
      <c r="D4154">
        <f t="shared" si="130"/>
        <v>183</v>
      </c>
      <c r="E4154" t="str">
        <f t="shared" si="131"/>
        <v>183. Samoa</v>
      </c>
    </row>
    <row r="4155" spans="1:5" x14ac:dyDescent="0.25">
      <c r="A4155" t="s">
        <v>184</v>
      </c>
      <c r="B4155" t="s">
        <v>357</v>
      </c>
      <c r="C4155">
        <v>0.2</v>
      </c>
      <c r="D4155">
        <f t="shared" si="130"/>
        <v>184</v>
      </c>
      <c r="E4155" t="str">
        <f t="shared" si="131"/>
        <v>184. Sao Tome and Principe</v>
      </c>
    </row>
    <row r="4156" spans="1:5" x14ac:dyDescent="0.25">
      <c r="A4156" t="s">
        <v>119</v>
      </c>
      <c r="B4156" t="s">
        <v>357</v>
      </c>
      <c r="C4156">
        <v>0.2</v>
      </c>
      <c r="D4156">
        <f t="shared" si="130"/>
        <v>185</v>
      </c>
      <c r="E4156" t="str">
        <f t="shared" si="131"/>
        <v>185. St. Lucia</v>
      </c>
    </row>
    <row r="4157" spans="1:5" x14ac:dyDescent="0.25">
      <c r="A4157" t="s">
        <v>14</v>
      </c>
      <c r="B4157" t="s">
        <v>357</v>
      </c>
      <c r="C4157">
        <v>0.1</v>
      </c>
      <c r="D4157">
        <f t="shared" si="130"/>
        <v>186</v>
      </c>
      <c r="E4157" t="str">
        <f t="shared" si="131"/>
        <v>186. Andorra</v>
      </c>
    </row>
    <row r="4158" spans="1:5" x14ac:dyDescent="0.25">
      <c r="A4158" t="s">
        <v>19</v>
      </c>
      <c r="B4158" t="s">
        <v>357</v>
      </c>
      <c r="C4158">
        <v>0.1</v>
      </c>
      <c r="D4158">
        <f t="shared" si="130"/>
        <v>187</v>
      </c>
      <c r="E4158" t="str">
        <f t="shared" si="131"/>
        <v>187. Antigua and Barbuda</v>
      </c>
    </row>
    <row r="4159" spans="1:5" x14ac:dyDescent="0.25">
      <c r="A4159" t="s">
        <v>10</v>
      </c>
      <c r="B4159" t="s">
        <v>357</v>
      </c>
      <c r="C4159">
        <v>0.1</v>
      </c>
      <c r="D4159">
        <f t="shared" si="130"/>
        <v>188</v>
      </c>
      <c r="E4159" t="str">
        <f t="shared" si="131"/>
        <v>188. Aruba</v>
      </c>
    </row>
    <row r="4160" spans="1:5" x14ac:dyDescent="0.25">
      <c r="A4160" t="s">
        <v>34</v>
      </c>
      <c r="B4160" t="s">
        <v>357</v>
      </c>
      <c r="C4160">
        <v>0.1</v>
      </c>
      <c r="D4160">
        <f t="shared" si="130"/>
        <v>189</v>
      </c>
      <c r="E4160" t="str">
        <f t="shared" si="131"/>
        <v>189. Bermuda</v>
      </c>
    </row>
    <row r="4161" spans="1:5" x14ac:dyDescent="0.25">
      <c r="A4161" t="s">
        <v>57</v>
      </c>
      <c r="B4161" t="s">
        <v>357</v>
      </c>
      <c r="C4161">
        <v>0.1</v>
      </c>
      <c r="D4161">
        <f t="shared" si="130"/>
        <v>190</v>
      </c>
      <c r="E4161" t="str">
        <f t="shared" si="131"/>
        <v>190. Cayman Islands</v>
      </c>
    </row>
    <row r="4162" spans="1:5" x14ac:dyDescent="0.25">
      <c r="A4162" t="s">
        <v>62</v>
      </c>
      <c r="B4162" t="s">
        <v>357</v>
      </c>
      <c r="C4162">
        <v>0.1</v>
      </c>
      <c r="D4162">
        <f t="shared" si="130"/>
        <v>191</v>
      </c>
      <c r="E4162" t="str">
        <f t="shared" si="131"/>
        <v>191. Dominica</v>
      </c>
    </row>
    <row r="4163" spans="1:5" x14ac:dyDescent="0.25">
      <c r="A4163" t="s">
        <v>74</v>
      </c>
      <c r="B4163" t="s">
        <v>357</v>
      </c>
      <c r="C4163">
        <v>0.1</v>
      </c>
      <c r="D4163">
        <f t="shared" si="130"/>
        <v>192</v>
      </c>
      <c r="E4163" t="str">
        <f t="shared" si="131"/>
        <v>192. Faroe Islands</v>
      </c>
    </row>
    <row r="4164" spans="1:5" x14ac:dyDescent="0.25">
      <c r="A4164" t="s">
        <v>86</v>
      </c>
      <c r="B4164" t="s">
        <v>357</v>
      </c>
      <c r="C4164">
        <v>0.1</v>
      </c>
      <c r="D4164">
        <f t="shared" ref="D4164:D4227" si="132">IF(ROW() = 2, 1, IF(B4164 = B4163, D4163 + 1, 1))</f>
        <v>193</v>
      </c>
      <c r="E4164" t="str">
        <f t="shared" ref="E4164:E4227" si="133">_xlfn.CONCAT(D4164, ". ", A4164)</f>
        <v>193. Greenland</v>
      </c>
    </row>
    <row r="4165" spans="1:5" x14ac:dyDescent="0.25">
      <c r="A4165" t="s">
        <v>85</v>
      </c>
      <c r="B4165" t="s">
        <v>357</v>
      </c>
      <c r="C4165">
        <v>0.1</v>
      </c>
      <c r="D4165">
        <f t="shared" si="132"/>
        <v>194</v>
      </c>
      <c r="E4165" t="str">
        <f t="shared" si="133"/>
        <v>194. Grenada</v>
      </c>
    </row>
    <row r="4166" spans="1:5" x14ac:dyDescent="0.25">
      <c r="A4166" t="s">
        <v>96</v>
      </c>
      <c r="B4166" t="s">
        <v>357</v>
      </c>
      <c r="C4166">
        <v>0.1</v>
      </c>
      <c r="D4166">
        <f t="shared" si="132"/>
        <v>195</v>
      </c>
      <c r="E4166" t="str">
        <f t="shared" si="133"/>
        <v>195. Isle of Man</v>
      </c>
    </row>
    <row r="4167" spans="1:5" x14ac:dyDescent="0.25">
      <c r="A4167" t="s">
        <v>111</v>
      </c>
      <c r="B4167" t="s">
        <v>357</v>
      </c>
      <c r="C4167">
        <v>0.1</v>
      </c>
      <c r="D4167">
        <f t="shared" si="132"/>
        <v>196</v>
      </c>
      <c r="E4167" t="str">
        <f t="shared" si="133"/>
        <v>196. Kiribati</v>
      </c>
    </row>
    <row r="4168" spans="1:5" x14ac:dyDescent="0.25">
      <c r="A4168" t="s">
        <v>75</v>
      </c>
      <c r="B4168" t="s">
        <v>357</v>
      </c>
      <c r="C4168">
        <v>0.1</v>
      </c>
      <c r="D4168">
        <f t="shared" si="132"/>
        <v>197</v>
      </c>
      <c r="E4168" t="str">
        <f t="shared" si="133"/>
        <v>197. Micronesia, Fed. Sts.</v>
      </c>
    </row>
    <row r="4169" spans="1:5" x14ac:dyDescent="0.25">
      <c r="A4169" t="s">
        <v>191</v>
      </c>
      <c r="B4169" t="s">
        <v>357</v>
      </c>
      <c r="C4169">
        <v>0.1</v>
      </c>
      <c r="D4169">
        <f t="shared" si="132"/>
        <v>198</v>
      </c>
      <c r="E4169" t="str">
        <f t="shared" si="133"/>
        <v>198. Seychelles</v>
      </c>
    </row>
    <row r="4170" spans="1:5" x14ac:dyDescent="0.25">
      <c r="A4170" t="s">
        <v>211</v>
      </c>
      <c r="B4170" t="s">
        <v>357</v>
      </c>
      <c r="C4170">
        <v>0.1</v>
      </c>
      <c r="D4170">
        <f t="shared" si="132"/>
        <v>199</v>
      </c>
      <c r="E4170" t="str">
        <f t="shared" si="133"/>
        <v>199. St. Vincent and the Grenadines</v>
      </c>
    </row>
    <row r="4171" spans="1:5" x14ac:dyDescent="0.25">
      <c r="A4171" t="s">
        <v>200</v>
      </c>
      <c r="B4171" t="s">
        <v>357</v>
      </c>
      <c r="C4171">
        <v>0.1</v>
      </c>
      <c r="D4171">
        <f t="shared" si="132"/>
        <v>200</v>
      </c>
      <c r="E4171" t="str">
        <f t="shared" si="133"/>
        <v>200. Tonga</v>
      </c>
    </row>
    <row r="4172" spans="1:5" x14ac:dyDescent="0.25">
      <c r="A4172" t="s">
        <v>212</v>
      </c>
      <c r="B4172" t="s">
        <v>357</v>
      </c>
      <c r="C4172">
        <v>0.1</v>
      </c>
      <c r="D4172">
        <f t="shared" si="132"/>
        <v>201</v>
      </c>
      <c r="E4172" t="str">
        <f t="shared" si="133"/>
        <v>201. Virgin Islands (U.S.)</v>
      </c>
    </row>
    <row r="4173" spans="1:5" x14ac:dyDescent="0.25">
      <c r="A4173" t="s">
        <v>18</v>
      </c>
      <c r="B4173" t="s">
        <v>357</v>
      </c>
      <c r="C4173">
        <v>0</v>
      </c>
      <c r="D4173">
        <f t="shared" si="132"/>
        <v>202</v>
      </c>
      <c r="E4173" t="str">
        <f t="shared" si="133"/>
        <v>202. American Samoa</v>
      </c>
    </row>
    <row r="4174" spans="1:5" x14ac:dyDescent="0.25">
      <c r="A4174" t="s">
        <v>120</v>
      </c>
      <c r="B4174" t="s">
        <v>357</v>
      </c>
      <c r="C4174">
        <v>0</v>
      </c>
      <c r="D4174">
        <f t="shared" si="132"/>
        <v>203</v>
      </c>
      <c r="E4174" t="str">
        <f t="shared" si="133"/>
        <v>203. Liechtenstein</v>
      </c>
    </row>
    <row r="4175" spans="1:5" x14ac:dyDescent="0.25">
      <c r="A4175" t="s">
        <v>133</v>
      </c>
      <c r="B4175" t="s">
        <v>357</v>
      </c>
      <c r="C4175">
        <v>0</v>
      </c>
      <c r="D4175">
        <f t="shared" si="132"/>
        <v>204</v>
      </c>
      <c r="E4175" t="str">
        <f t="shared" si="133"/>
        <v>204. Marshall Islands</v>
      </c>
    </row>
    <row r="4176" spans="1:5" x14ac:dyDescent="0.25">
      <c r="A4176" t="s">
        <v>128</v>
      </c>
      <c r="B4176" t="s">
        <v>357</v>
      </c>
      <c r="C4176">
        <v>0</v>
      </c>
      <c r="D4176">
        <f t="shared" si="132"/>
        <v>205</v>
      </c>
      <c r="E4176" t="str">
        <f t="shared" si="133"/>
        <v>205. Monaco</v>
      </c>
    </row>
    <row r="4177" spans="1:5" x14ac:dyDescent="0.25">
      <c r="A4177" t="s">
        <v>154</v>
      </c>
      <c r="B4177" t="s">
        <v>357</v>
      </c>
      <c r="C4177">
        <v>0</v>
      </c>
      <c r="D4177">
        <f t="shared" si="132"/>
        <v>206</v>
      </c>
      <c r="E4177" t="str">
        <f t="shared" si="133"/>
        <v>206. Nauru</v>
      </c>
    </row>
    <row r="4178" spans="1:5" x14ac:dyDescent="0.25">
      <c r="A4178" t="s">
        <v>140</v>
      </c>
      <c r="B4178" t="s">
        <v>357</v>
      </c>
      <c r="C4178">
        <v>0</v>
      </c>
      <c r="D4178">
        <f t="shared" si="132"/>
        <v>207</v>
      </c>
      <c r="E4178" t="str">
        <f t="shared" si="133"/>
        <v>207. Northern Mariana Islands</v>
      </c>
    </row>
    <row r="4179" spans="1:5" x14ac:dyDescent="0.25">
      <c r="A4179" t="s">
        <v>161</v>
      </c>
      <c r="B4179" t="s">
        <v>357</v>
      </c>
      <c r="C4179">
        <v>0</v>
      </c>
      <c r="D4179">
        <f t="shared" si="132"/>
        <v>208</v>
      </c>
      <c r="E4179" t="str">
        <f t="shared" si="133"/>
        <v>208. Palau</v>
      </c>
    </row>
    <row r="4180" spans="1:5" x14ac:dyDescent="0.25">
      <c r="A4180" t="s">
        <v>180</v>
      </c>
      <c r="B4180" t="s">
        <v>357</v>
      </c>
      <c r="C4180">
        <v>0</v>
      </c>
      <c r="D4180">
        <f t="shared" si="132"/>
        <v>209</v>
      </c>
      <c r="E4180" t="str">
        <f t="shared" si="133"/>
        <v>209. San Marino</v>
      </c>
    </row>
    <row r="4181" spans="1:5" x14ac:dyDescent="0.25">
      <c r="A4181" t="s">
        <v>190</v>
      </c>
      <c r="B4181" t="s">
        <v>357</v>
      </c>
      <c r="C4181">
        <v>0</v>
      </c>
      <c r="D4181">
        <f t="shared" si="132"/>
        <v>210</v>
      </c>
      <c r="E4181" t="str">
        <f t="shared" si="133"/>
        <v>210. Sint Maarten (Dutch part)</v>
      </c>
    </row>
    <row r="4182" spans="1:5" x14ac:dyDescent="0.25">
      <c r="A4182" t="s">
        <v>112</v>
      </c>
      <c r="B4182" t="s">
        <v>357</v>
      </c>
      <c r="C4182">
        <v>0</v>
      </c>
      <c r="D4182">
        <f t="shared" si="132"/>
        <v>211</v>
      </c>
      <c r="E4182" t="str">
        <f t="shared" si="133"/>
        <v>211. St. Kitts and Nevis</v>
      </c>
    </row>
    <row r="4183" spans="1:5" x14ac:dyDescent="0.25">
      <c r="A4183" t="s">
        <v>221</v>
      </c>
      <c r="B4183" t="s">
        <v>357</v>
      </c>
      <c r="C4183">
        <v>0</v>
      </c>
      <c r="D4183">
        <f t="shared" si="132"/>
        <v>212</v>
      </c>
      <c r="E4183" t="str">
        <f t="shared" si="133"/>
        <v>212. St. Martin (French part)</v>
      </c>
    </row>
    <row r="4184" spans="1:5" x14ac:dyDescent="0.25">
      <c r="A4184" t="s">
        <v>193</v>
      </c>
      <c r="B4184" t="s">
        <v>357</v>
      </c>
      <c r="C4184">
        <v>0</v>
      </c>
      <c r="D4184">
        <f t="shared" si="132"/>
        <v>213</v>
      </c>
      <c r="E4184" t="str">
        <f t="shared" si="133"/>
        <v>213. Turks and Caicos Islands</v>
      </c>
    </row>
    <row r="4185" spans="1:5" x14ac:dyDescent="0.25">
      <c r="A4185" t="s">
        <v>204</v>
      </c>
      <c r="B4185" t="s">
        <v>357</v>
      </c>
      <c r="C4185">
        <v>0</v>
      </c>
      <c r="D4185">
        <f t="shared" si="132"/>
        <v>214</v>
      </c>
      <c r="E4185" t="str">
        <f t="shared" si="133"/>
        <v>214. Tuvalu</v>
      </c>
    </row>
    <row r="4186" spans="1:5" x14ac:dyDescent="0.25">
      <c r="A4186" t="s">
        <v>128</v>
      </c>
      <c r="B4186" t="s">
        <v>457</v>
      </c>
      <c r="C4186">
        <v>36.200000000000003</v>
      </c>
      <c r="D4186">
        <f t="shared" si="132"/>
        <v>1</v>
      </c>
      <c r="E4186" t="str">
        <f t="shared" si="133"/>
        <v>1. Monaco</v>
      </c>
    </row>
    <row r="4187" spans="1:5" x14ac:dyDescent="0.25">
      <c r="A4187" t="s">
        <v>106</v>
      </c>
      <c r="B4187" t="s">
        <v>457</v>
      </c>
      <c r="C4187">
        <v>29.8</v>
      </c>
      <c r="D4187">
        <f t="shared" si="132"/>
        <v>2</v>
      </c>
      <c r="E4187" t="str">
        <f t="shared" si="133"/>
        <v>2. Japan</v>
      </c>
    </row>
    <row r="4188" spans="1:5" x14ac:dyDescent="0.25">
      <c r="A4188" t="s">
        <v>164</v>
      </c>
      <c r="B4188" t="s">
        <v>457</v>
      </c>
      <c r="C4188">
        <v>24.7</v>
      </c>
      <c r="D4188">
        <f t="shared" si="132"/>
        <v>3</v>
      </c>
      <c r="E4188" t="str">
        <f t="shared" si="133"/>
        <v>3. Puerto Rico (US)</v>
      </c>
    </row>
    <row r="4189" spans="1:5" x14ac:dyDescent="0.25">
      <c r="A4189" t="s">
        <v>103</v>
      </c>
      <c r="B4189" t="s">
        <v>457</v>
      </c>
      <c r="C4189">
        <v>24.6</v>
      </c>
      <c r="D4189">
        <f t="shared" si="132"/>
        <v>4</v>
      </c>
      <c r="E4189" t="str">
        <f t="shared" si="133"/>
        <v>4. Italy</v>
      </c>
    </row>
    <row r="4190" spans="1:5" x14ac:dyDescent="0.25">
      <c r="A4190" t="s">
        <v>165</v>
      </c>
      <c r="B4190" t="s">
        <v>457</v>
      </c>
      <c r="C4190">
        <v>24.5</v>
      </c>
      <c r="D4190">
        <f t="shared" si="132"/>
        <v>5</v>
      </c>
      <c r="E4190" t="str">
        <f t="shared" si="133"/>
        <v>5. Portugal</v>
      </c>
    </row>
    <row r="4191" spans="1:5" x14ac:dyDescent="0.25">
      <c r="A4191" t="s">
        <v>71</v>
      </c>
      <c r="B4191" t="s">
        <v>457</v>
      </c>
      <c r="C4191">
        <v>23.9</v>
      </c>
      <c r="D4191">
        <f t="shared" si="132"/>
        <v>6</v>
      </c>
      <c r="E4191" t="str">
        <f t="shared" si="133"/>
        <v>6. Finland</v>
      </c>
    </row>
    <row r="4192" spans="1:5" x14ac:dyDescent="0.25">
      <c r="A4192" t="s">
        <v>84</v>
      </c>
      <c r="B4192" t="s">
        <v>457</v>
      </c>
      <c r="C4192">
        <v>23.9</v>
      </c>
      <c r="D4192">
        <f t="shared" si="132"/>
        <v>7</v>
      </c>
      <c r="E4192" t="str">
        <f t="shared" si="133"/>
        <v>7. Greece</v>
      </c>
    </row>
    <row r="4193" spans="1:5" x14ac:dyDescent="0.25">
      <c r="A4193" t="s">
        <v>92</v>
      </c>
      <c r="B4193" t="s">
        <v>457</v>
      </c>
      <c r="C4193">
        <v>23.2</v>
      </c>
      <c r="D4193">
        <f t="shared" si="132"/>
        <v>8</v>
      </c>
      <c r="E4193" t="str">
        <f t="shared" si="133"/>
        <v>8. Croatia</v>
      </c>
    </row>
    <row r="4194" spans="1:5" x14ac:dyDescent="0.25">
      <c r="A4194" t="s">
        <v>60</v>
      </c>
      <c r="B4194" t="s">
        <v>457</v>
      </c>
      <c r="C4194">
        <v>23.2</v>
      </c>
      <c r="D4194">
        <f t="shared" si="132"/>
        <v>9</v>
      </c>
      <c r="E4194" t="str">
        <f t="shared" si="133"/>
        <v>9. Germany</v>
      </c>
    </row>
    <row r="4195" spans="1:5" x14ac:dyDescent="0.25">
      <c r="A4195" t="s">
        <v>96</v>
      </c>
      <c r="B4195" t="s">
        <v>457</v>
      </c>
      <c r="C4195">
        <v>23.2</v>
      </c>
      <c r="D4195">
        <f t="shared" si="132"/>
        <v>10</v>
      </c>
      <c r="E4195" t="str">
        <f t="shared" si="133"/>
        <v>10. Isle of Man</v>
      </c>
    </row>
    <row r="4196" spans="1:5" x14ac:dyDescent="0.25">
      <c r="A4196" t="s">
        <v>90</v>
      </c>
      <c r="B4196" t="s">
        <v>457</v>
      </c>
      <c r="C4196">
        <v>22.7</v>
      </c>
      <c r="D4196">
        <f t="shared" si="132"/>
        <v>11</v>
      </c>
      <c r="E4196" t="str">
        <f t="shared" si="133"/>
        <v>11. Hong Kong SAR, China</v>
      </c>
    </row>
    <row r="4197" spans="1:5" x14ac:dyDescent="0.25">
      <c r="A4197" t="s">
        <v>182</v>
      </c>
      <c r="B4197" t="s">
        <v>457</v>
      </c>
      <c r="C4197">
        <v>22.7</v>
      </c>
      <c r="D4197">
        <f t="shared" si="132"/>
        <v>12</v>
      </c>
      <c r="E4197" t="str">
        <f t="shared" si="133"/>
        <v>12. Serbia</v>
      </c>
    </row>
    <row r="4198" spans="1:5" x14ac:dyDescent="0.25">
      <c r="A4198" t="s">
        <v>212</v>
      </c>
      <c r="B4198" t="s">
        <v>457</v>
      </c>
      <c r="C4198">
        <v>22.7</v>
      </c>
      <c r="D4198">
        <f t="shared" si="132"/>
        <v>13</v>
      </c>
      <c r="E4198" t="str">
        <f t="shared" si="133"/>
        <v>13. Virgin Islands (U.S.)</v>
      </c>
    </row>
    <row r="4199" spans="1:5" x14ac:dyDescent="0.25">
      <c r="A4199" t="s">
        <v>180</v>
      </c>
      <c r="B4199" t="s">
        <v>457</v>
      </c>
      <c r="C4199">
        <v>22.4</v>
      </c>
      <c r="D4199">
        <f t="shared" si="132"/>
        <v>14</v>
      </c>
      <c r="E4199" t="str">
        <f t="shared" si="133"/>
        <v>14. San Marino</v>
      </c>
    </row>
    <row r="4200" spans="1:5" x14ac:dyDescent="0.25">
      <c r="A4200" t="s">
        <v>31</v>
      </c>
      <c r="B4200" t="s">
        <v>457</v>
      </c>
      <c r="C4200">
        <v>22.2</v>
      </c>
      <c r="D4200">
        <f t="shared" si="132"/>
        <v>15</v>
      </c>
      <c r="E4200" t="str">
        <f t="shared" si="133"/>
        <v>15. Bosnia and Herzegovina</v>
      </c>
    </row>
    <row r="4201" spans="1:5" x14ac:dyDescent="0.25">
      <c r="A4201" t="s">
        <v>73</v>
      </c>
      <c r="B4201" t="s">
        <v>457</v>
      </c>
      <c r="C4201">
        <v>22.1</v>
      </c>
      <c r="D4201">
        <f t="shared" si="132"/>
        <v>16</v>
      </c>
      <c r="E4201" t="str">
        <f t="shared" si="133"/>
        <v>16. France</v>
      </c>
    </row>
    <row r="4202" spans="1:5" x14ac:dyDescent="0.25">
      <c r="A4202" t="s">
        <v>28</v>
      </c>
      <c r="B4202" t="s">
        <v>457</v>
      </c>
      <c r="C4202">
        <v>22</v>
      </c>
      <c r="D4202">
        <f t="shared" si="132"/>
        <v>17</v>
      </c>
      <c r="E4202" t="str">
        <f t="shared" si="133"/>
        <v>17. Bulgaria</v>
      </c>
    </row>
    <row r="4203" spans="1:5" x14ac:dyDescent="0.25">
      <c r="A4203" t="s">
        <v>187</v>
      </c>
      <c r="B4203" t="s">
        <v>457</v>
      </c>
      <c r="C4203">
        <v>21.8</v>
      </c>
      <c r="D4203">
        <f t="shared" si="132"/>
        <v>18</v>
      </c>
      <c r="E4203" t="str">
        <f t="shared" si="133"/>
        <v>18. Slovenia</v>
      </c>
    </row>
    <row r="4204" spans="1:5" x14ac:dyDescent="0.25">
      <c r="A4204" t="s">
        <v>34</v>
      </c>
      <c r="B4204" t="s">
        <v>457</v>
      </c>
      <c r="C4204">
        <v>21.7</v>
      </c>
      <c r="D4204">
        <f t="shared" si="132"/>
        <v>19</v>
      </c>
      <c r="E4204" t="str">
        <f t="shared" si="133"/>
        <v>19. Bermuda</v>
      </c>
    </row>
    <row r="4205" spans="1:5" x14ac:dyDescent="0.25">
      <c r="A4205" t="s">
        <v>125</v>
      </c>
      <c r="B4205" t="s">
        <v>457</v>
      </c>
      <c r="C4205">
        <v>21.7</v>
      </c>
      <c r="D4205">
        <f t="shared" si="132"/>
        <v>20</v>
      </c>
      <c r="E4205" t="str">
        <f t="shared" si="133"/>
        <v>20. Latvia</v>
      </c>
    </row>
    <row r="4206" spans="1:5" x14ac:dyDescent="0.25">
      <c r="A4206" t="s">
        <v>69</v>
      </c>
      <c r="B4206" t="s">
        <v>457</v>
      </c>
      <c r="C4206">
        <v>21.3</v>
      </c>
      <c r="D4206">
        <f t="shared" si="132"/>
        <v>21</v>
      </c>
      <c r="E4206" t="str">
        <f t="shared" si="133"/>
        <v>21. Estonia</v>
      </c>
    </row>
    <row r="4207" spans="1:5" x14ac:dyDescent="0.25">
      <c r="A4207" t="s">
        <v>68</v>
      </c>
      <c r="B4207" t="s">
        <v>457</v>
      </c>
      <c r="C4207">
        <v>21.1</v>
      </c>
      <c r="D4207">
        <f t="shared" si="132"/>
        <v>22</v>
      </c>
      <c r="E4207" t="str">
        <f t="shared" si="133"/>
        <v>22. Spain</v>
      </c>
    </row>
    <row r="4208" spans="1:5" x14ac:dyDescent="0.25">
      <c r="A4208" t="s">
        <v>94</v>
      </c>
      <c r="B4208" t="s">
        <v>457</v>
      </c>
      <c r="C4208">
        <v>21</v>
      </c>
      <c r="D4208">
        <f t="shared" si="132"/>
        <v>23</v>
      </c>
      <c r="E4208" t="str">
        <f t="shared" si="133"/>
        <v>23. Hungary</v>
      </c>
    </row>
    <row r="4209" spans="1:5" x14ac:dyDescent="0.25">
      <c r="A4209" t="s">
        <v>63</v>
      </c>
      <c r="B4209" t="s">
        <v>457</v>
      </c>
      <c r="C4209">
        <v>20.9</v>
      </c>
      <c r="D4209">
        <f t="shared" si="132"/>
        <v>24</v>
      </c>
      <c r="E4209" t="str">
        <f t="shared" si="133"/>
        <v>24. Denmark</v>
      </c>
    </row>
    <row r="4210" spans="1:5" x14ac:dyDescent="0.25">
      <c r="A4210" t="s">
        <v>59</v>
      </c>
      <c r="B4210" t="s">
        <v>457</v>
      </c>
      <c r="C4210">
        <v>20.8</v>
      </c>
      <c r="D4210">
        <f t="shared" si="132"/>
        <v>25</v>
      </c>
      <c r="E4210" t="str">
        <f t="shared" si="133"/>
        <v>25. Czechia</v>
      </c>
    </row>
    <row r="4211" spans="1:5" x14ac:dyDescent="0.25">
      <c r="A4211" t="s">
        <v>120</v>
      </c>
      <c r="B4211" t="s">
        <v>457</v>
      </c>
      <c r="C4211">
        <v>20.7</v>
      </c>
      <c r="D4211">
        <f t="shared" si="132"/>
        <v>26</v>
      </c>
      <c r="E4211" t="str">
        <f t="shared" si="133"/>
        <v>26. Liechtenstein</v>
      </c>
    </row>
    <row r="4212" spans="1:5" x14ac:dyDescent="0.25">
      <c r="A4212" t="s">
        <v>188</v>
      </c>
      <c r="B4212" t="s">
        <v>457</v>
      </c>
      <c r="C4212">
        <v>20.7</v>
      </c>
      <c r="D4212">
        <f t="shared" si="132"/>
        <v>27</v>
      </c>
      <c r="E4212" t="str">
        <f t="shared" si="133"/>
        <v>27. Sweden</v>
      </c>
    </row>
    <row r="4213" spans="1:5" x14ac:dyDescent="0.25">
      <c r="A4213" t="s">
        <v>21</v>
      </c>
      <c r="B4213" t="s">
        <v>457</v>
      </c>
      <c r="C4213">
        <v>20.6</v>
      </c>
      <c r="D4213">
        <f t="shared" si="132"/>
        <v>28</v>
      </c>
      <c r="E4213" t="str">
        <f t="shared" si="133"/>
        <v>28. Austria</v>
      </c>
    </row>
    <row r="4214" spans="1:5" x14ac:dyDescent="0.25">
      <c r="A4214" t="s">
        <v>24</v>
      </c>
      <c r="B4214" t="s">
        <v>457</v>
      </c>
      <c r="C4214">
        <v>20.6</v>
      </c>
      <c r="D4214">
        <f t="shared" si="132"/>
        <v>29</v>
      </c>
      <c r="E4214" t="str">
        <f t="shared" si="133"/>
        <v>29. Belgium</v>
      </c>
    </row>
    <row r="4215" spans="1:5" x14ac:dyDescent="0.25">
      <c r="A4215" t="s">
        <v>151</v>
      </c>
      <c r="B4215" t="s">
        <v>457</v>
      </c>
      <c r="C4215">
        <v>20.5</v>
      </c>
      <c r="D4215">
        <f t="shared" si="132"/>
        <v>30</v>
      </c>
      <c r="E4215" t="str">
        <f t="shared" si="133"/>
        <v>30. Netherlands</v>
      </c>
    </row>
    <row r="4216" spans="1:5" x14ac:dyDescent="0.25">
      <c r="A4216" t="s">
        <v>123</v>
      </c>
      <c r="B4216" t="s">
        <v>457</v>
      </c>
      <c r="C4216">
        <v>20.2</v>
      </c>
      <c r="D4216">
        <f t="shared" si="132"/>
        <v>31</v>
      </c>
      <c r="E4216" t="str">
        <f t="shared" si="133"/>
        <v>31. Lithuania</v>
      </c>
    </row>
    <row r="4217" spans="1:5" x14ac:dyDescent="0.25">
      <c r="A4217" t="s">
        <v>136</v>
      </c>
      <c r="B4217" t="s">
        <v>457</v>
      </c>
      <c r="C4217">
        <v>20.2</v>
      </c>
      <c r="D4217">
        <f t="shared" si="132"/>
        <v>32</v>
      </c>
      <c r="E4217" t="str">
        <f t="shared" si="133"/>
        <v>32. Malta</v>
      </c>
    </row>
    <row r="4218" spans="1:5" x14ac:dyDescent="0.25">
      <c r="A4218" t="s">
        <v>163</v>
      </c>
      <c r="B4218" t="s">
        <v>457</v>
      </c>
      <c r="C4218">
        <v>20.100000000000001</v>
      </c>
      <c r="D4218">
        <f t="shared" si="132"/>
        <v>33</v>
      </c>
      <c r="E4218" t="str">
        <f t="shared" si="133"/>
        <v>33. Poland</v>
      </c>
    </row>
    <row r="4219" spans="1:5" x14ac:dyDescent="0.25">
      <c r="A4219" t="s">
        <v>44</v>
      </c>
      <c r="B4219" t="s">
        <v>457</v>
      </c>
      <c r="C4219">
        <v>20</v>
      </c>
      <c r="D4219">
        <f t="shared" si="132"/>
        <v>34</v>
      </c>
      <c r="E4219" t="str">
        <f t="shared" si="133"/>
        <v>34. Channel Islands</v>
      </c>
    </row>
    <row r="4220" spans="1:5" x14ac:dyDescent="0.25">
      <c r="A4220" t="s">
        <v>170</v>
      </c>
      <c r="B4220" t="s">
        <v>457</v>
      </c>
      <c r="C4220">
        <v>20</v>
      </c>
      <c r="D4220">
        <f t="shared" si="132"/>
        <v>35</v>
      </c>
      <c r="E4220" t="str">
        <f t="shared" si="133"/>
        <v>35. Romania</v>
      </c>
    </row>
    <row r="4221" spans="1:5" x14ac:dyDescent="0.25">
      <c r="A4221" t="s">
        <v>43</v>
      </c>
      <c r="B4221" t="s">
        <v>457</v>
      </c>
      <c r="C4221">
        <v>20</v>
      </c>
      <c r="D4221">
        <f t="shared" si="132"/>
        <v>36</v>
      </c>
      <c r="E4221" t="str">
        <f t="shared" si="133"/>
        <v>36. Switzerland</v>
      </c>
    </row>
    <row r="4222" spans="1:5" x14ac:dyDescent="0.25">
      <c r="A4222" t="s">
        <v>42</v>
      </c>
      <c r="B4222" t="s">
        <v>457</v>
      </c>
      <c r="C4222">
        <v>19.8</v>
      </c>
      <c r="D4222">
        <f t="shared" si="132"/>
        <v>37</v>
      </c>
      <c r="E4222" t="str">
        <f t="shared" si="133"/>
        <v>37. Canada</v>
      </c>
    </row>
    <row r="4223" spans="1:5" x14ac:dyDescent="0.25">
      <c r="A4223" t="s">
        <v>77</v>
      </c>
      <c r="B4223" t="s">
        <v>457</v>
      </c>
      <c r="C4223">
        <v>19.5</v>
      </c>
      <c r="D4223">
        <f t="shared" si="132"/>
        <v>38</v>
      </c>
      <c r="E4223" t="str">
        <f t="shared" si="133"/>
        <v>38. United Kingdom</v>
      </c>
    </row>
    <row r="4224" spans="1:5" x14ac:dyDescent="0.25">
      <c r="A4224" t="s">
        <v>113</v>
      </c>
      <c r="B4224" t="s">
        <v>457</v>
      </c>
      <c r="C4224">
        <v>19.3</v>
      </c>
      <c r="D4224">
        <f t="shared" si="132"/>
        <v>39</v>
      </c>
      <c r="E4224" t="str">
        <f t="shared" si="133"/>
        <v>39. Korea, Rep.</v>
      </c>
    </row>
    <row r="4225" spans="1:5" x14ac:dyDescent="0.25">
      <c r="A4225" t="s">
        <v>207</v>
      </c>
      <c r="B4225" t="s">
        <v>457</v>
      </c>
      <c r="C4225">
        <v>19</v>
      </c>
      <c r="D4225">
        <f t="shared" si="132"/>
        <v>40</v>
      </c>
      <c r="E4225" t="str">
        <f t="shared" si="133"/>
        <v>40. Ukraine</v>
      </c>
    </row>
    <row r="4226" spans="1:5" x14ac:dyDescent="0.25">
      <c r="A4226" t="s">
        <v>152</v>
      </c>
      <c r="B4226" t="s">
        <v>457</v>
      </c>
      <c r="C4226">
        <v>18.8</v>
      </c>
      <c r="D4226">
        <f t="shared" si="132"/>
        <v>41</v>
      </c>
      <c r="E4226" t="str">
        <f t="shared" si="133"/>
        <v>41. Norway</v>
      </c>
    </row>
    <row r="4227" spans="1:5" x14ac:dyDescent="0.25">
      <c r="A4227" t="s">
        <v>186</v>
      </c>
      <c r="B4227" t="s">
        <v>457</v>
      </c>
      <c r="C4227">
        <v>18.5</v>
      </c>
      <c r="D4227">
        <f t="shared" si="132"/>
        <v>42</v>
      </c>
      <c r="E4227" t="str">
        <f t="shared" si="133"/>
        <v>42. Slovak Republic</v>
      </c>
    </row>
    <row r="4228" spans="1:5" x14ac:dyDescent="0.25">
      <c r="A4228" t="s">
        <v>221</v>
      </c>
      <c r="B4228" t="s">
        <v>457</v>
      </c>
      <c r="C4228">
        <v>18.399999999999999</v>
      </c>
      <c r="D4228">
        <f t="shared" ref="D4228:D4291" si="134">IF(ROW() = 2, 1, IF(B4228 = B4227, D4227 + 1, 1))</f>
        <v>43</v>
      </c>
      <c r="E4228" t="str">
        <f t="shared" ref="E4228:E4291" si="135">_xlfn.CONCAT(D4228, ". ", A4228)</f>
        <v>43. St. Martin (French part)</v>
      </c>
    </row>
    <row r="4229" spans="1:5" x14ac:dyDescent="0.25">
      <c r="A4229" t="s">
        <v>134</v>
      </c>
      <c r="B4229" t="s">
        <v>457</v>
      </c>
      <c r="C4229">
        <v>18</v>
      </c>
      <c r="D4229">
        <f t="shared" si="134"/>
        <v>44</v>
      </c>
      <c r="E4229" t="str">
        <f t="shared" si="135"/>
        <v>44. North Macedonia</v>
      </c>
    </row>
    <row r="4230" spans="1:5" x14ac:dyDescent="0.25">
      <c r="A4230" t="s">
        <v>209</v>
      </c>
      <c r="B4230" t="s">
        <v>457</v>
      </c>
      <c r="C4230">
        <v>17.899999999999999</v>
      </c>
      <c r="D4230">
        <f t="shared" si="134"/>
        <v>45</v>
      </c>
      <c r="E4230" t="str">
        <f t="shared" si="135"/>
        <v>45. United States</v>
      </c>
    </row>
    <row r="4231" spans="1:5" x14ac:dyDescent="0.25">
      <c r="A4231" t="s">
        <v>138</v>
      </c>
      <c r="B4231" t="s">
        <v>457</v>
      </c>
      <c r="C4231">
        <v>17.8</v>
      </c>
      <c r="D4231">
        <f t="shared" si="134"/>
        <v>46</v>
      </c>
      <c r="E4231" t="str">
        <f t="shared" si="135"/>
        <v>46. Montenegro</v>
      </c>
    </row>
    <row r="4232" spans="1:5" x14ac:dyDescent="0.25">
      <c r="A4232" t="s">
        <v>20</v>
      </c>
      <c r="B4232" t="s">
        <v>457</v>
      </c>
      <c r="C4232">
        <v>17.7</v>
      </c>
      <c r="D4232">
        <f t="shared" si="134"/>
        <v>47</v>
      </c>
      <c r="E4232" t="str">
        <f t="shared" si="135"/>
        <v>47. Australia</v>
      </c>
    </row>
    <row r="4233" spans="1:5" x14ac:dyDescent="0.25">
      <c r="A4233" t="s">
        <v>32</v>
      </c>
      <c r="B4233" t="s">
        <v>457</v>
      </c>
      <c r="C4233">
        <v>17.7</v>
      </c>
      <c r="D4233">
        <f t="shared" si="134"/>
        <v>48</v>
      </c>
      <c r="E4233" t="str">
        <f t="shared" si="135"/>
        <v>48. Belarus</v>
      </c>
    </row>
    <row r="4234" spans="1:5" x14ac:dyDescent="0.25">
      <c r="A4234" t="s">
        <v>74</v>
      </c>
      <c r="B4234" t="s">
        <v>457</v>
      </c>
      <c r="C4234">
        <v>17.7</v>
      </c>
      <c r="D4234">
        <f t="shared" si="134"/>
        <v>49</v>
      </c>
      <c r="E4234" t="str">
        <f t="shared" si="135"/>
        <v>49. Faroe Islands</v>
      </c>
    </row>
    <row r="4235" spans="1:5" x14ac:dyDescent="0.25">
      <c r="A4235" t="s">
        <v>155</v>
      </c>
      <c r="B4235" t="s">
        <v>457</v>
      </c>
      <c r="C4235">
        <v>17.2</v>
      </c>
      <c r="D4235">
        <f t="shared" si="134"/>
        <v>50</v>
      </c>
      <c r="E4235" t="str">
        <f t="shared" si="135"/>
        <v>50. New Zealand</v>
      </c>
    </row>
    <row r="4236" spans="1:5" x14ac:dyDescent="0.25">
      <c r="A4236" t="s">
        <v>171</v>
      </c>
      <c r="B4236" t="s">
        <v>457</v>
      </c>
      <c r="C4236">
        <v>17.2</v>
      </c>
      <c r="D4236">
        <f t="shared" si="134"/>
        <v>51</v>
      </c>
      <c r="E4236" t="str">
        <f t="shared" si="135"/>
        <v>51. Russian Federation</v>
      </c>
    </row>
    <row r="4237" spans="1:5" x14ac:dyDescent="0.25">
      <c r="A4237" t="s">
        <v>10</v>
      </c>
      <c r="B4237" t="s">
        <v>457</v>
      </c>
      <c r="C4237">
        <v>17.100000000000001</v>
      </c>
      <c r="D4237">
        <f t="shared" si="134"/>
        <v>52</v>
      </c>
      <c r="E4237" t="str">
        <f t="shared" si="135"/>
        <v>52. Aruba</v>
      </c>
    </row>
    <row r="4238" spans="1:5" x14ac:dyDescent="0.25">
      <c r="A4238" t="s">
        <v>13</v>
      </c>
      <c r="B4238" t="s">
        <v>457</v>
      </c>
      <c r="C4238">
        <v>16.899999999999999</v>
      </c>
      <c r="D4238">
        <f t="shared" si="134"/>
        <v>53</v>
      </c>
      <c r="E4238" t="str">
        <f t="shared" si="135"/>
        <v>53. Albania</v>
      </c>
    </row>
    <row r="4239" spans="1:5" x14ac:dyDescent="0.25">
      <c r="A4239" t="s">
        <v>56</v>
      </c>
      <c r="B4239" t="s">
        <v>457</v>
      </c>
      <c r="C4239">
        <v>16.8</v>
      </c>
      <c r="D4239">
        <f t="shared" si="134"/>
        <v>54</v>
      </c>
      <c r="E4239" t="str">
        <f t="shared" si="135"/>
        <v>54. Curacao</v>
      </c>
    </row>
    <row r="4240" spans="1:5" x14ac:dyDescent="0.25">
      <c r="A4240" t="s">
        <v>37</v>
      </c>
      <c r="B4240" t="s">
        <v>457</v>
      </c>
      <c r="C4240">
        <v>16.600000000000001</v>
      </c>
      <c r="D4240">
        <f t="shared" si="134"/>
        <v>55</v>
      </c>
      <c r="E4240" t="str">
        <f t="shared" si="135"/>
        <v>55. Barbados</v>
      </c>
    </row>
    <row r="4241" spans="1:5" x14ac:dyDescent="0.25">
      <c r="A4241" t="s">
        <v>55</v>
      </c>
      <c r="B4241" t="s">
        <v>457</v>
      </c>
      <c r="C4241">
        <v>16.600000000000001</v>
      </c>
      <c r="D4241">
        <f t="shared" si="134"/>
        <v>56</v>
      </c>
      <c r="E4241" t="str">
        <f t="shared" si="135"/>
        <v>56. Cuba</v>
      </c>
    </row>
    <row r="4242" spans="1:5" x14ac:dyDescent="0.25">
      <c r="A4242" t="s">
        <v>129</v>
      </c>
      <c r="B4242" t="s">
        <v>457</v>
      </c>
      <c r="C4242">
        <v>16.2</v>
      </c>
      <c r="D4242">
        <f t="shared" si="134"/>
        <v>57</v>
      </c>
      <c r="E4242" t="str">
        <f t="shared" si="135"/>
        <v>57. Moldova</v>
      </c>
    </row>
    <row r="4243" spans="1:5" x14ac:dyDescent="0.25">
      <c r="A4243" t="s">
        <v>208</v>
      </c>
      <c r="B4243" t="s">
        <v>457</v>
      </c>
      <c r="C4243">
        <v>16</v>
      </c>
      <c r="D4243">
        <f t="shared" si="134"/>
        <v>58</v>
      </c>
      <c r="E4243" t="str">
        <f t="shared" si="135"/>
        <v>58. Uruguay</v>
      </c>
    </row>
    <row r="4244" spans="1:5" x14ac:dyDescent="0.25">
      <c r="A4244" t="s">
        <v>14</v>
      </c>
      <c r="B4244" t="s">
        <v>457</v>
      </c>
      <c r="C4244">
        <v>15.9</v>
      </c>
      <c r="D4244">
        <f t="shared" si="134"/>
        <v>59</v>
      </c>
      <c r="E4244" t="str">
        <f t="shared" si="135"/>
        <v>59. Andorra</v>
      </c>
    </row>
    <row r="4245" spans="1:5" x14ac:dyDescent="0.25">
      <c r="A4245" t="s">
        <v>98</v>
      </c>
      <c r="B4245" t="s">
        <v>457</v>
      </c>
      <c r="C4245">
        <v>15.9</v>
      </c>
      <c r="D4245">
        <f t="shared" si="134"/>
        <v>60</v>
      </c>
      <c r="E4245" t="str">
        <f t="shared" si="135"/>
        <v>60. Ireland</v>
      </c>
    </row>
    <row r="4246" spans="1:5" x14ac:dyDescent="0.25">
      <c r="A4246" t="s">
        <v>78</v>
      </c>
      <c r="B4246" t="s">
        <v>457</v>
      </c>
      <c r="C4246">
        <v>15.6</v>
      </c>
      <c r="D4246">
        <f t="shared" si="134"/>
        <v>61</v>
      </c>
      <c r="E4246" t="str">
        <f t="shared" si="135"/>
        <v>61. Georgia</v>
      </c>
    </row>
    <row r="4247" spans="1:5" x14ac:dyDescent="0.25">
      <c r="A4247" t="s">
        <v>101</v>
      </c>
      <c r="B4247" t="s">
        <v>457</v>
      </c>
      <c r="C4247">
        <v>15.6</v>
      </c>
      <c r="D4247">
        <f t="shared" si="134"/>
        <v>62</v>
      </c>
      <c r="E4247" t="str">
        <f t="shared" si="135"/>
        <v>62. Iceland</v>
      </c>
    </row>
    <row r="4248" spans="1:5" x14ac:dyDescent="0.25">
      <c r="A4248" t="s">
        <v>124</v>
      </c>
      <c r="B4248" t="s">
        <v>457</v>
      </c>
      <c r="C4248">
        <v>15.5</v>
      </c>
      <c r="D4248">
        <f t="shared" si="134"/>
        <v>63</v>
      </c>
      <c r="E4248" t="str">
        <f t="shared" si="135"/>
        <v>63. Luxembourg</v>
      </c>
    </row>
    <row r="4249" spans="1:5" x14ac:dyDescent="0.25">
      <c r="A4249" t="s">
        <v>196</v>
      </c>
      <c r="B4249" t="s">
        <v>457</v>
      </c>
      <c r="C4249">
        <v>15.4</v>
      </c>
      <c r="D4249">
        <f t="shared" si="134"/>
        <v>64</v>
      </c>
      <c r="E4249" t="str">
        <f t="shared" si="135"/>
        <v>64. Thailand</v>
      </c>
    </row>
    <row r="4250" spans="1:5" x14ac:dyDescent="0.25">
      <c r="A4250" t="s">
        <v>46</v>
      </c>
      <c r="B4250" t="s">
        <v>457</v>
      </c>
      <c r="C4250">
        <v>14.7</v>
      </c>
      <c r="D4250">
        <f t="shared" si="134"/>
        <v>65</v>
      </c>
      <c r="E4250" t="str">
        <f t="shared" si="135"/>
        <v>65. China</v>
      </c>
    </row>
    <row r="4251" spans="1:5" x14ac:dyDescent="0.25">
      <c r="A4251" t="s">
        <v>58</v>
      </c>
      <c r="B4251" t="s">
        <v>457</v>
      </c>
      <c r="C4251">
        <v>14.6</v>
      </c>
      <c r="D4251">
        <f t="shared" si="134"/>
        <v>66</v>
      </c>
      <c r="E4251" t="str">
        <f t="shared" si="135"/>
        <v>66. Cyprus</v>
      </c>
    </row>
    <row r="4252" spans="1:5" x14ac:dyDescent="0.25">
      <c r="A4252" t="s">
        <v>126</v>
      </c>
      <c r="B4252" t="s">
        <v>457</v>
      </c>
      <c r="C4252">
        <v>14.3</v>
      </c>
      <c r="D4252">
        <f t="shared" si="134"/>
        <v>67</v>
      </c>
      <c r="E4252" t="str">
        <f t="shared" si="135"/>
        <v>67. Macao SAR, China</v>
      </c>
    </row>
    <row r="4253" spans="1:5" x14ac:dyDescent="0.25">
      <c r="A4253" t="s">
        <v>45</v>
      </c>
      <c r="B4253" t="s">
        <v>457</v>
      </c>
      <c r="C4253">
        <v>14.1</v>
      </c>
      <c r="D4253">
        <f t="shared" si="134"/>
        <v>68</v>
      </c>
      <c r="E4253" t="str">
        <f t="shared" si="135"/>
        <v>68. Chile</v>
      </c>
    </row>
    <row r="4254" spans="1:5" x14ac:dyDescent="0.25">
      <c r="A4254" t="s">
        <v>190</v>
      </c>
      <c r="B4254" t="s">
        <v>457</v>
      </c>
      <c r="C4254">
        <v>13.9</v>
      </c>
      <c r="D4254">
        <f t="shared" si="134"/>
        <v>69</v>
      </c>
      <c r="E4254" t="str">
        <f t="shared" si="135"/>
        <v>69. Sint Maarten (Dutch part)</v>
      </c>
    </row>
    <row r="4255" spans="1:5" x14ac:dyDescent="0.25">
      <c r="A4255" t="s">
        <v>17</v>
      </c>
      <c r="B4255" t="s">
        <v>457</v>
      </c>
      <c r="C4255">
        <v>13.7</v>
      </c>
      <c r="D4255">
        <f t="shared" si="134"/>
        <v>70</v>
      </c>
      <c r="E4255" t="str">
        <f t="shared" si="135"/>
        <v>70. Armenia</v>
      </c>
    </row>
    <row r="4256" spans="1:5" x14ac:dyDescent="0.25">
      <c r="A4256" t="s">
        <v>176</v>
      </c>
      <c r="B4256" t="s">
        <v>457</v>
      </c>
      <c r="C4256">
        <v>13.7</v>
      </c>
      <c r="D4256">
        <f t="shared" si="134"/>
        <v>71</v>
      </c>
      <c r="E4256" t="str">
        <f t="shared" si="135"/>
        <v>71. Singapore</v>
      </c>
    </row>
    <row r="4257" spans="1:5" x14ac:dyDescent="0.25">
      <c r="A4257" t="s">
        <v>143</v>
      </c>
      <c r="B4257" t="s">
        <v>457</v>
      </c>
      <c r="C4257">
        <v>13.5</v>
      </c>
      <c r="D4257">
        <f t="shared" si="134"/>
        <v>72</v>
      </c>
      <c r="E4257" t="str">
        <f t="shared" si="135"/>
        <v>72. Mauritius</v>
      </c>
    </row>
    <row r="4258" spans="1:5" x14ac:dyDescent="0.25">
      <c r="A4258" t="s">
        <v>62</v>
      </c>
      <c r="B4258" t="s">
        <v>457</v>
      </c>
      <c r="C4258">
        <v>13</v>
      </c>
      <c r="D4258">
        <f t="shared" si="134"/>
        <v>73</v>
      </c>
      <c r="E4258" t="str">
        <f t="shared" si="135"/>
        <v>73. Dominica</v>
      </c>
    </row>
    <row r="4259" spans="1:5" x14ac:dyDescent="0.25">
      <c r="A4259" t="s">
        <v>88</v>
      </c>
      <c r="B4259" t="s">
        <v>457</v>
      </c>
      <c r="C4259">
        <v>12.6</v>
      </c>
      <c r="D4259">
        <f t="shared" si="134"/>
        <v>74</v>
      </c>
      <c r="E4259" t="str">
        <f t="shared" si="135"/>
        <v>74. Guam</v>
      </c>
    </row>
    <row r="4260" spans="1:5" x14ac:dyDescent="0.25">
      <c r="A4260" t="s">
        <v>102</v>
      </c>
      <c r="B4260" t="s">
        <v>457</v>
      </c>
      <c r="C4260">
        <v>12.6</v>
      </c>
      <c r="D4260">
        <f t="shared" si="134"/>
        <v>75</v>
      </c>
      <c r="E4260" t="str">
        <f t="shared" si="135"/>
        <v>75. Israel</v>
      </c>
    </row>
    <row r="4261" spans="1:5" x14ac:dyDescent="0.25">
      <c r="A4261" t="s">
        <v>16</v>
      </c>
      <c r="B4261" t="s">
        <v>457</v>
      </c>
      <c r="C4261">
        <v>12.4</v>
      </c>
      <c r="D4261">
        <f t="shared" si="134"/>
        <v>76</v>
      </c>
      <c r="E4261" t="str">
        <f t="shared" si="135"/>
        <v>76. Argentina</v>
      </c>
    </row>
    <row r="4262" spans="1:5" x14ac:dyDescent="0.25">
      <c r="A4262" t="s">
        <v>201</v>
      </c>
      <c r="B4262" t="s">
        <v>457</v>
      </c>
      <c r="C4262">
        <v>12.4</v>
      </c>
      <c r="D4262">
        <f t="shared" si="134"/>
        <v>77</v>
      </c>
      <c r="E4262" t="str">
        <f t="shared" si="135"/>
        <v>77. Trinidad and Tobago</v>
      </c>
    </row>
    <row r="4263" spans="1:5" x14ac:dyDescent="0.25">
      <c r="A4263" t="s">
        <v>54</v>
      </c>
      <c r="B4263" t="s">
        <v>457</v>
      </c>
      <c r="C4263">
        <v>12.2</v>
      </c>
      <c r="D4263">
        <f t="shared" si="134"/>
        <v>78</v>
      </c>
      <c r="E4263" t="str">
        <f t="shared" si="135"/>
        <v>78. Costa Rica</v>
      </c>
    </row>
    <row r="4264" spans="1:5" x14ac:dyDescent="0.25">
      <c r="A4264" t="s">
        <v>85</v>
      </c>
      <c r="B4264" t="s">
        <v>457</v>
      </c>
      <c r="C4264">
        <v>12.2</v>
      </c>
      <c r="D4264">
        <f t="shared" si="134"/>
        <v>79</v>
      </c>
      <c r="E4264" t="str">
        <f t="shared" si="135"/>
        <v>79. Grenada</v>
      </c>
    </row>
    <row r="4265" spans="1:5" x14ac:dyDescent="0.25">
      <c r="A4265" t="s">
        <v>121</v>
      </c>
      <c r="B4265" t="s">
        <v>457</v>
      </c>
      <c r="C4265">
        <v>12.1</v>
      </c>
      <c r="D4265">
        <f t="shared" si="134"/>
        <v>80</v>
      </c>
      <c r="E4265" t="str">
        <f t="shared" si="135"/>
        <v>80. Sri Lanka</v>
      </c>
    </row>
    <row r="4266" spans="1:5" x14ac:dyDescent="0.25">
      <c r="A4266" t="s">
        <v>211</v>
      </c>
      <c r="B4266" t="s">
        <v>457</v>
      </c>
      <c r="C4266">
        <v>11.9</v>
      </c>
      <c r="D4266">
        <f t="shared" si="134"/>
        <v>81</v>
      </c>
      <c r="E4266" t="str">
        <f t="shared" si="135"/>
        <v>81. St. Vincent and the Grenadines</v>
      </c>
    </row>
    <row r="4267" spans="1:5" x14ac:dyDescent="0.25">
      <c r="A4267" t="s">
        <v>19</v>
      </c>
      <c r="B4267" t="s">
        <v>457</v>
      </c>
      <c r="C4267">
        <v>11.8</v>
      </c>
      <c r="D4267">
        <f t="shared" si="134"/>
        <v>82</v>
      </c>
      <c r="E4267" t="str">
        <f t="shared" si="135"/>
        <v>82. Antigua and Barbuda</v>
      </c>
    </row>
    <row r="4268" spans="1:5" x14ac:dyDescent="0.25">
      <c r="A4268" t="s">
        <v>30</v>
      </c>
      <c r="B4268" t="s">
        <v>457</v>
      </c>
      <c r="C4268">
        <v>11.8</v>
      </c>
      <c r="D4268">
        <f t="shared" si="134"/>
        <v>83</v>
      </c>
      <c r="E4268" t="str">
        <f t="shared" si="135"/>
        <v>83. Bahamas, The</v>
      </c>
    </row>
    <row r="4269" spans="1:5" x14ac:dyDescent="0.25">
      <c r="A4269" t="s">
        <v>147</v>
      </c>
      <c r="B4269" t="s">
        <v>457</v>
      </c>
      <c r="C4269">
        <v>11.4</v>
      </c>
      <c r="D4269">
        <f t="shared" si="134"/>
        <v>84</v>
      </c>
      <c r="E4269" t="str">
        <f t="shared" si="135"/>
        <v>84. New Caledonia</v>
      </c>
    </row>
    <row r="4270" spans="1:5" x14ac:dyDescent="0.25">
      <c r="A4270" t="s">
        <v>168</v>
      </c>
      <c r="B4270" t="s">
        <v>457</v>
      </c>
      <c r="C4270">
        <v>11.3</v>
      </c>
      <c r="D4270">
        <f t="shared" si="134"/>
        <v>85</v>
      </c>
      <c r="E4270" t="str">
        <f t="shared" si="135"/>
        <v>85. French Polynesia</v>
      </c>
    </row>
    <row r="4271" spans="1:5" x14ac:dyDescent="0.25">
      <c r="A4271" t="s">
        <v>161</v>
      </c>
      <c r="B4271" t="s">
        <v>457</v>
      </c>
      <c r="C4271">
        <v>11.3</v>
      </c>
      <c r="D4271">
        <f t="shared" si="134"/>
        <v>86</v>
      </c>
      <c r="E4271" t="str">
        <f t="shared" si="135"/>
        <v>86. Palau</v>
      </c>
    </row>
    <row r="4272" spans="1:5" x14ac:dyDescent="0.25">
      <c r="A4272" t="s">
        <v>193</v>
      </c>
      <c r="B4272" t="s">
        <v>457</v>
      </c>
      <c r="C4272">
        <v>11.3</v>
      </c>
      <c r="D4272">
        <f t="shared" si="134"/>
        <v>87</v>
      </c>
      <c r="E4272" t="str">
        <f t="shared" si="135"/>
        <v>87. Turks and Caicos Islands</v>
      </c>
    </row>
    <row r="4273" spans="1:5" x14ac:dyDescent="0.25">
      <c r="A4273" t="s">
        <v>112</v>
      </c>
      <c r="B4273" t="s">
        <v>457</v>
      </c>
      <c r="C4273">
        <v>11.2</v>
      </c>
      <c r="D4273">
        <f t="shared" si="134"/>
        <v>88</v>
      </c>
      <c r="E4273" t="str">
        <f t="shared" si="135"/>
        <v>88. St. Kitts and Nevis</v>
      </c>
    </row>
    <row r="4274" spans="1:5" x14ac:dyDescent="0.25">
      <c r="A4274" t="s">
        <v>36</v>
      </c>
      <c r="B4274" t="s">
        <v>457</v>
      </c>
      <c r="C4274">
        <v>11</v>
      </c>
      <c r="D4274">
        <f t="shared" si="134"/>
        <v>89</v>
      </c>
      <c r="E4274" t="str">
        <f t="shared" si="135"/>
        <v>89. Brazil</v>
      </c>
    </row>
    <row r="4275" spans="1:5" x14ac:dyDescent="0.25">
      <c r="A4275" t="s">
        <v>86</v>
      </c>
      <c r="B4275" t="s">
        <v>457</v>
      </c>
      <c r="C4275">
        <v>10.8</v>
      </c>
      <c r="D4275">
        <f t="shared" si="134"/>
        <v>90</v>
      </c>
      <c r="E4275" t="str">
        <f t="shared" si="135"/>
        <v>90. Greenland</v>
      </c>
    </row>
    <row r="4276" spans="1:5" x14ac:dyDescent="0.25">
      <c r="A4276" t="s">
        <v>203</v>
      </c>
      <c r="B4276" t="s">
        <v>457</v>
      </c>
      <c r="C4276">
        <v>10.3</v>
      </c>
      <c r="D4276">
        <f t="shared" si="134"/>
        <v>91</v>
      </c>
      <c r="E4276" t="str">
        <f t="shared" si="135"/>
        <v>91. Turkiye</v>
      </c>
    </row>
    <row r="4277" spans="1:5" x14ac:dyDescent="0.25">
      <c r="A4277" t="s">
        <v>216</v>
      </c>
      <c r="B4277" t="s">
        <v>457</v>
      </c>
      <c r="C4277">
        <v>10.1</v>
      </c>
      <c r="D4277">
        <f t="shared" si="134"/>
        <v>92</v>
      </c>
      <c r="E4277" t="str">
        <f t="shared" si="135"/>
        <v>92. Kosovo</v>
      </c>
    </row>
    <row r="4278" spans="1:5" x14ac:dyDescent="0.25">
      <c r="A4278" t="s">
        <v>116</v>
      </c>
      <c r="B4278" t="s">
        <v>457</v>
      </c>
      <c r="C4278">
        <v>10.1</v>
      </c>
      <c r="D4278">
        <f t="shared" si="134"/>
        <v>93</v>
      </c>
      <c r="E4278" t="str">
        <f t="shared" si="135"/>
        <v>93. Lebanon</v>
      </c>
    </row>
    <row r="4279" spans="1:5" x14ac:dyDescent="0.25">
      <c r="A4279" t="s">
        <v>51</v>
      </c>
      <c r="B4279" t="s">
        <v>457</v>
      </c>
      <c r="C4279">
        <v>9.8000000000000007</v>
      </c>
      <c r="D4279">
        <f t="shared" si="134"/>
        <v>94</v>
      </c>
      <c r="E4279" t="str">
        <f t="shared" si="135"/>
        <v>94. Colombia</v>
      </c>
    </row>
    <row r="4280" spans="1:5" x14ac:dyDescent="0.25">
      <c r="A4280" t="s">
        <v>140</v>
      </c>
      <c r="B4280" t="s">
        <v>457</v>
      </c>
      <c r="C4280">
        <v>9.8000000000000007</v>
      </c>
      <c r="D4280">
        <f t="shared" si="134"/>
        <v>95</v>
      </c>
      <c r="E4280" t="str">
        <f t="shared" si="135"/>
        <v>95. Northern Mariana Islands</v>
      </c>
    </row>
    <row r="4281" spans="1:5" x14ac:dyDescent="0.25">
      <c r="A4281" t="s">
        <v>223</v>
      </c>
      <c r="B4281" t="s">
        <v>457</v>
      </c>
      <c r="C4281">
        <v>9.6999999999999993</v>
      </c>
      <c r="D4281">
        <f t="shared" si="134"/>
        <v>96</v>
      </c>
      <c r="E4281" t="str">
        <f t="shared" si="135"/>
        <v>96. Venezuela, RB</v>
      </c>
    </row>
    <row r="4282" spans="1:5" x14ac:dyDescent="0.25">
      <c r="A4282" t="s">
        <v>119</v>
      </c>
      <c r="B4282" t="s">
        <v>457</v>
      </c>
      <c r="C4282">
        <v>9.6</v>
      </c>
      <c r="D4282">
        <f t="shared" si="134"/>
        <v>97</v>
      </c>
      <c r="E4282" t="str">
        <f t="shared" si="135"/>
        <v>97. St. Lucia</v>
      </c>
    </row>
    <row r="4283" spans="1:5" x14ac:dyDescent="0.25">
      <c r="A4283" t="s">
        <v>202</v>
      </c>
      <c r="B4283" t="s">
        <v>457</v>
      </c>
      <c r="C4283">
        <v>9.5</v>
      </c>
      <c r="D4283">
        <f t="shared" si="134"/>
        <v>98</v>
      </c>
      <c r="E4283" t="str">
        <f t="shared" si="135"/>
        <v>98. Tunisia</v>
      </c>
    </row>
    <row r="4284" spans="1:5" x14ac:dyDescent="0.25">
      <c r="A4284" t="s">
        <v>158</v>
      </c>
      <c r="B4284" t="s">
        <v>457</v>
      </c>
      <c r="C4284">
        <v>9.4</v>
      </c>
      <c r="D4284">
        <f t="shared" si="134"/>
        <v>99</v>
      </c>
      <c r="E4284" t="str">
        <f t="shared" si="135"/>
        <v>99. Panama</v>
      </c>
    </row>
    <row r="4285" spans="1:5" x14ac:dyDescent="0.25">
      <c r="A4285" t="s">
        <v>159</v>
      </c>
      <c r="B4285" t="s">
        <v>457</v>
      </c>
      <c r="C4285">
        <v>9.1999999999999993</v>
      </c>
      <c r="D4285">
        <f t="shared" si="134"/>
        <v>100</v>
      </c>
      <c r="E4285" t="str">
        <f t="shared" si="135"/>
        <v>100. Peru</v>
      </c>
    </row>
    <row r="4286" spans="1:5" x14ac:dyDescent="0.25">
      <c r="A4286" t="s">
        <v>57</v>
      </c>
      <c r="B4286" t="s">
        <v>457</v>
      </c>
      <c r="C4286">
        <v>9</v>
      </c>
      <c r="D4286">
        <f t="shared" si="134"/>
        <v>101</v>
      </c>
      <c r="E4286" t="str">
        <f t="shared" si="135"/>
        <v>101. Cayman Islands</v>
      </c>
    </row>
    <row r="4287" spans="1:5" x14ac:dyDescent="0.25">
      <c r="A4287" t="s">
        <v>213</v>
      </c>
      <c r="B4287" t="s">
        <v>457</v>
      </c>
      <c r="C4287">
        <v>9</v>
      </c>
      <c r="D4287">
        <f t="shared" si="134"/>
        <v>102</v>
      </c>
      <c r="E4287" t="str">
        <f t="shared" si="135"/>
        <v>102. Viet Nam</v>
      </c>
    </row>
    <row r="4288" spans="1:5" x14ac:dyDescent="0.25">
      <c r="A4288" t="s">
        <v>107</v>
      </c>
      <c r="B4288" t="s">
        <v>457</v>
      </c>
      <c r="C4288">
        <v>8.6999999999999993</v>
      </c>
      <c r="D4288">
        <f t="shared" si="134"/>
        <v>103</v>
      </c>
      <c r="E4288" t="str">
        <f t="shared" si="135"/>
        <v>103. Kazakhstan</v>
      </c>
    </row>
    <row r="4289" spans="1:5" x14ac:dyDescent="0.25">
      <c r="A4289" t="s">
        <v>22</v>
      </c>
      <c r="B4289" t="s">
        <v>457</v>
      </c>
      <c r="C4289">
        <v>8.6</v>
      </c>
      <c r="D4289">
        <f t="shared" si="134"/>
        <v>104</v>
      </c>
      <c r="E4289" t="str">
        <f t="shared" si="135"/>
        <v>104. Azerbaijan</v>
      </c>
    </row>
    <row r="4290" spans="1:5" x14ac:dyDescent="0.25">
      <c r="A4290" t="s">
        <v>191</v>
      </c>
      <c r="B4290" t="s">
        <v>457</v>
      </c>
      <c r="C4290">
        <v>8.5</v>
      </c>
      <c r="D4290">
        <f t="shared" si="134"/>
        <v>105</v>
      </c>
      <c r="E4290" t="str">
        <f t="shared" si="135"/>
        <v>105. Seychelles</v>
      </c>
    </row>
    <row r="4291" spans="1:5" x14ac:dyDescent="0.25">
      <c r="A4291" t="s">
        <v>66</v>
      </c>
      <c r="B4291" t="s">
        <v>457</v>
      </c>
      <c r="C4291">
        <v>8.3000000000000007</v>
      </c>
      <c r="D4291">
        <f t="shared" si="134"/>
        <v>106</v>
      </c>
      <c r="E4291" t="str">
        <f t="shared" si="135"/>
        <v>106. Ecuador</v>
      </c>
    </row>
    <row r="4292" spans="1:5" x14ac:dyDescent="0.25">
      <c r="A4292" t="s">
        <v>99</v>
      </c>
      <c r="B4292" t="s">
        <v>457</v>
      </c>
      <c r="C4292">
        <v>8.1999999999999993</v>
      </c>
      <c r="D4292">
        <f t="shared" ref="D4292:D4355" si="136">IF(ROW() = 2, 1, IF(B4292 = B4291, D4291 + 1, 1))</f>
        <v>107</v>
      </c>
      <c r="E4292" t="str">
        <f t="shared" ref="E4292:E4355" si="137">_xlfn.CONCAT(D4292, ". ", A4292)</f>
        <v>107. Iran, Islamic Rep.</v>
      </c>
    </row>
    <row r="4293" spans="1:5" x14ac:dyDescent="0.25">
      <c r="A4293" t="s">
        <v>104</v>
      </c>
      <c r="B4293" t="s">
        <v>457</v>
      </c>
      <c r="C4293">
        <v>8.1999999999999993</v>
      </c>
      <c r="D4293">
        <f t="shared" si="136"/>
        <v>108</v>
      </c>
      <c r="E4293" t="str">
        <f t="shared" si="137"/>
        <v>108. Jamaica</v>
      </c>
    </row>
    <row r="4294" spans="1:5" x14ac:dyDescent="0.25">
      <c r="A4294" t="s">
        <v>132</v>
      </c>
      <c r="B4294" t="s">
        <v>457</v>
      </c>
      <c r="C4294">
        <v>8.1999999999999993</v>
      </c>
      <c r="D4294">
        <f t="shared" si="136"/>
        <v>109</v>
      </c>
      <c r="E4294" t="str">
        <f t="shared" si="137"/>
        <v>109. Mexico</v>
      </c>
    </row>
    <row r="4295" spans="1:5" x14ac:dyDescent="0.25">
      <c r="A4295" t="s">
        <v>179</v>
      </c>
      <c r="B4295" t="s">
        <v>457</v>
      </c>
      <c r="C4295">
        <v>8.1</v>
      </c>
      <c r="D4295">
        <f t="shared" si="136"/>
        <v>110</v>
      </c>
      <c r="E4295" t="str">
        <f t="shared" si="137"/>
        <v>110. El Salvador</v>
      </c>
    </row>
    <row r="4296" spans="1:5" x14ac:dyDescent="0.25">
      <c r="A4296" t="s">
        <v>127</v>
      </c>
      <c r="B4296" t="s">
        <v>457</v>
      </c>
      <c r="C4296">
        <v>8.1</v>
      </c>
      <c r="D4296">
        <f t="shared" si="136"/>
        <v>111</v>
      </c>
      <c r="E4296" t="str">
        <f t="shared" si="137"/>
        <v>111. Morocco</v>
      </c>
    </row>
    <row r="4297" spans="1:5" x14ac:dyDescent="0.25">
      <c r="A4297" t="s">
        <v>18</v>
      </c>
      <c r="B4297" t="s">
        <v>457</v>
      </c>
      <c r="C4297">
        <v>8</v>
      </c>
      <c r="D4297">
        <f t="shared" si="136"/>
        <v>112</v>
      </c>
      <c r="E4297" t="str">
        <f t="shared" si="137"/>
        <v>112. American Samoa</v>
      </c>
    </row>
    <row r="4298" spans="1:5" x14ac:dyDescent="0.25">
      <c r="A4298" t="s">
        <v>64</v>
      </c>
      <c r="B4298" t="s">
        <v>457</v>
      </c>
      <c r="C4298">
        <v>7.9</v>
      </c>
      <c r="D4298">
        <f t="shared" si="136"/>
        <v>113</v>
      </c>
      <c r="E4298" t="str">
        <f t="shared" si="137"/>
        <v>113. Dominican Republic</v>
      </c>
    </row>
    <row r="4299" spans="1:5" x14ac:dyDescent="0.25">
      <c r="A4299" t="s">
        <v>185</v>
      </c>
      <c r="B4299" t="s">
        <v>457</v>
      </c>
      <c r="C4299">
        <v>7.9</v>
      </c>
      <c r="D4299">
        <f t="shared" si="136"/>
        <v>114</v>
      </c>
      <c r="E4299" t="str">
        <f t="shared" si="137"/>
        <v>114. Suriname</v>
      </c>
    </row>
    <row r="4300" spans="1:5" x14ac:dyDescent="0.25">
      <c r="A4300" t="s">
        <v>145</v>
      </c>
      <c r="B4300" t="s">
        <v>457</v>
      </c>
      <c r="C4300">
        <v>7.7</v>
      </c>
      <c r="D4300">
        <f t="shared" si="136"/>
        <v>115</v>
      </c>
      <c r="E4300" t="str">
        <f t="shared" si="137"/>
        <v>115. Malaysia</v>
      </c>
    </row>
    <row r="4301" spans="1:5" x14ac:dyDescent="0.25">
      <c r="A4301" t="s">
        <v>95</v>
      </c>
      <c r="B4301" t="s">
        <v>457</v>
      </c>
      <c r="C4301">
        <v>7.3</v>
      </c>
      <c r="D4301">
        <f t="shared" si="136"/>
        <v>116</v>
      </c>
      <c r="E4301" t="str">
        <f t="shared" si="137"/>
        <v>116. Indonesia</v>
      </c>
    </row>
    <row r="4302" spans="1:5" x14ac:dyDescent="0.25">
      <c r="A4302" t="s">
        <v>137</v>
      </c>
      <c r="B4302" t="s">
        <v>457</v>
      </c>
      <c r="C4302">
        <v>7.3</v>
      </c>
      <c r="D4302">
        <f t="shared" si="136"/>
        <v>117</v>
      </c>
      <c r="E4302" t="str">
        <f t="shared" si="137"/>
        <v>117. Myanmar</v>
      </c>
    </row>
    <row r="4303" spans="1:5" x14ac:dyDescent="0.25">
      <c r="A4303" t="s">
        <v>97</v>
      </c>
      <c r="B4303" t="s">
        <v>457</v>
      </c>
      <c r="C4303">
        <v>7.1</v>
      </c>
      <c r="D4303">
        <f t="shared" si="136"/>
        <v>118</v>
      </c>
      <c r="E4303" t="str">
        <f t="shared" si="137"/>
        <v>118. India</v>
      </c>
    </row>
    <row r="4304" spans="1:5" x14ac:dyDescent="0.25">
      <c r="A4304" t="s">
        <v>38</v>
      </c>
      <c r="B4304" t="s">
        <v>457</v>
      </c>
      <c r="C4304">
        <v>6.9</v>
      </c>
      <c r="D4304">
        <f t="shared" si="136"/>
        <v>119</v>
      </c>
      <c r="E4304" t="str">
        <f t="shared" si="137"/>
        <v>119. Brunei Darussalam</v>
      </c>
    </row>
    <row r="4305" spans="1:5" x14ac:dyDescent="0.25">
      <c r="A4305" t="s">
        <v>53</v>
      </c>
      <c r="B4305" t="s">
        <v>457</v>
      </c>
      <c r="C4305">
        <v>6.9</v>
      </c>
      <c r="D4305">
        <f t="shared" si="136"/>
        <v>120</v>
      </c>
      <c r="E4305" t="str">
        <f t="shared" si="137"/>
        <v>120. Cabo Verde</v>
      </c>
    </row>
    <row r="4306" spans="1:5" x14ac:dyDescent="0.25">
      <c r="A4306" t="s">
        <v>89</v>
      </c>
      <c r="B4306" t="s">
        <v>457</v>
      </c>
      <c r="C4306">
        <v>6.7</v>
      </c>
      <c r="D4306">
        <f t="shared" si="136"/>
        <v>121</v>
      </c>
      <c r="E4306" t="str">
        <f t="shared" si="137"/>
        <v>121. Guyana</v>
      </c>
    </row>
    <row r="4307" spans="1:5" x14ac:dyDescent="0.25">
      <c r="A4307" t="s">
        <v>218</v>
      </c>
      <c r="B4307" t="s">
        <v>457</v>
      </c>
      <c r="C4307">
        <v>6.7</v>
      </c>
      <c r="D4307">
        <f t="shared" si="136"/>
        <v>122</v>
      </c>
      <c r="E4307" t="str">
        <f t="shared" si="137"/>
        <v>122. South Africa</v>
      </c>
    </row>
    <row r="4308" spans="1:5" x14ac:dyDescent="0.25">
      <c r="A4308" t="s">
        <v>200</v>
      </c>
      <c r="B4308" t="s">
        <v>457</v>
      </c>
      <c r="C4308">
        <v>6.7</v>
      </c>
      <c r="D4308">
        <f t="shared" si="136"/>
        <v>123</v>
      </c>
      <c r="E4308" t="str">
        <f t="shared" si="137"/>
        <v>123. Tonga</v>
      </c>
    </row>
    <row r="4309" spans="1:5" x14ac:dyDescent="0.25">
      <c r="A4309" t="s">
        <v>204</v>
      </c>
      <c r="B4309" t="s">
        <v>457</v>
      </c>
      <c r="C4309">
        <v>6.7</v>
      </c>
      <c r="D4309">
        <f t="shared" si="136"/>
        <v>124</v>
      </c>
      <c r="E4309" t="str">
        <f t="shared" si="137"/>
        <v>124. Tuvalu</v>
      </c>
    </row>
    <row r="4310" spans="1:5" x14ac:dyDescent="0.25">
      <c r="A4310" t="s">
        <v>65</v>
      </c>
      <c r="B4310" t="s">
        <v>457</v>
      </c>
      <c r="C4310">
        <v>6.6</v>
      </c>
      <c r="D4310">
        <f t="shared" si="136"/>
        <v>125</v>
      </c>
      <c r="E4310" t="str">
        <f t="shared" si="137"/>
        <v>125. Algeria</v>
      </c>
    </row>
    <row r="4311" spans="1:5" x14ac:dyDescent="0.25">
      <c r="A4311" t="s">
        <v>27</v>
      </c>
      <c r="B4311" t="s">
        <v>457</v>
      </c>
      <c r="C4311">
        <v>6.5</v>
      </c>
      <c r="D4311">
        <f t="shared" si="136"/>
        <v>126</v>
      </c>
      <c r="E4311" t="str">
        <f t="shared" si="137"/>
        <v>126. Bangladesh</v>
      </c>
    </row>
    <row r="4312" spans="1:5" x14ac:dyDescent="0.25">
      <c r="A4312" t="s">
        <v>39</v>
      </c>
      <c r="B4312" t="s">
        <v>457</v>
      </c>
      <c r="C4312">
        <v>6.5</v>
      </c>
      <c r="D4312">
        <f t="shared" si="136"/>
        <v>127</v>
      </c>
      <c r="E4312" t="str">
        <f t="shared" si="137"/>
        <v>127. Bhutan</v>
      </c>
    </row>
    <row r="4313" spans="1:5" x14ac:dyDescent="0.25">
      <c r="A4313" t="s">
        <v>72</v>
      </c>
      <c r="B4313" t="s">
        <v>457</v>
      </c>
      <c r="C4313">
        <v>6.5</v>
      </c>
      <c r="D4313">
        <f t="shared" si="136"/>
        <v>128</v>
      </c>
      <c r="E4313" t="str">
        <f t="shared" si="137"/>
        <v>128. Fiji</v>
      </c>
    </row>
    <row r="4314" spans="1:5" x14ac:dyDescent="0.25">
      <c r="A4314" t="s">
        <v>153</v>
      </c>
      <c r="B4314" t="s">
        <v>457</v>
      </c>
      <c r="C4314">
        <v>6.5</v>
      </c>
      <c r="D4314">
        <f t="shared" si="136"/>
        <v>129</v>
      </c>
      <c r="E4314" t="str">
        <f t="shared" si="137"/>
        <v>129. Nepal</v>
      </c>
    </row>
    <row r="4315" spans="1:5" x14ac:dyDescent="0.25">
      <c r="A4315" t="s">
        <v>166</v>
      </c>
      <c r="B4315" t="s">
        <v>457</v>
      </c>
      <c r="C4315">
        <v>6.5</v>
      </c>
      <c r="D4315">
        <f t="shared" si="136"/>
        <v>130</v>
      </c>
      <c r="E4315" t="str">
        <f t="shared" si="137"/>
        <v>130. Paraguay</v>
      </c>
    </row>
    <row r="4316" spans="1:5" x14ac:dyDescent="0.25">
      <c r="A4316" t="s">
        <v>110</v>
      </c>
      <c r="B4316" t="s">
        <v>457</v>
      </c>
      <c r="C4316">
        <v>6.2</v>
      </c>
      <c r="D4316">
        <f t="shared" si="136"/>
        <v>131</v>
      </c>
      <c r="E4316" t="str">
        <f t="shared" si="137"/>
        <v>131. Cambodia</v>
      </c>
    </row>
    <row r="4317" spans="1:5" x14ac:dyDescent="0.25">
      <c r="A4317" t="s">
        <v>75</v>
      </c>
      <c r="B4317" t="s">
        <v>457</v>
      </c>
      <c r="C4317">
        <v>5.9</v>
      </c>
      <c r="D4317">
        <f t="shared" si="136"/>
        <v>132</v>
      </c>
      <c r="E4317" t="str">
        <f t="shared" si="137"/>
        <v>132. Micronesia, Fed. Sts.</v>
      </c>
    </row>
    <row r="4318" spans="1:5" x14ac:dyDescent="0.25">
      <c r="A4318" t="s">
        <v>215</v>
      </c>
      <c r="B4318" t="s">
        <v>457</v>
      </c>
      <c r="C4318">
        <v>5.9</v>
      </c>
      <c r="D4318">
        <f t="shared" si="136"/>
        <v>133</v>
      </c>
      <c r="E4318" t="str">
        <f t="shared" si="137"/>
        <v>133. Samoa</v>
      </c>
    </row>
    <row r="4319" spans="1:5" x14ac:dyDescent="0.25">
      <c r="A4319" t="s">
        <v>210</v>
      </c>
      <c r="B4319" t="s">
        <v>457</v>
      </c>
      <c r="C4319">
        <v>5.9</v>
      </c>
      <c r="D4319">
        <f t="shared" si="136"/>
        <v>134</v>
      </c>
      <c r="E4319" t="str">
        <f t="shared" si="137"/>
        <v>134. Uzbekistan</v>
      </c>
    </row>
    <row r="4320" spans="1:5" x14ac:dyDescent="0.25">
      <c r="A4320" t="s">
        <v>109</v>
      </c>
      <c r="B4320" t="s">
        <v>457</v>
      </c>
      <c r="C4320">
        <v>5.7</v>
      </c>
      <c r="D4320">
        <f t="shared" si="136"/>
        <v>135</v>
      </c>
      <c r="E4320" t="str">
        <f t="shared" si="137"/>
        <v>135. Kyrgyz Republic</v>
      </c>
    </row>
    <row r="4321" spans="1:5" x14ac:dyDescent="0.25">
      <c r="A4321" t="s">
        <v>35</v>
      </c>
      <c r="B4321" t="s">
        <v>457</v>
      </c>
      <c r="C4321">
        <v>5.6</v>
      </c>
      <c r="D4321">
        <f t="shared" si="136"/>
        <v>136</v>
      </c>
      <c r="E4321" t="str">
        <f t="shared" si="137"/>
        <v>136. Bolivia</v>
      </c>
    </row>
    <row r="4322" spans="1:5" x14ac:dyDescent="0.25">
      <c r="A4322" t="s">
        <v>150</v>
      </c>
      <c r="B4322" t="s">
        <v>457</v>
      </c>
      <c r="C4322">
        <v>5.5</v>
      </c>
      <c r="D4322">
        <f t="shared" si="136"/>
        <v>137</v>
      </c>
      <c r="E4322" t="str">
        <f t="shared" si="137"/>
        <v>137. Nicaragua</v>
      </c>
    </row>
    <row r="4323" spans="1:5" x14ac:dyDescent="0.25">
      <c r="A4323" t="s">
        <v>160</v>
      </c>
      <c r="B4323" t="s">
        <v>457</v>
      </c>
      <c r="C4323">
        <v>5.5</v>
      </c>
      <c r="D4323">
        <f t="shared" si="136"/>
        <v>138</v>
      </c>
      <c r="E4323" t="str">
        <f t="shared" si="137"/>
        <v>138. Philippines</v>
      </c>
    </row>
    <row r="4324" spans="1:5" x14ac:dyDescent="0.25">
      <c r="A4324" t="s">
        <v>199</v>
      </c>
      <c r="B4324" t="s">
        <v>457</v>
      </c>
      <c r="C4324">
        <v>5.3</v>
      </c>
      <c r="D4324">
        <f t="shared" si="136"/>
        <v>139</v>
      </c>
      <c r="E4324" t="str">
        <f t="shared" si="137"/>
        <v>139. Timor-Leste</v>
      </c>
    </row>
    <row r="4325" spans="1:5" x14ac:dyDescent="0.25">
      <c r="A4325" t="s">
        <v>67</v>
      </c>
      <c r="B4325" t="s">
        <v>457</v>
      </c>
      <c r="C4325">
        <v>5.0999999999999996</v>
      </c>
      <c r="D4325">
        <f t="shared" si="136"/>
        <v>140</v>
      </c>
      <c r="E4325" t="str">
        <f t="shared" si="137"/>
        <v>140. Egypt, Arab Rep.</v>
      </c>
    </row>
    <row r="4326" spans="1:5" x14ac:dyDescent="0.25">
      <c r="A4326" t="s">
        <v>139</v>
      </c>
      <c r="B4326" t="s">
        <v>457</v>
      </c>
      <c r="C4326">
        <v>5.0999999999999996</v>
      </c>
      <c r="D4326">
        <f t="shared" si="136"/>
        <v>141</v>
      </c>
      <c r="E4326" t="str">
        <f t="shared" si="137"/>
        <v>141. Mongolia</v>
      </c>
    </row>
    <row r="4327" spans="1:5" x14ac:dyDescent="0.25">
      <c r="A4327" t="s">
        <v>33</v>
      </c>
      <c r="B4327" t="s">
        <v>457</v>
      </c>
      <c r="C4327">
        <v>5</v>
      </c>
      <c r="D4327">
        <f t="shared" si="136"/>
        <v>142</v>
      </c>
      <c r="E4327" t="str">
        <f t="shared" si="137"/>
        <v>142. Belize</v>
      </c>
    </row>
    <row r="4328" spans="1:5" x14ac:dyDescent="0.25">
      <c r="A4328" t="s">
        <v>118</v>
      </c>
      <c r="B4328" t="s">
        <v>457</v>
      </c>
      <c r="C4328">
        <v>5</v>
      </c>
      <c r="D4328">
        <f t="shared" si="136"/>
        <v>143</v>
      </c>
      <c r="E4328" t="str">
        <f t="shared" si="137"/>
        <v>143. Libya</v>
      </c>
    </row>
    <row r="4329" spans="1:5" x14ac:dyDescent="0.25">
      <c r="A4329" t="s">
        <v>61</v>
      </c>
      <c r="B4329" t="s">
        <v>457</v>
      </c>
      <c r="C4329">
        <v>4.9000000000000004</v>
      </c>
      <c r="D4329">
        <f t="shared" si="136"/>
        <v>144</v>
      </c>
      <c r="E4329" t="str">
        <f t="shared" si="137"/>
        <v>144. Djibouti</v>
      </c>
    </row>
    <row r="4330" spans="1:5" x14ac:dyDescent="0.25">
      <c r="A4330" t="s">
        <v>87</v>
      </c>
      <c r="B4330" t="s">
        <v>457</v>
      </c>
      <c r="C4330">
        <v>4.8</v>
      </c>
      <c r="D4330">
        <f t="shared" si="136"/>
        <v>145</v>
      </c>
      <c r="E4330" t="str">
        <f t="shared" si="137"/>
        <v>145. Guatemala</v>
      </c>
    </row>
    <row r="4331" spans="1:5" x14ac:dyDescent="0.25">
      <c r="A4331" t="s">
        <v>93</v>
      </c>
      <c r="B4331" t="s">
        <v>457</v>
      </c>
      <c r="C4331">
        <v>4.7</v>
      </c>
      <c r="D4331">
        <f t="shared" si="136"/>
        <v>146</v>
      </c>
      <c r="E4331" t="str">
        <f t="shared" si="137"/>
        <v>146. Haiti</v>
      </c>
    </row>
    <row r="4332" spans="1:5" x14ac:dyDescent="0.25">
      <c r="A4332" t="s">
        <v>115</v>
      </c>
      <c r="B4332" t="s">
        <v>457</v>
      </c>
      <c r="C4332">
        <v>4.7</v>
      </c>
      <c r="D4332">
        <f t="shared" si="136"/>
        <v>147</v>
      </c>
      <c r="E4332" t="str">
        <f t="shared" si="137"/>
        <v>147. Lao PDR</v>
      </c>
    </row>
    <row r="4333" spans="1:5" x14ac:dyDescent="0.25">
      <c r="A4333" t="s">
        <v>192</v>
      </c>
      <c r="B4333" t="s">
        <v>457</v>
      </c>
      <c r="C4333">
        <v>4.7</v>
      </c>
      <c r="D4333">
        <f t="shared" si="136"/>
        <v>148</v>
      </c>
      <c r="E4333" t="str">
        <f t="shared" si="137"/>
        <v>148. Syrian Arab Republic</v>
      </c>
    </row>
    <row r="4334" spans="1:5" x14ac:dyDescent="0.25">
      <c r="A4334" t="s">
        <v>131</v>
      </c>
      <c r="B4334" t="s">
        <v>457</v>
      </c>
      <c r="C4334">
        <v>4.5999999999999996</v>
      </c>
      <c r="D4334">
        <f t="shared" si="136"/>
        <v>149</v>
      </c>
      <c r="E4334" t="str">
        <f t="shared" si="137"/>
        <v>149. Maldives</v>
      </c>
    </row>
    <row r="4335" spans="1:5" x14ac:dyDescent="0.25">
      <c r="A4335" t="s">
        <v>133</v>
      </c>
      <c r="B4335" t="s">
        <v>457</v>
      </c>
      <c r="C4335">
        <v>4.5999999999999996</v>
      </c>
      <c r="D4335">
        <f t="shared" si="136"/>
        <v>150</v>
      </c>
      <c r="E4335" t="str">
        <f t="shared" si="137"/>
        <v>150. Marshall Islands</v>
      </c>
    </row>
    <row r="4336" spans="1:5" x14ac:dyDescent="0.25">
      <c r="A4336" t="s">
        <v>52</v>
      </c>
      <c r="B4336" t="s">
        <v>457</v>
      </c>
      <c r="C4336">
        <v>4.5</v>
      </c>
      <c r="D4336">
        <f t="shared" si="136"/>
        <v>151</v>
      </c>
      <c r="E4336" t="str">
        <f t="shared" si="137"/>
        <v>151. Comoros</v>
      </c>
    </row>
    <row r="4337" spans="1:5" x14ac:dyDescent="0.25">
      <c r="A4337" t="s">
        <v>105</v>
      </c>
      <c r="B4337" t="s">
        <v>457</v>
      </c>
      <c r="C4337">
        <v>4.5</v>
      </c>
      <c r="D4337">
        <f t="shared" si="136"/>
        <v>152</v>
      </c>
      <c r="E4337" t="str">
        <f t="shared" si="137"/>
        <v>152. Jordan</v>
      </c>
    </row>
    <row r="4338" spans="1:5" x14ac:dyDescent="0.25">
      <c r="A4338" t="s">
        <v>198</v>
      </c>
      <c r="B4338" t="s">
        <v>457</v>
      </c>
      <c r="C4338">
        <v>4.5</v>
      </c>
      <c r="D4338">
        <f t="shared" si="136"/>
        <v>153</v>
      </c>
      <c r="E4338" t="str">
        <f t="shared" si="137"/>
        <v>153. Turkmenistan</v>
      </c>
    </row>
    <row r="4339" spans="1:5" x14ac:dyDescent="0.25">
      <c r="A4339" t="s">
        <v>91</v>
      </c>
      <c r="B4339" t="s">
        <v>457</v>
      </c>
      <c r="C4339">
        <v>4.4000000000000004</v>
      </c>
      <c r="D4339">
        <f t="shared" si="136"/>
        <v>154</v>
      </c>
      <c r="E4339" t="str">
        <f t="shared" si="137"/>
        <v>154. Honduras</v>
      </c>
    </row>
    <row r="4340" spans="1:5" x14ac:dyDescent="0.25">
      <c r="A4340" t="s">
        <v>189</v>
      </c>
      <c r="B4340" t="s">
        <v>457</v>
      </c>
      <c r="C4340">
        <v>4.3</v>
      </c>
      <c r="D4340">
        <f t="shared" si="136"/>
        <v>155</v>
      </c>
      <c r="E4340" t="str">
        <f t="shared" si="137"/>
        <v>155. Eswatini</v>
      </c>
    </row>
    <row r="4341" spans="1:5" x14ac:dyDescent="0.25">
      <c r="A4341" t="s">
        <v>157</v>
      </c>
      <c r="B4341" t="s">
        <v>457</v>
      </c>
      <c r="C4341">
        <v>4.3</v>
      </c>
      <c r="D4341">
        <f t="shared" si="136"/>
        <v>156</v>
      </c>
      <c r="E4341" t="str">
        <f t="shared" si="137"/>
        <v>156. Pakistan</v>
      </c>
    </row>
    <row r="4342" spans="1:5" x14ac:dyDescent="0.25">
      <c r="A4342" t="s">
        <v>214</v>
      </c>
      <c r="B4342" t="s">
        <v>457</v>
      </c>
      <c r="C4342">
        <v>4.3</v>
      </c>
      <c r="D4342">
        <f t="shared" si="136"/>
        <v>157</v>
      </c>
      <c r="E4342" t="str">
        <f t="shared" si="137"/>
        <v>157. Vanuatu</v>
      </c>
    </row>
    <row r="4343" spans="1:5" x14ac:dyDescent="0.25">
      <c r="A4343" t="s">
        <v>224</v>
      </c>
      <c r="B4343" t="s">
        <v>457</v>
      </c>
      <c r="C4343">
        <v>4.2</v>
      </c>
      <c r="D4343">
        <f t="shared" si="136"/>
        <v>158</v>
      </c>
      <c r="E4343" t="str">
        <f t="shared" si="137"/>
        <v>158. Eritrea</v>
      </c>
    </row>
    <row r="4344" spans="1:5" x14ac:dyDescent="0.25">
      <c r="A4344" t="s">
        <v>111</v>
      </c>
      <c r="B4344" t="s">
        <v>457</v>
      </c>
      <c r="C4344">
        <v>4.2</v>
      </c>
      <c r="D4344">
        <f t="shared" si="136"/>
        <v>159</v>
      </c>
      <c r="E4344" t="str">
        <f t="shared" si="137"/>
        <v>159. Kiribati</v>
      </c>
    </row>
    <row r="4345" spans="1:5" x14ac:dyDescent="0.25">
      <c r="A4345" t="s">
        <v>76</v>
      </c>
      <c r="B4345" t="s">
        <v>457</v>
      </c>
      <c r="C4345">
        <v>4.0999999999999996</v>
      </c>
      <c r="D4345">
        <f t="shared" si="136"/>
        <v>160</v>
      </c>
      <c r="E4345" t="str">
        <f t="shared" si="137"/>
        <v>160. Gabon</v>
      </c>
    </row>
    <row r="4346" spans="1:5" x14ac:dyDescent="0.25">
      <c r="A4346" t="s">
        <v>40</v>
      </c>
      <c r="B4346" t="s">
        <v>457</v>
      </c>
      <c r="C4346">
        <v>4</v>
      </c>
      <c r="D4346">
        <f t="shared" si="136"/>
        <v>161</v>
      </c>
      <c r="E4346" t="str">
        <f t="shared" si="137"/>
        <v>161. Botswana</v>
      </c>
    </row>
    <row r="4347" spans="1:5" x14ac:dyDescent="0.25">
      <c r="A4347" t="s">
        <v>29</v>
      </c>
      <c r="B4347" t="s">
        <v>457</v>
      </c>
      <c r="C4347">
        <v>3.9</v>
      </c>
      <c r="D4347">
        <f t="shared" si="136"/>
        <v>162</v>
      </c>
      <c r="E4347" t="str">
        <f t="shared" si="137"/>
        <v>162. Bahrain</v>
      </c>
    </row>
    <row r="4348" spans="1:5" x14ac:dyDescent="0.25">
      <c r="A4348" t="s">
        <v>122</v>
      </c>
      <c r="B4348" t="s">
        <v>457</v>
      </c>
      <c r="C4348">
        <v>3.9</v>
      </c>
      <c r="D4348">
        <f t="shared" si="136"/>
        <v>163</v>
      </c>
      <c r="E4348" t="str">
        <f t="shared" si="137"/>
        <v>163. Lesotho</v>
      </c>
    </row>
    <row r="4349" spans="1:5" x14ac:dyDescent="0.25">
      <c r="A4349" t="s">
        <v>172</v>
      </c>
      <c r="B4349" t="s">
        <v>457</v>
      </c>
      <c r="C4349">
        <v>3.9</v>
      </c>
      <c r="D4349">
        <f t="shared" si="136"/>
        <v>164</v>
      </c>
      <c r="E4349" t="str">
        <f t="shared" si="137"/>
        <v>164. Rwanda</v>
      </c>
    </row>
    <row r="4350" spans="1:5" x14ac:dyDescent="0.25">
      <c r="A4350" t="s">
        <v>184</v>
      </c>
      <c r="B4350" t="s">
        <v>457</v>
      </c>
      <c r="C4350">
        <v>3.9</v>
      </c>
      <c r="D4350">
        <f t="shared" si="136"/>
        <v>165</v>
      </c>
      <c r="E4350" t="str">
        <f t="shared" si="137"/>
        <v>165. Sao Tome and Principe</v>
      </c>
    </row>
    <row r="4351" spans="1:5" x14ac:dyDescent="0.25">
      <c r="A4351" t="s">
        <v>197</v>
      </c>
      <c r="B4351" t="s">
        <v>457</v>
      </c>
      <c r="C4351">
        <v>3.9</v>
      </c>
      <c r="D4351">
        <f t="shared" si="136"/>
        <v>166</v>
      </c>
      <c r="E4351" t="str">
        <f t="shared" si="137"/>
        <v>166. Tajikistan</v>
      </c>
    </row>
    <row r="4352" spans="1:5" x14ac:dyDescent="0.25">
      <c r="A4352" t="s">
        <v>167</v>
      </c>
      <c r="B4352" t="s">
        <v>457</v>
      </c>
      <c r="C4352">
        <v>3.8</v>
      </c>
      <c r="D4352">
        <f t="shared" si="136"/>
        <v>167</v>
      </c>
      <c r="E4352" t="str">
        <f t="shared" si="137"/>
        <v>167. West Bank and Gaza</v>
      </c>
    </row>
    <row r="4353" spans="1:5" x14ac:dyDescent="0.25">
      <c r="A4353" t="s">
        <v>83</v>
      </c>
      <c r="B4353" t="s">
        <v>457</v>
      </c>
      <c r="C4353">
        <v>3.7</v>
      </c>
      <c r="D4353">
        <f t="shared" si="136"/>
        <v>168</v>
      </c>
      <c r="E4353" t="str">
        <f t="shared" si="137"/>
        <v>168. Equatorial Guinea</v>
      </c>
    </row>
    <row r="4354" spans="1:5" x14ac:dyDescent="0.25">
      <c r="A4354" t="s">
        <v>79</v>
      </c>
      <c r="B4354" t="s">
        <v>457</v>
      </c>
      <c r="C4354">
        <v>3.7</v>
      </c>
      <c r="D4354">
        <f t="shared" si="136"/>
        <v>169</v>
      </c>
      <c r="E4354" t="str">
        <f t="shared" si="137"/>
        <v>169. Ghana</v>
      </c>
    </row>
    <row r="4355" spans="1:5" x14ac:dyDescent="0.25">
      <c r="A4355" t="s">
        <v>146</v>
      </c>
      <c r="B4355" t="s">
        <v>457</v>
      </c>
      <c r="C4355">
        <v>3.7</v>
      </c>
      <c r="D4355">
        <f t="shared" si="136"/>
        <v>170</v>
      </c>
      <c r="E4355" t="str">
        <f t="shared" si="137"/>
        <v>170. Namibia</v>
      </c>
    </row>
    <row r="4356" spans="1:5" x14ac:dyDescent="0.25">
      <c r="A4356" t="s">
        <v>175</v>
      </c>
      <c r="B4356" t="s">
        <v>457</v>
      </c>
      <c r="C4356">
        <v>3.6</v>
      </c>
      <c r="D4356">
        <f t="shared" ref="D4356:D4419" si="138">IF(ROW() = 2, 1, IF(B4356 = B4355, D4355 + 1, 1))</f>
        <v>171</v>
      </c>
      <c r="E4356" t="str">
        <f t="shared" ref="E4356:E4419" si="139">_xlfn.CONCAT(D4356, ". ", A4356)</f>
        <v>171. Senegal</v>
      </c>
    </row>
    <row r="4357" spans="1:5" x14ac:dyDescent="0.25">
      <c r="A4357" t="s">
        <v>177</v>
      </c>
      <c r="B4357" t="s">
        <v>457</v>
      </c>
      <c r="C4357">
        <v>3.6</v>
      </c>
      <c r="D4357">
        <f t="shared" si="138"/>
        <v>172</v>
      </c>
      <c r="E4357" t="str">
        <f t="shared" si="139"/>
        <v>172. Solomon Islands</v>
      </c>
    </row>
    <row r="4358" spans="1:5" x14ac:dyDescent="0.25">
      <c r="A4358" t="s">
        <v>220</v>
      </c>
      <c r="B4358" t="s">
        <v>457</v>
      </c>
      <c r="C4358">
        <v>3.6</v>
      </c>
      <c r="D4358">
        <f t="shared" si="138"/>
        <v>173</v>
      </c>
      <c r="E4358" t="str">
        <f t="shared" si="139"/>
        <v>173. Zimbabwe</v>
      </c>
    </row>
    <row r="4359" spans="1:5" x14ac:dyDescent="0.25">
      <c r="A4359" t="s">
        <v>80</v>
      </c>
      <c r="B4359" t="s">
        <v>457</v>
      </c>
      <c r="C4359">
        <v>3.5</v>
      </c>
      <c r="D4359">
        <f t="shared" si="138"/>
        <v>174</v>
      </c>
      <c r="E4359" t="str">
        <f t="shared" si="139"/>
        <v>174. Guinea</v>
      </c>
    </row>
    <row r="4360" spans="1:5" x14ac:dyDescent="0.25">
      <c r="A4360" t="s">
        <v>162</v>
      </c>
      <c r="B4360" t="s">
        <v>457</v>
      </c>
      <c r="C4360">
        <v>3.5</v>
      </c>
      <c r="D4360">
        <f t="shared" si="138"/>
        <v>175</v>
      </c>
      <c r="E4360" t="str">
        <f t="shared" si="139"/>
        <v>175. Papua New Guinea</v>
      </c>
    </row>
    <row r="4361" spans="1:5" x14ac:dyDescent="0.25">
      <c r="A4361" t="s">
        <v>100</v>
      </c>
      <c r="B4361" t="s">
        <v>457</v>
      </c>
      <c r="C4361">
        <v>3.4</v>
      </c>
      <c r="D4361">
        <f t="shared" si="138"/>
        <v>176</v>
      </c>
      <c r="E4361" t="str">
        <f t="shared" si="139"/>
        <v>176. Iraq</v>
      </c>
    </row>
    <row r="4362" spans="1:5" x14ac:dyDescent="0.25">
      <c r="A4362" t="s">
        <v>130</v>
      </c>
      <c r="B4362" t="s">
        <v>457</v>
      </c>
      <c r="C4362">
        <v>3.4</v>
      </c>
      <c r="D4362">
        <f t="shared" si="138"/>
        <v>177</v>
      </c>
      <c r="E4362" t="str">
        <f t="shared" si="139"/>
        <v>177. Madagascar</v>
      </c>
    </row>
    <row r="4363" spans="1:5" x14ac:dyDescent="0.25">
      <c r="A4363" t="s">
        <v>117</v>
      </c>
      <c r="B4363" t="s">
        <v>457</v>
      </c>
      <c r="C4363">
        <v>3.3</v>
      </c>
      <c r="D4363">
        <f t="shared" si="138"/>
        <v>178</v>
      </c>
      <c r="E4363" t="str">
        <f t="shared" si="139"/>
        <v>178. Liberia</v>
      </c>
    </row>
    <row r="4364" spans="1:5" x14ac:dyDescent="0.25">
      <c r="A4364" t="s">
        <v>174</v>
      </c>
      <c r="B4364" t="s">
        <v>457</v>
      </c>
      <c r="C4364">
        <v>3.3</v>
      </c>
      <c r="D4364">
        <f t="shared" si="138"/>
        <v>179</v>
      </c>
      <c r="E4364" t="str">
        <f t="shared" si="139"/>
        <v>179. Sudan</v>
      </c>
    </row>
    <row r="4365" spans="1:5" x14ac:dyDescent="0.25">
      <c r="A4365" t="s">
        <v>70</v>
      </c>
      <c r="B4365" t="s">
        <v>457</v>
      </c>
      <c r="C4365">
        <v>3.2</v>
      </c>
      <c r="D4365">
        <f t="shared" si="138"/>
        <v>180</v>
      </c>
      <c r="E4365" t="str">
        <f t="shared" si="139"/>
        <v>180. Ethiopia</v>
      </c>
    </row>
    <row r="4366" spans="1:5" x14ac:dyDescent="0.25">
      <c r="A4366" t="s">
        <v>82</v>
      </c>
      <c r="B4366" t="s">
        <v>457</v>
      </c>
      <c r="C4366">
        <v>3.2</v>
      </c>
      <c r="D4366">
        <f t="shared" si="138"/>
        <v>181</v>
      </c>
      <c r="E4366" t="str">
        <f t="shared" si="139"/>
        <v>181. Guinea-Bissau</v>
      </c>
    </row>
    <row r="4367" spans="1:5" x14ac:dyDescent="0.25">
      <c r="A4367" t="s">
        <v>142</v>
      </c>
      <c r="B4367" t="s">
        <v>457</v>
      </c>
      <c r="C4367">
        <v>3.2</v>
      </c>
      <c r="D4367">
        <f t="shared" si="138"/>
        <v>182</v>
      </c>
      <c r="E4367" t="str">
        <f t="shared" si="139"/>
        <v>182. Mauritania</v>
      </c>
    </row>
    <row r="4368" spans="1:5" x14ac:dyDescent="0.25">
      <c r="A4368" t="s">
        <v>178</v>
      </c>
      <c r="B4368" t="s">
        <v>457</v>
      </c>
      <c r="C4368">
        <v>3.2</v>
      </c>
      <c r="D4368">
        <f t="shared" si="138"/>
        <v>183</v>
      </c>
      <c r="E4368" t="str">
        <f t="shared" si="139"/>
        <v>183. Sierra Leone</v>
      </c>
    </row>
    <row r="4369" spans="1:5" x14ac:dyDescent="0.25">
      <c r="A4369" t="s">
        <v>195</v>
      </c>
      <c r="B4369" t="s">
        <v>457</v>
      </c>
      <c r="C4369">
        <v>3.2</v>
      </c>
      <c r="D4369">
        <f t="shared" si="138"/>
        <v>184</v>
      </c>
      <c r="E4369" t="str">
        <f t="shared" si="139"/>
        <v>184. Togo</v>
      </c>
    </row>
    <row r="4370" spans="1:5" x14ac:dyDescent="0.25">
      <c r="A4370" t="s">
        <v>25</v>
      </c>
      <c r="B4370" t="s">
        <v>457</v>
      </c>
      <c r="C4370">
        <v>3.1</v>
      </c>
      <c r="D4370">
        <f t="shared" si="138"/>
        <v>185</v>
      </c>
      <c r="E4370" t="str">
        <f t="shared" si="139"/>
        <v>185. Benin</v>
      </c>
    </row>
    <row r="4371" spans="1:5" x14ac:dyDescent="0.25">
      <c r="A4371" t="s">
        <v>49</v>
      </c>
      <c r="B4371" t="s">
        <v>457</v>
      </c>
      <c r="C4371">
        <v>3.1</v>
      </c>
      <c r="D4371">
        <f t="shared" si="138"/>
        <v>186</v>
      </c>
      <c r="E4371" t="str">
        <f t="shared" si="139"/>
        <v>186. Congo, Dem. Rep.</v>
      </c>
    </row>
    <row r="4372" spans="1:5" x14ac:dyDescent="0.25">
      <c r="A4372" t="s">
        <v>81</v>
      </c>
      <c r="B4372" t="s">
        <v>457</v>
      </c>
      <c r="C4372">
        <v>3.1</v>
      </c>
      <c r="D4372">
        <f t="shared" si="138"/>
        <v>187</v>
      </c>
      <c r="E4372" t="str">
        <f t="shared" si="139"/>
        <v>187. Gambia, The</v>
      </c>
    </row>
    <row r="4373" spans="1:5" x14ac:dyDescent="0.25">
      <c r="A4373" t="s">
        <v>114</v>
      </c>
      <c r="B4373" t="s">
        <v>457</v>
      </c>
      <c r="C4373">
        <v>3.1</v>
      </c>
      <c r="D4373">
        <f t="shared" si="138"/>
        <v>188</v>
      </c>
      <c r="E4373" t="str">
        <f t="shared" si="139"/>
        <v>188. Kuwait</v>
      </c>
    </row>
    <row r="4374" spans="1:5" x14ac:dyDescent="0.25">
      <c r="A4374" t="s">
        <v>50</v>
      </c>
      <c r="B4374" t="s">
        <v>457</v>
      </c>
      <c r="C4374">
        <v>3</v>
      </c>
      <c r="D4374">
        <f t="shared" si="138"/>
        <v>189</v>
      </c>
      <c r="E4374" t="str">
        <f t="shared" si="139"/>
        <v>189. Congo, Rep.</v>
      </c>
    </row>
    <row r="4375" spans="1:5" x14ac:dyDescent="0.25">
      <c r="A4375" t="s">
        <v>108</v>
      </c>
      <c r="B4375" t="s">
        <v>457</v>
      </c>
      <c r="C4375">
        <v>3</v>
      </c>
      <c r="D4375">
        <f t="shared" si="138"/>
        <v>190</v>
      </c>
      <c r="E4375" t="str">
        <f t="shared" si="139"/>
        <v>190. Kenya</v>
      </c>
    </row>
    <row r="4376" spans="1:5" x14ac:dyDescent="0.25">
      <c r="A4376" t="s">
        <v>149</v>
      </c>
      <c r="B4376" t="s">
        <v>457</v>
      </c>
      <c r="C4376">
        <v>3</v>
      </c>
      <c r="D4376">
        <f t="shared" si="138"/>
        <v>191</v>
      </c>
      <c r="E4376" t="str">
        <f t="shared" si="139"/>
        <v>191. Nigeria</v>
      </c>
    </row>
    <row r="4377" spans="1:5" x14ac:dyDescent="0.25">
      <c r="A4377" t="s">
        <v>173</v>
      </c>
      <c r="B4377" t="s">
        <v>457</v>
      </c>
      <c r="C4377">
        <v>3</v>
      </c>
      <c r="D4377">
        <f t="shared" si="138"/>
        <v>192</v>
      </c>
      <c r="E4377" t="str">
        <f t="shared" si="139"/>
        <v>192. Saudi Arabia</v>
      </c>
    </row>
    <row r="4378" spans="1:5" x14ac:dyDescent="0.25">
      <c r="A4378" t="s">
        <v>183</v>
      </c>
      <c r="B4378" t="s">
        <v>457</v>
      </c>
      <c r="C4378">
        <v>3</v>
      </c>
      <c r="D4378">
        <f t="shared" si="138"/>
        <v>193</v>
      </c>
      <c r="E4378" t="str">
        <f t="shared" si="139"/>
        <v>193. South Sudan</v>
      </c>
    </row>
    <row r="4379" spans="1:5" x14ac:dyDescent="0.25">
      <c r="A4379" t="s">
        <v>205</v>
      </c>
      <c r="B4379" t="s">
        <v>457</v>
      </c>
      <c r="C4379">
        <v>3</v>
      </c>
      <c r="D4379">
        <f t="shared" si="138"/>
        <v>194</v>
      </c>
      <c r="E4379" t="str">
        <f t="shared" si="139"/>
        <v>194. Tanzania</v>
      </c>
    </row>
    <row r="4380" spans="1:5" x14ac:dyDescent="0.25">
      <c r="A4380" t="s">
        <v>12</v>
      </c>
      <c r="B4380" t="s">
        <v>457</v>
      </c>
      <c r="C4380">
        <v>2.9</v>
      </c>
      <c r="D4380">
        <f t="shared" si="138"/>
        <v>195</v>
      </c>
      <c r="E4380" t="str">
        <f t="shared" si="139"/>
        <v>195. Angola</v>
      </c>
    </row>
    <row r="4381" spans="1:5" x14ac:dyDescent="0.25">
      <c r="A4381" t="s">
        <v>154</v>
      </c>
      <c r="B4381" t="s">
        <v>457</v>
      </c>
      <c r="C4381">
        <v>2.9</v>
      </c>
      <c r="D4381">
        <f t="shared" si="138"/>
        <v>196</v>
      </c>
      <c r="E4381" t="str">
        <f t="shared" si="139"/>
        <v>196. Nauru</v>
      </c>
    </row>
    <row r="4382" spans="1:5" x14ac:dyDescent="0.25">
      <c r="A4382" t="s">
        <v>48</v>
      </c>
      <c r="B4382" t="s">
        <v>457</v>
      </c>
      <c r="C4382">
        <v>2.8</v>
      </c>
      <c r="D4382">
        <f t="shared" si="138"/>
        <v>197</v>
      </c>
      <c r="E4382" t="str">
        <f t="shared" si="139"/>
        <v>197. Cameroon</v>
      </c>
    </row>
    <row r="4383" spans="1:5" x14ac:dyDescent="0.25">
      <c r="A4383" t="s">
        <v>141</v>
      </c>
      <c r="B4383" t="s">
        <v>457</v>
      </c>
      <c r="C4383">
        <v>2.8</v>
      </c>
      <c r="D4383">
        <f t="shared" si="138"/>
        <v>198</v>
      </c>
      <c r="E4383" t="str">
        <f t="shared" si="139"/>
        <v>198. Mozambique</v>
      </c>
    </row>
    <row r="4384" spans="1:5" x14ac:dyDescent="0.25">
      <c r="A4384" t="s">
        <v>26</v>
      </c>
      <c r="B4384" t="s">
        <v>457</v>
      </c>
      <c r="C4384">
        <v>2.7</v>
      </c>
      <c r="D4384">
        <f t="shared" si="138"/>
        <v>199</v>
      </c>
      <c r="E4384" t="str">
        <f t="shared" si="139"/>
        <v>199. Burkina Faso</v>
      </c>
    </row>
    <row r="4385" spans="1:5" x14ac:dyDescent="0.25">
      <c r="A4385" t="s">
        <v>47</v>
      </c>
      <c r="B4385" t="s">
        <v>457</v>
      </c>
      <c r="C4385">
        <v>2.6</v>
      </c>
      <c r="D4385">
        <f t="shared" si="138"/>
        <v>200</v>
      </c>
      <c r="E4385" t="str">
        <f t="shared" si="139"/>
        <v>200. Cote d'Ivoire</v>
      </c>
    </row>
    <row r="4386" spans="1:5" x14ac:dyDescent="0.25">
      <c r="A4386" t="s">
        <v>144</v>
      </c>
      <c r="B4386" t="s">
        <v>457</v>
      </c>
      <c r="C4386">
        <v>2.6</v>
      </c>
      <c r="D4386">
        <f t="shared" si="138"/>
        <v>201</v>
      </c>
      <c r="E4386" t="str">
        <f t="shared" si="139"/>
        <v>201. Malawi</v>
      </c>
    </row>
    <row r="4387" spans="1:5" x14ac:dyDescent="0.25">
      <c r="A4387" t="s">
        <v>148</v>
      </c>
      <c r="B4387" t="s">
        <v>457</v>
      </c>
      <c r="C4387">
        <v>2.6</v>
      </c>
      <c r="D4387">
        <f t="shared" si="138"/>
        <v>202</v>
      </c>
      <c r="E4387" t="str">
        <f t="shared" si="139"/>
        <v>202. Niger</v>
      </c>
    </row>
    <row r="4388" spans="1:5" x14ac:dyDescent="0.25">
      <c r="A4388" t="s">
        <v>156</v>
      </c>
      <c r="B4388" t="s">
        <v>457</v>
      </c>
      <c r="C4388">
        <v>2.6</v>
      </c>
      <c r="D4388">
        <f t="shared" si="138"/>
        <v>203</v>
      </c>
      <c r="E4388" t="str">
        <f t="shared" si="139"/>
        <v>203. Oman</v>
      </c>
    </row>
    <row r="4389" spans="1:5" x14ac:dyDescent="0.25">
      <c r="A4389" t="s">
        <v>222</v>
      </c>
      <c r="B4389" t="s">
        <v>457</v>
      </c>
      <c r="C4389">
        <v>2.6</v>
      </c>
      <c r="D4389">
        <f t="shared" si="138"/>
        <v>204</v>
      </c>
      <c r="E4389" t="str">
        <f t="shared" si="139"/>
        <v>204. Somalia, Fed. Rep.</v>
      </c>
    </row>
    <row r="4390" spans="1:5" x14ac:dyDescent="0.25">
      <c r="A4390" t="s">
        <v>23</v>
      </c>
      <c r="B4390" t="s">
        <v>457</v>
      </c>
      <c r="C4390">
        <v>2.5</v>
      </c>
      <c r="D4390">
        <f t="shared" si="138"/>
        <v>205</v>
      </c>
      <c r="E4390" t="str">
        <f t="shared" si="139"/>
        <v>205. Burundi</v>
      </c>
    </row>
    <row r="4391" spans="1:5" x14ac:dyDescent="0.25">
      <c r="A4391" t="s">
        <v>217</v>
      </c>
      <c r="B4391" t="s">
        <v>457</v>
      </c>
      <c r="C4391">
        <v>2.5</v>
      </c>
      <c r="D4391">
        <f t="shared" si="138"/>
        <v>206</v>
      </c>
      <c r="E4391" t="str">
        <f t="shared" si="139"/>
        <v>206. Yemen, Rep.</v>
      </c>
    </row>
    <row r="4392" spans="1:5" x14ac:dyDescent="0.25">
      <c r="A4392" t="s">
        <v>11</v>
      </c>
      <c r="B4392" t="s">
        <v>457</v>
      </c>
      <c r="C4392">
        <v>2.4</v>
      </c>
      <c r="D4392">
        <f t="shared" si="138"/>
        <v>207</v>
      </c>
      <c r="E4392" t="str">
        <f t="shared" si="139"/>
        <v>207. Afghanistan</v>
      </c>
    </row>
    <row r="4393" spans="1:5" x14ac:dyDescent="0.25">
      <c r="A4393" t="s">
        <v>135</v>
      </c>
      <c r="B4393" t="s">
        <v>457</v>
      </c>
      <c r="C4393">
        <v>2.4</v>
      </c>
      <c r="D4393">
        <f t="shared" si="138"/>
        <v>208</v>
      </c>
      <c r="E4393" t="str">
        <f t="shared" si="139"/>
        <v>208. Mali</v>
      </c>
    </row>
    <row r="4394" spans="1:5" x14ac:dyDescent="0.25">
      <c r="A4394" t="s">
        <v>41</v>
      </c>
      <c r="B4394" t="s">
        <v>457</v>
      </c>
      <c r="C4394">
        <v>2.2000000000000002</v>
      </c>
      <c r="D4394">
        <f t="shared" si="138"/>
        <v>209</v>
      </c>
      <c r="E4394" t="str">
        <f t="shared" si="139"/>
        <v>209. Central African Republic</v>
      </c>
    </row>
    <row r="4395" spans="1:5" x14ac:dyDescent="0.25">
      <c r="A4395" t="s">
        <v>206</v>
      </c>
      <c r="B4395" t="s">
        <v>457</v>
      </c>
      <c r="C4395">
        <v>2.2000000000000002</v>
      </c>
      <c r="D4395">
        <f t="shared" si="138"/>
        <v>210</v>
      </c>
      <c r="E4395" t="str">
        <f t="shared" si="139"/>
        <v>210. Uganda</v>
      </c>
    </row>
    <row r="4396" spans="1:5" x14ac:dyDescent="0.25">
      <c r="A4396" t="s">
        <v>194</v>
      </c>
      <c r="B4396" t="s">
        <v>457</v>
      </c>
      <c r="C4396">
        <v>2.1</v>
      </c>
      <c r="D4396">
        <f t="shared" si="138"/>
        <v>211</v>
      </c>
      <c r="E4396" t="str">
        <f t="shared" si="139"/>
        <v>211. Chad</v>
      </c>
    </row>
    <row r="4397" spans="1:5" x14ac:dyDescent="0.25">
      <c r="A4397" t="s">
        <v>219</v>
      </c>
      <c r="B4397" t="s">
        <v>457</v>
      </c>
      <c r="C4397">
        <v>1.9</v>
      </c>
      <c r="D4397">
        <f t="shared" si="138"/>
        <v>212</v>
      </c>
      <c r="E4397" t="str">
        <f t="shared" si="139"/>
        <v>212. Zambia</v>
      </c>
    </row>
    <row r="4398" spans="1:5" x14ac:dyDescent="0.25">
      <c r="A4398" t="s">
        <v>15</v>
      </c>
      <c r="B4398" t="s">
        <v>457</v>
      </c>
      <c r="C4398">
        <v>1.8</v>
      </c>
      <c r="D4398">
        <f t="shared" si="138"/>
        <v>213</v>
      </c>
      <c r="E4398" t="str">
        <f t="shared" si="139"/>
        <v>213. United Arab Emirates</v>
      </c>
    </row>
    <row r="4399" spans="1:5" x14ac:dyDescent="0.25">
      <c r="A4399" t="s">
        <v>169</v>
      </c>
      <c r="B4399" t="s">
        <v>457</v>
      </c>
      <c r="C4399">
        <v>1.7</v>
      </c>
      <c r="D4399">
        <f t="shared" si="138"/>
        <v>214</v>
      </c>
      <c r="E4399" t="str">
        <f t="shared" si="139"/>
        <v>214. Qatar</v>
      </c>
    </row>
    <row r="4400" spans="1:5" x14ac:dyDescent="0.25">
      <c r="A4400" s="40" t="s">
        <v>46</v>
      </c>
      <c r="B4400" s="40" t="s">
        <v>414</v>
      </c>
      <c r="C4400" s="56">
        <v>898.9</v>
      </c>
      <c r="D4400">
        <f t="shared" si="138"/>
        <v>1</v>
      </c>
      <c r="E4400" t="str">
        <f t="shared" si="139"/>
        <v>1. China</v>
      </c>
    </row>
    <row r="4401" spans="1:5" x14ac:dyDescent="0.25">
      <c r="A4401" s="40" t="s">
        <v>209</v>
      </c>
      <c r="B4401" s="40" t="s">
        <v>414</v>
      </c>
      <c r="C4401" s="56">
        <v>457.3</v>
      </c>
      <c r="D4401">
        <f t="shared" si="138"/>
        <v>2</v>
      </c>
      <c r="E4401" t="str">
        <f t="shared" si="139"/>
        <v>2. United States</v>
      </c>
    </row>
    <row r="4402" spans="1:5" x14ac:dyDescent="0.25">
      <c r="A4402" s="40" t="s">
        <v>97</v>
      </c>
      <c r="B4402" s="40" t="s">
        <v>414</v>
      </c>
      <c r="C4402" s="56">
        <v>207.4</v>
      </c>
      <c r="D4402">
        <f t="shared" si="138"/>
        <v>3</v>
      </c>
      <c r="E4402" t="str">
        <f t="shared" si="139"/>
        <v>3. India</v>
      </c>
    </row>
    <row r="4403" spans="1:5" x14ac:dyDescent="0.25">
      <c r="A4403" s="40" t="s">
        <v>60</v>
      </c>
      <c r="B4403" s="40" t="s">
        <v>414</v>
      </c>
      <c r="C4403" s="56">
        <v>114</v>
      </c>
      <c r="D4403">
        <f t="shared" si="138"/>
        <v>4</v>
      </c>
      <c r="E4403" t="str">
        <f t="shared" si="139"/>
        <v>4. Germany</v>
      </c>
    </row>
    <row r="4404" spans="1:5" x14ac:dyDescent="0.25">
      <c r="A4404" s="40" t="s">
        <v>77</v>
      </c>
      <c r="B4404" s="40" t="s">
        <v>414</v>
      </c>
      <c r="C4404" s="56">
        <v>105.6</v>
      </c>
      <c r="D4404">
        <f t="shared" si="138"/>
        <v>5</v>
      </c>
      <c r="E4404" t="str">
        <f t="shared" si="139"/>
        <v>5. United Kingdom</v>
      </c>
    </row>
    <row r="4405" spans="1:5" x14ac:dyDescent="0.25">
      <c r="A4405" s="40" t="s">
        <v>106</v>
      </c>
      <c r="B4405" s="40" t="s">
        <v>414</v>
      </c>
      <c r="C4405" s="56">
        <v>103.7</v>
      </c>
      <c r="D4405">
        <f t="shared" si="138"/>
        <v>6</v>
      </c>
      <c r="E4405" t="str">
        <f t="shared" si="139"/>
        <v>6. Japan</v>
      </c>
    </row>
    <row r="4406" spans="1:5" x14ac:dyDescent="0.25">
      <c r="A4406" s="40" t="s">
        <v>103</v>
      </c>
      <c r="B4406" s="40" t="s">
        <v>414</v>
      </c>
      <c r="C4406" s="56">
        <v>90.6</v>
      </c>
      <c r="D4406">
        <f t="shared" si="138"/>
        <v>7</v>
      </c>
      <c r="E4406" t="str">
        <f t="shared" si="139"/>
        <v>7. Italy</v>
      </c>
    </row>
    <row r="4407" spans="1:5" x14ac:dyDescent="0.25">
      <c r="A4407" s="40" t="s">
        <v>171</v>
      </c>
      <c r="B4407" s="40" t="s">
        <v>414</v>
      </c>
      <c r="C4407" s="56">
        <v>84.3</v>
      </c>
      <c r="D4407">
        <f t="shared" si="138"/>
        <v>8</v>
      </c>
      <c r="E4407" t="str">
        <f t="shared" si="139"/>
        <v>8. Russian Federation</v>
      </c>
    </row>
    <row r="4408" spans="1:5" x14ac:dyDescent="0.25">
      <c r="A4408" s="40" t="s">
        <v>113</v>
      </c>
      <c r="B4408" s="40" t="s">
        <v>414</v>
      </c>
      <c r="C4408" s="56">
        <v>76.900000000000006</v>
      </c>
      <c r="D4408">
        <f t="shared" si="138"/>
        <v>9</v>
      </c>
      <c r="E4408" t="str">
        <f t="shared" si="139"/>
        <v>9. Korea, Rep.</v>
      </c>
    </row>
    <row r="4409" spans="1:5" x14ac:dyDescent="0.25">
      <c r="A4409" s="40" t="s">
        <v>42</v>
      </c>
      <c r="B4409" s="40" t="s">
        <v>414</v>
      </c>
      <c r="C4409" s="56">
        <v>69.099999999999994</v>
      </c>
      <c r="D4409">
        <f t="shared" si="138"/>
        <v>10</v>
      </c>
      <c r="E4409" t="str">
        <f t="shared" si="139"/>
        <v>10. Canada</v>
      </c>
    </row>
    <row r="4410" spans="1:5" x14ac:dyDescent="0.25">
      <c r="A4410" s="40" t="s">
        <v>68</v>
      </c>
      <c r="B4410" s="40" t="s">
        <v>414</v>
      </c>
      <c r="C4410" s="56">
        <v>67.099999999999994</v>
      </c>
      <c r="D4410">
        <f t="shared" si="138"/>
        <v>11</v>
      </c>
      <c r="E4410" t="str">
        <f t="shared" si="139"/>
        <v>11. Spain</v>
      </c>
    </row>
    <row r="4411" spans="1:5" x14ac:dyDescent="0.25">
      <c r="A4411" s="40" t="s">
        <v>36</v>
      </c>
      <c r="B4411" s="40" t="s">
        <v>414</v>
      </c>
      <c r="C4411" s="56">
        <v>67</v>
      </c>
      <c r="D4411">
        <f t="shared" si="138"/>
        <v>12</v>
      </c>
      <c r="E4411" t="str">
        <f t="shared" si="139"/>
        <v>12. Brazil</v>
      </c>
    </row>
    <row r="4412" spans="1:5" x14ac:dyDescent="0.25">
      <c r="A4412" s="40" t="s">
        <v>73</v>
      </c>
      <c r="B4412" s="40" t="s">
        <v>414</v>
      </c>
      <c r="C4412" s="56">
        <v>65.900000000000006</v>
      </c>
      <c r="D4412">
        <f t="shared" si="138"/>
        <v>13</v>
      </c>
      <c r="E4412" t="str">
        <f t="shared" si="139"/>
        <v>13. France</v>
      </c>
    </row>
    <row r="4413" spans="1:5" x14ac:dyDescent="0.25">
      <c r="A4413" s="40" t="s">
        <v>20</v>
      </c>
      <c r="B4413" s="40" t="s">
        <v>414</v>
      </c>
      <c r="C4413" s="56">
        <v>62.3</v>
      </c>
      <c r="D4413">
        <f t="shared" si="138"/>
        <v>14</v>
      </c>
      <c r="E4413" t="str">
        <f t="shared" si="139"/>
        <v>14. Australia</v>
      </c>
    </row>
    <row r="4414" spans="1:5" x14ac:dyDescent="0.25">
      <c r="A4414" s="40" t="s">
        <v>99</v>
      </c>
      <c r="B4414" s="40" t="s">
        <v>414</v>
      </c>
      <c r="C4414" s="56">
        <v>60.9</v>
      </c>
      <c r="D4414">
        <f t="shared" si="138"/>
        <v>15</v>
      </c>
      <c r="E4414" t="str">
        <f t="shared" si="139"/>
        <v>15. Iran, Islamic Rep.</v>
      </c>
    </row>
    <row r="4415" spans="1:5" x14ac:dyDescent="0.25">
      <c r="A4415" s="40" t="s">
        <v>203</v>
      </c>
      <c r="B4415" s="40" t="s">
        <v>414</v>
      </c>
      <c r="C4415" s="56">
        <v>52.7</v>
      </c>
      <c r="D4415">
        <f t="shared" si="138"/>
        <v>16</v>
      </c>
      <c r="E4415" t="str">
        <f t="shared" si="139"/>
        <v>16. Turkiye</v>
      </c>
    </row>
    <row r="4416" spans="1:5" x14ac:dyDescent="0.25">
      <c r="A4416" s="40" t="s">
        <v>163</v>
      </c>
      <c r="B4416" s="40" t="s">
        <v>414</v>
      </c>
      <c r="C4416" s="56">
        <v>37.4</v>
      </c>
      <c r="D4416">
        <f t="shared" si="138"/>
        <v>17</v>
      </c>
      <c r="E4416" t="str">
        <f t="shared" si="139"/>
        <v>17. Poland</v>
      </c>
    </row>
    <row r="4417" spans="1:5" x14ac:dyDescent="0.25">
      <c r="A4417" s="40" t="s">
        <v>151</v>
      </c>
      <c r="B4417" s="40" t="s">
        <v>414</v>
      </c>
      <c r="C4417" s="56">
        <v>34.299999999999997</v>
      </c>
      <c r="D4417">
        <f t="shared" si="138"/>
        <v>18</v>
      </c>
      <c r="E4417" t="str">
        <f t="shared" si="139"/>
        <v>18. Netherlands</v>
      </c>
    </row>
    <row r="4418" spans="1:5" x14ac:dyDescent="0.25">
      <c r="A4418" s="40" t="s">
        <v>95</v>
      </c>
      <c r="B4418" s="40" t="s">
        <v>414</v>
      </c>
      <c r="C4418" s="56">
        <v>31.9</v>
      </c>
      <c r="D4418">
        <f t="shared" si="138"/>
        <v>19</v>
      </c>
      <c r="E4418" t="str">
        <f t="shared" si="139"/>
        <v>19. Indonesia</v>
      </c>
    </row>
    <row r="4419" spans="1:5" x14ac:dyDescent="0.25">
      <c r="A4419" s="40" t="s">
        <v>145</v>
      </c>
      <c r="B4419" s="40" t="s">
        <v>414</v>
      </c>
      <c r="C4419" s="56">
        <v>26.5</v>
      </c>
      <c r="D4419">
        <f t="shared" si="138"/>
        <v>20</v>
      </c>
      <c r="E4419" t="str">
        <f t="shared" si="139"/>
        <v>20. Malaysia</v>
      </c>
    </row>
    <row r="4420" spans="1:5" x14ac:dyDescent="0.25">
      <c r="A4420" s="40" t="s">
        <v>173</v>
      </c>
      <c r="B4420" s="40" t="s">
        <v>414</v>
      </c>
      <c r="C4420" s="56">
        <v>25.8</v>
      </c>
      <c r="D4420">
        <f t="shared" ref="D4420:D4483" si="140">IF(ROW() = 2, 1, IF(B4420 = B4419, D4419 + 1, 1))</f>
        <v>21</v>
      </c>
      <c r="E4420" t="str">
        <f t="shared" ref="E4420:E4483" si="141">_xlfn.CONCAT(D4420, ". ", A4420)</f>
        <v>21. Saudi Arabia</v>
      </c>
    </row>
    <row r="4421" spans="1:5" x14ac:dyDescent="0.25">
      <c r="A4421" s="40" t="s">
        <v>43</v>
      </c>
      <c r="B4421" s="40" t="s">
        <v>414</v>
      </c>
      <c r="C4421" s="56">
        <v>24.2</v>
      </c>
      <c r="D4421">
        <f t="shared" si="140"/>
        <v>22</v>
      </c>
      <c r="E4421" t="str">
        <f t="shared" si="141"/>
        <v>22. Switzerland</v>
      </c>
    </row>
    <row r="4422" spans="1:5" x14ac:dyDescent="0.25">
      <c r="A4422" s="40" t="s">
        <v>67</v>
      </c>
      <c r="B4422" s="40" t="s">
        <v>414</v>
      </c>
      <c r="C4422" s="56">
        <v>24</v>
      </c>
      <c r="D4422">
        <f t="shared" si="140"/>
        <v>23</v>
      </c>
      <c r="E4422" t="str">
        <f t="shared" si="141"/>
        <v>23. Egypt, Arab Rep.</v>
      </c>
    </row>
    <row r="4423" spans="1:5" x14ac:dyDescent="0.25">
      <c r="A4423" s="40" t="s">
        <v>157</v>
      </c>
      <c r="B4423" s="40" t="s">
        <v>414</v>
      </c>
      <c r="C4423" s="56">
        <v>22.6</v>
      </c>
      <c r="D4423">
        <f t="shared" si="140"/>
        <v>24</v>
      </c>
      <c r="E4423" t="str">
        <f t="shared" si="141"/>
        <v>24. Pakistan</v>
      </c>
    </row>
    <row r="4424" spans="1:5" x14ac:dyDescent="0.25">
      <c r="A4424" s="40" t="s">
        <v>188</v>
      </c>
      <c r="B4424" s="40" t="s">
        <v>414</v>
      </c>
      <c r="C4424" s="56">
        <v>22.4</v>
      </c>
      <c r="D4424">
        <f t="shared" si="140"/>
        <v>25</v>
      </c>
      <c r="E4424" t="str">
        <f t="shared" si="141"/>
        <v>25. Sweden</v>
      </c>
    </row>
    <row r="4425" spans="1:5" x14ac:dyDescent="0.25">
      <c r="A4425" s="40" t="s">
        <v>132</v>
      </c>
      <c r="B4425" s="40" t="s">
        <v>414</v>
      </c>
      <c r="C4425" s="56">
        <v>21</v>
      </c>
      <c r="D4425">
        <f t="shared" si="140"/>
        <v>26</v>
      </c>
      <c r="E4425" t="str">
        <f t="shared" si="141"/>
        <v>26. Mexico</v>
      </c>
    </row>
    <row r="4426" spans="1:5" x14ac:dyDescent="0.25">
      <c r="A4426" s="40" t="s">
        <v>165</v>
      </c>
      <c r="B4426" s="40" t="s">
        <v>414</v>
      </c>
      <c r="C4426" s="56">
        <v>19.600000000000001</v>
      </c>
      <c r="D4426">
        <f t="shared" si="140"/>
        <v>27</v>
      </c>
      <c r="E4426" t="str">
        <f t="shared" si="141"/>
        <v>27. Portugal</v>
      </c>
    </row>
    <row r="4427" spans="1:5" x14ac:dyDescent="0.25">
      <c r="A4427" s="40" t="s">
        <v>196</v>
      </c>
      <c r="B4427" s="40" t="s">
        <v>414</v>
      </c>
      <c r="C4427" s="56">
        <v>18.5</v>
      </c>
      <c r="D4427">
        <f t="shared" si="140"/>
        <v>28</v>
      </c>
      <c r="E4427" t="str">
        <f t="shared" si="141"/>
        <v>28. Thailand</v>
      </c>
    </row>
    <row r="4428" spans="1:5" x14ac:dyDescent="0.25">
      <c r="A4428" s="40" t="s">
        <v>24</v>
      </c>
      <c r="B4428" s="40" t="s">
        <v>414</v>
      </c>
      <c r="C4428" s="56">
        <v>17.600000000000001</v>
      </c>
      <c r="D4428">
        <f t="shared" si="140"/>
        <v>29</v>
      </c>
      <c r="E4428" t="str">
        <f t="shared" si="141"/>
        <v>29. Belgium</v>
      </c>
    </row>
    <row r="4429" spans="1:5" x14ac:dyDescent="0.25">
      <c r="A4429" s="40" t="s">
        <v>218</v>
      </c>
      <c r="B4429" s="40" t="s">
        <v>414</v>
      </c>
      <c r="C4429" s="56">
        <v>16.7</v>
      </c>
      <c r="D4429">
        <f t="shared" si="140"/>
        <v>30</v>
      </c>
      <c r="E4429" t="str">
        <f t="shared" si="141"/>
        <v>30. South Africa</v>
      </c>
    </row>
    <row r="4430" spans="1:5" x14ac:dyDescent="0.25">
      <c r="A4430" s="40" t="s">
        <v>63</v>
      </c>
      <c r="B4430" s="40" t="s">
        <v>414</v>
      </c>
      <c r="C4430" s="56">
        <v>16.100000000000001</v>
      </c>
      <c r="D4430">
        <f t="shared" si="140"/>
        <v>31</v>
      </c>
      <c r="E4430" t="str">
        <f t="shared" si="141"/>
        <v>31. Denmark</v>
      </c>
    </row>
    <row r="4431" spans="1:5" x14ac:dyDescent="0.25">
      <c r="A4431" s="40" t="s">
        <v>102</v>
      </c>
      <c r="B4431" s="40" t="s">
        <v>414</v>
      </c>
      <c r="C4431" s="56">
        <v>15.4</v>
      </c>
      <c r="D4431">
        <f t="shared" si="140"/>
        <v>32</v>
      </c>
      <c r="E4431" t="str">
        <f t="shared" si="141"/>
        <v>32. Israel</v>
      </c>
    </row>
    <row r="4432" spans="1:5" x14ac:dyDescent="0.25">
      <c r="A4432" s="40" t="s">
        <v>84</v>
      </c>
      <c r="B4432" s="40" t="s">
        <v>414</v>
      </c>
      <c r="C4432" s="56">
        <v>15.1</v>
      </c>
      <c r="D4432">
        <f t="shared" si="140"/>
        <v>33</v>
      </c>
      <c r="E4432" t="str">
        <f t="shared" si="141"/>
        <v>33. Greece</v>
      </c>
    </row>
    <row r="4433" spans="1:5" x14ac:dyDescent="0.25">
      <c r="A4433" s="40" t="s">
        <v>21</v>
      </c>
      <c r="B4433" s="40" t="s">
        <v>414</v>
      </c>
      <c r="C4433" s="56">
        <v>14.5</v>
      </c>
      <c r="D4433">
        <f t="shared" si="140"/>
        <v>34</v>
      </c>
      <c r="E4433" t="str">
        <f t="shared" si="141"/>
        <v>34. Austria</v>
      </c>
    </row>
    <row r="4434" spans="1:5" x14ac:dyDescent="0.25">
      <c r="A4434" s="40" t="s">
        <v>59</v>
      </c>
      <c r="B4434" s="40" t="s">
        <v>414</v>
      </c>
      <c r="C4434" s="56">
        <v>14.4</v>
      </c>
      <c r="D4434">
        <f t="shared" si="140"/>
        <v>35</v>
      </c>
      <c r="E4434" t="str">
        <f t="shared" si="141"/>
        <v>35. Czechia</v>
      </c>
    </row>
    <row r="4435" spans="1:5" x14ac:dyDescent="0.25">
      <c r="A4435" s="40" t="s">
        <v>152</v>
      </c>
      <c r="B4435" s="40" t="s">
        <v>414</v>
      </c>
      <c r="C4435" s="56">
        <v>14.1</v>
      </c>
      <c r="D4435">
        <f t="shared" si="140"/>
        <v>36</v>
      </c>
      <c r="E4435" t="str">
        <f t="shared" si="141"/>
        <v>36. Norway</v>
      </c>
    </row>
    <row r="4436" spans="1:5" x14ac:dyDescent="0.25">
      <c r="A4436" s="40" t="s">
        <v>100</v>
      </c>
      <c r="B4436" s="40" t="s">
        <v>414</v>
      </c>
      <c r="C4436" s="56">
        <v>13.4</v>
      </c>
      <c r="D4436">
        <f t="shared" si="140"/>
        <v>37</v>
      </c>
      <c r="E4436" t="str">
        <f t="shared" si="141"/>
        <v>37. Iraq</v>
      </c>
    </row>
    <row r="4437" spans="1:5" x14ac:dyDescent="0.25">
      <c r="A4437" s="40" t="s">
        <v>207</v>
      </c>
      <c r="B4437" s="40" t="s">
        <v>414</v>
      </c>
      <c r="C4437" s="56">
        <v>13.2</v>
      </c>
      <c r="D4437">
        <f t="shared" si="140"/>
        <v>38</v>
      </c>
      <c r="E4437" t="str">
        <f t="shared" si="141"/>
        <v>38. Ukraine</v>
      </c>
    </row>
    <row r="4438" spans="1:5" x14ac:dyDescent="0.25">
      <c r="A4438" s="40" t="s">
        <v>176</v>
      </c>
      <c r="B4438" s="40" t="s">
        <v>414</v>
      </c>
      <c r="C4438" s="56">
        <v>12.7</v>
      </c>
      <c r="D4438">
        <f t="shared" si="140"/>
        <v>39</v>
      </c>
      <c r="E4438" t="str">
        <f t="shared" si="141"/>
        <v>39. Singapore</v>
      </c>
    </row>
    <row r="4439" spans="1:5" x14ac:dyDescent="0.25">
      <c r="A4439" s="40" t="s">
        <v>71</v>
      </c>
      <c r="B4439" s="40" t="s">
        <v>414</v>
      </c>
      <c r="C4439" s="56">
        <v>12</v>
      </c>
      <c r="D4439">
        <f t="shared" si="140"/>
        <v>40</v>
      </c>
      <c r="E4439" t="str">
        <f t="shared" si="141"/>
        <v>40. Finland</v>
      </c>
    </row>
    <row r="4440" spans="1:5" x14ac:dyDescent="0.25">
      <c r="A4440" s="40" t="s">
        <v>170</v>
      </c>
      <c r="B4440" s="40" t="s">
        <v>414</v>
      </c>
      <c r="C4440" s="56">
        <v>11.7</v>
      </c>
      <c r="D4440">
        <f t="shared" si="140"/>
        <v>41</v>
      </c>
      <c r="E4440" t="str">
        <f t="shared" si="141"/>
        <v>41. Romania</v>
      </c>
    </row>
    <row r="4441" spans="1:5" x14ac:dyDescent="0.25">
      <c r="A4441" s="40" t="s">
        <v>213</v>
      </c>
      <c r="B4441" s="40" t="s">
        <v>414</v>
      </c>
      <c r="C4441" s="56">
        <v>10.5</v>
      </c>
      <c r="D4441">
        <f t="shared" si="140"/>
        <v>42</v>
      </c>
      <c r="E4441" t="str">
        <f t="shared" si="141"/>
        <v>42. Viet Nam</v>
      </c>
    </row>
    <row r="4442" spans="1:5" x14ac:dyDescent="0.25">
      <c r="A4442" s="40" t="s">
        <v>51</v>
      </c>
      <c r="B4442" s="40" t="s">
        <v>414</v>
      </c>
      <c r="C4442" s="56">
        <v>9.6999999999999993</v>
      </c>
      <c r="D4442">
        <f t="shared" si="140"/>
        <v>43</v>
      </c>
      <c r="E4442" t="str">
        <f t="shared" si="141"/>
        <v>43. Colombia</v>
      </c>
    </row>
    <row r="4443" spans="1:5" x14ac:dyDescent="0.25">
      <c r="A4443" s="40" t="s">
        <v>149</v>
      </c>
      <c r="B4443" s="40" t="s">
        <v>414</v>
      </c>
      <c r="C4443" s="56">
        <v>9.4</v>
      </c>
      <c r="D4443">
        <f t="shared" si="140"/>
        <v>44</v>
      </c>
      <c r="E4443" t="str">
        <f t="shared" si="141"/>
        <v>44. Nigeria</v>
      </c>
    </row>
    <row r="4444" spans="1:5" x14ac:dyDescent="0.25">
      <c r="A4444" s="40" t="s">
        <v>98</v>
      </c>
      <c r="B4444" s="40" t="s">
        <v>414</v>
      </c>
      <c r="C4444" s="56">
        <v>9.3000000000000007</v>
      </c>
      <c r="D4444">
        <f t="shared" si="140"/>
        <v>45</v>
      </c>
      <c r="E4444" t="str">
        <f t="shared" si="141"/>
        <v>45. Ireland</v>
      </c>
    </row>
    <row r="4445" spans="1:5" x14ac:dyDescent="0.25">
      <c r="A4445" s="40" t="s">
        <v>155</v>
      </c>
      <c r="B4445" s="40" t="s">
        <v>414</v>
      </c>
      <c r="C4445" s="56">
        <v>9.1999999999999993</v>
      </c>
      <c r="D4445">
        <f t="shared" si="140"/>
        <v>46</v>
      </c>
      <c r="E4445" t="str">
        <f t="shared" si="141"/>
        <v>46. New Zealand</v>
      </c>
    </row>
    <row r="4446" spans="1:5" x14ac:dyDescent="0.25">
      <c r="A4446" s="40" t="s">
        <v>16</v>
      </c>
      <c r="B4446" s="40" t="s">
        <v>414</v>
      </c>
      <c r="C4446" s="56">
        <v>9.1</v>
      </c>
      <c r="D4446">
        <f t="shared" si="140"/>
        <v>47</v>
      </c>
      <c r="E4446" t="str">
        <f t="shared" si="141"/>
        <v>47. Argentina</v>
      </c>
    </row>
    <row r="4447" spans="1:5" x14ac:dyDescent="0.25">
      <c r="A4447" s="40" t="s">
        <v>45</v>
      </c>
      <c r="B4447" s="40" t="s">
        <v>414</v>
      </c>
      <c r="C4447" s="56">
        <v>9.1</v>
      </c>
      <c r="D4447">
        <f t="shared" si="140"/>
        <v>48</v>
      </c>
      <c r="E4447" t="str">
        <f t="shared" si="141"/>
        <v>48. Chile</v>
      </c>
    </row>
    <row r="4448" spans="1:5" x14ac:dyDescent="0.25">
      <c r="A4448" s="40" t="s">
        <v>94</v>
      </c>
      <c r="B4448" s="40" t="s">
        <v>414</v>
      </c>
      <c r="C4448" s="56">
        <v>8.8000000000000007</v>
      </c>
      <c r="D4448">
        <f t="shared" si="140"/>
        <v>49</v>
      </c>
      <c r="E4448" t="str">
        <f t="shared" si="141"/>
        <v>49. Hungary</v>
      </c>
    </row>
    <row r="4449" spans="1:5" x14ac:dyDescent="0.25">
      <c r="A4449" s="40" t="s">
        <v>127</v>
      </c>
      <c r="B4449" s="40" t="s">
        <v>414</v>
      </c>
      <c r="C4449" s="56">
        <v>8.4</v>
      </c>
      <c r="D4449">
        <f t="shared" si="140"/>
        <v>50</v>
      </c>
      <c r="E4449" t="str">
        <f t="shared" si="141"/>
        <v>50. Morocco</v>
      </c>
    </row>
    <row r="4450" spans="1:5" x14ac:dyDescent="0.25">
      <c r="A4450" s="40" t="s">
        <v>65</v>
      </c>
      <c r="B4450" s="40" t="s">
        <v>414</v>
      </c>
      <c r="C4450" s="56">
        <v>7.6</v>
      </c>
      <c r="D4450">
        <f t="shared" si="140"/>
        <v>51</v>
      </c>
      <c r="E4450" t="str">
        <f t="shared" si="141"/>
        <v>51. Algeria</v>
      </c>
    </row>
    <row r="4451" spans="1:5" x14ac:dyDescent="0.25">
      <c r="A4451" s="40" t="s">
        <v>70</v>
      </c>
      <c r="B4451" s="40" t="s">
        <v>414</v>
      </c>
      <c r="C4451" s="56">
        <v>7.2</v>
      </c>
      <c r="D4451">
        <f t="shared" si="140"/>
        <v>52</v>
      </c>
      <c r="E4451" t="str">
        <f t="shared" si="141"/>
        <v>52. Ethiopia</v>
      </c>
    </row>
    <row r="4452" spans="1:5" x14ac:dyDescent="0.25">
      <c r="A4452" s="40" t="s">
        <v>27</v>
      </c>
      <c r="B4452" s="40" t="s">
        <v>414</v>
      </c>
      <c r="C4452" s="56">
        <v>7.1</v>
      </c>
      <c r="D4452">
        <f t="shared" si="140"/>
        <v>53</v>
      </c>
      <c r="E4452" t="str">
        <f t="shared" si="141"/>
        <v>53. Bangladesh</v>
      </c>
    </row>
    <row r="4453" spans="1:5" x14ac:dyDescent="0.25">
      <c r="A4453" s="40" t="s">
        <v>15</v>
      </c>
      <c r="B4453" s="40" t="s">
        <v>414</v>
      </c>
      <c r="C4453" s="56">
        <v>6.4</v>
      </c>
      <c r="D4453">
        <f t="shared" si="140"/>
        <v>54</v>
      </c>
      <c r="E4453" t="str">
        <f t="shared" si="141"/>
        <v>54. United Arab Emirates</v>
      </c>
    </row>
    <row r="4454" spans="1:5" x14ac:dyDescent="0.25">
      <c r="A4454" s="40" t="s">
        <v>92</v>
      </c>
      <c r="B4454" s="40" t="s">
        <v>414</v>
      </c>
      <c r="C4454" s="56">
        <v>5.7</v>
      </c>
      <c r="D4454">
        <f t="shared" si="140"/>
        <v>55</v>
      </c>
      <c r="E4454" t="str">
        <f t="shared" si="141"/>
        <v>55. Croatia</v>
      </c>
    </row>
    <row r="4455" spans="1:5" x14ac:dyDescent="0.25">
      <c r="A4455" s="40" t="s">
        <v>202</v>
      </c>
      <c r="B4455" s="40" t="s">
        <v>414</v>
      </c>
      <c r="C4455" s="56">
        <v>5.7</v>
      </c>
      <c r="D4455">
        <f t="shared" si="140"/>
        <v>56</v>
      </c>
      <c r="E4455" t="str">
        <f t="shared" si="141"/>
        <v>56. Tunisia</v>
      </c>
    </row>
    <row r="4456" spans="1:5" x14ac:dyDescent="0.25">
      <c r="A4456" s="40" t="s">
        <v>182</v>
      </c>
      <c r="B4456" s="40" t="s">
        <v>414</v>
      </c>
      <c r="C4456" s="56">
        <v>5.4</v>
      </c>
      <c r="D4456">
        <f t="shared" si="140"/>
        <v>57</v>
      </c>
      <c r="E4456" t="str">
        <f t="shared" si="141"/>
        <v>57. Serbia</v>
      </c>
    </row>
    <row r="4457" spans="1:5" x14ac:dyDescent="0.25">
      <c r="A4457" s="40" t="s">
        <v>186</v>
      </c>
      <c r="B4457" s="40" t="s">
        <v>414</v>
      </c>
      <c r="C4457" s="56">
        <v>5.4</v>
      </c>
      <c r="D4457">
        <f t="shared" si="140"/>
        <v>58</v>
      </c>
      <c r="E4457" t="str">
        <f t="shared" si="141"/>
        <v>58. Slovak Republic</v>
      </c>
    </row>
    <row r="4458" spans="1:5" x14ac:dyDescent="0.25">
      <c r="A4458" s="40" t="s">
        <v>105</v>
      </c>
      <c r="B4458" s="40" t="s">
        <v>414</v>
      </c>
      <c r="C4458" s="56">
        <v>5.2</v>
      </c>
      <c r="D4458">
        <f t="shared" si="140"/>
        <v>59</v>
      </c>
      <c r="E4458" t="str">
        <f t="shared" si="141"/>
        <v>59. Jordan</v>
      </c>
    </row>
    <row r="4459" spans="1:5" x14ac:dyDescent="0.25">
      <c r="A4459" s="40" t="s">
        <v>28</v>
      </c>
      <c r="B4459" s="40" t="s">
        <v>414</v>
      </c>
      <c r="C4459" s="56">
        <v>4.8</v>
      </c>
      <c r="D4459">
        <f t="shared" si="140"/>
        <v>60</v>
      </c>
      <c r="E4459" t="str">
        <f t="shared" si="141"/>
        <v>60. Bulgaria</v>
      </c>
    </row>
    <row r="4460" spans="1:5" x14ac:dyDescent="0.25">
      <c r="A4460" s="40" t="s">
        <v>159</v>
      </c>
      <c r="B4460" s="40" t="s">
        <v>414</v>
      </c>
      <c r="C4460" s="56">
        <v>4.5999999999999996</v>
      </c>
      <c r="D4460">
        <f t="shared" si="140"/>
        <v>61</v>
      </c>
      <c r="E4460" t="str">
        <f t="shared" si="141"/>
        <v>61. Peru</v>
      </c>
    </row>
    <row r="4461" spans="1:5" x14ac:dyDescent="0.25">
      <c r="A4461" s="40" t="s">
        <v>187</v>
      </c>
      <c r="B4461" s="40" t="s">
        <v>414</v>
      </c>
      <c r="C4461" s="56">
        <v>4.0999999999999996</v>
      </c>
      <c r="D4461">
        <f t="shared" si="140"/>
        <v>62</v>
      </c>
      <c r="E4461" t="str">
        <f t="shared" si="141"/>
        <v>62. Slovenia</v>
      </c>
    </row>
    <row r="4462" spans="1:5" x14ac:dyDescent="0.25">
      <c r="A4462" s="40" t="s">
        <v>160</v>
      </c>
      <c r="B4462" s="40" t="s">
        <v>414</v>
      </c>
      <c r="C4462" s="56">
        <v>4</v>
      </c>
      <c r="D4462">
        <f t="shared" si="140"/>
        <v>63</v>
      </c>
      <c r="E4462" t="str">
        <f t="shared" si="141"/>
        <v>63. Philippines</v>
      </c>
    </row>
    <row r="4463" spans="1:5" x14ac:dyDescent="0.25">
      <c r="A4463" s="40" t="s">
        <v>66</v>
      </c>
      <c r="B4463" s="40" t="s">
        <v>414</v>
      </c>
      <c r="C4463" s="56">
        <v>3.6</v>
      </c>
      <c r="D4463">
        <f t="shared" si="140"/>
        <v>64</v>
      </c>
      <c r="E4463" t="str">
        <f t="shared" si="141"/>
        <v>64. Ecuador</v>
      </c>
    </row>
    <row r="4464" spans="1:5" x14ac:dyDescent="0.25">
      <c r="A4464" s="40" t="s">
        <v>107</v>
      </c>
      <c r="B4464" s="40" t="s">
        <v>414</v>
      </c>
      <c r="C4464" s="56">
        <v>3.6</v>
      </c>
      <c r="D4464">
        <f t="shared" si="140"/>
        <v>65</v>
      </c>
      <c r="E4464" t="str">
        <f t="shared" si="141"/>
        <v>65. Kazakhstan</v>
      </c>
    </row>
    <row r="4465" spans="1:5" x14ac:dyDescent="0.25">
      <c r="A4465" s="40" t="s">
        <v>79</v>
      </c>
      <c r="B4465" s="40" t="s">
        <v>414</v>
      </c>
      <c r="C4465" s="56">
        <v>3.1</v>
      </c>
      <c r="D4465">
        <f t="shared" si="140"/>
        <v>66</v>
      </c>
      <c r="E4465" t="str">
        <f t="shared" si="141"/>
        <v>66. Ghana</v>
      </c>
    </row>
    <row r="4466" spans="1:5" x14ac:dyDescent="0.25">
      <c r="A4466" s="40" t="s">
        <v>123</v>
      </c>
      <c r="B4466" s="40" t="s">
        <v>414</v>
      </c>
      <c r="C4466" s="56">
        <v>3.1</v>
      </c>
      <c r="D4466">
        <f t="shared" si="140"/>
        <v>67</v>
      </c>
      <c r="E4466" t="str">
        <f t="shared" si="141"/>
        <v>67. Lithuania</v>
      </c>
    </row>
    <row r="4467" spans="1:5" x14ac:dyDescent="0.25">
      <c r="A4467" s="40" t="s">
        <v>169</v>
      </c>
      <c r="B4467" s="40" t="s">
        <v>414</v>
      </c>
      <c r="C4467" s="56">
        <v>2.6</v>
      </c>
      <c r="D4467">
        <f t="shared" si="140"/>
        <v>68</v>
      </c>
      <c r="E4467" t="str">
        <f t="shared" si="141"/>
        <v>68. Qatar</v>
      </c>
    </row>
    <row r="4468" spans="1:5" x14ac:dyDescent="0.25">
      <c r="A4468" s="40" t="s">
        <v>121</v>
      </c>
      <c r="B4468" s="40" t="s">
        <v>414</v>
      </c>
      <c r="C4468" s="56">
        <v>2.5</v>
      </c>
      <c r="D4468">
        <f t="shared" si="140"/>
        <v>69</v>
      </c>
      <c r="E4468" t="str">
        <f t="shared" si="141"/>
        <v>69. Sri Lanka</v>
      </c>
    </row>
    <row r="4469" spans="1:5" x14ac:dyDescent="0.25">
      <c r="A4469" s="40" t="s">
        <v>210</v>
      </c>
      <c r="B4469" s="40" t="s">
        <v>414</v>
      </c>
      <c r="C4469" s="56">
        <v>2.2000000000000002</v>
      </c>
      <c r="D4469">
        <f t="shared" si="140"/>
        <v>70</v>
      </c>
      <c r="E4469" t="str">
        <f t="shared" si="141"/>
        <v>70. Uzbekistan</v>
      </c>
    </row>
    <row r="4470" spans="1:5" x14ac:dyDescent="0.25">
      <c r="A4470" s="40" t="s">
        <v>116</v>
      </c>
      <c r="B4470" s="40" t="s">
        <v>414</v>
      </c>
      <c r="C4470" s="56">
        <v>2.1</v>
      </c>
      <c r="D4470">
        <f t="shared" si="140"/>
        <v>71</v>
      </c>
      <c r="E4470" t="str">
        <f t="shared" si="141"/>
        <v>71. Lebanon</v>
      </c>
    </row>
    <row r="4471" spans="1:5" x14ac:dyDescent="0.25">
      <c r="A4471" s="40" t="s">
        <v>108</v>
      </c>
      <c r="B4471" s="40" t="s">
        <v>414</v>
      </c>
      <c r="C4471" s="56">
        <v>2</v>
      </c>
      <c r="D4471">
        <f t="shared" si="140"/>
        <v>72</v>
      </c>
      <c r="E4471" t="str">
        <f t="shared" si="141"/>
        <v>72. Kenya</v>
      </c>
    </row>
    <row r="4472" spans="1:5" x14ac:dyDescent="0.25">
      <c r="A4472" s="40" t="s">
        <v>58</v>
      </c>
      <c r="B4472" s="40" t="s">
        <v>414</v>
      </c>
      <c r="C4472" s="56">
        <v>1.9</v>
      </c>
      <c r="D4472">
        <f t="shared" si="140"/>
        <v>73</v>
      </c>
      <c r="E4472" t="str">
        <f t="shared" si="141"/>
        <v>73. Cyprus</v>
      </c>
    </row>
    <row r="4473" spans="1:5" x14ac:dyDescent="0.25">
      <c r="A4473" s="40" t="s">
        <v>69</v>
      </c>
      <c r="B4473" s="40" t="s">
        <v>414</v>
      </c>
      <c r="C4473" s="56">
        <v>1.8</v>
      </c>
      <c r="D4473">
        <f t="shared" si="140"/>
        <v>74</v>
      </c>
      <c r="E4473" t="str">
        <f t="shared" si="141"/>
        <v>74. Estonia</v>
      </c>
    </row>
    <row r="4474" spans="1:5" x14ac:dyDescent="0.25">
      <c r="A4474" s="40" t="s">
        <v>125</v>
      </c>
      <c r="B4474" s="40" t="s">
        <v>414</v>
      </c>
      <c r="C4474" s="56">
        <v>1.7</v>
      </c>
      <c r="D4474">
        <f t="shared" si="140"/>
        <v>75</v>
      </c>
      <c r="E4474" t="str">
        <f t="shared" si="141"/>
        <v>75. Latvia</v>
      </c>
    </row>
    <row r="4475" spans="1:5" x14ac:dyDescent="0.25">
      <c r="A4475" s="40" t="s">
        <v>153</v>
      </c>
      <c r="B4475" s="40" t="s">
        <v>414</v>
      </c>
      <c r="C4475" s="56">
        <v>1.7</v>
      </c>
      <c r="D4475">
        <f t="shared" si="140"/>
        <v>76</v>
      </c>
      <c r="E4475" t="str">
        <f t="shared" si="141"/>
        <v>76. Nepal</v>
      </c>
    </row>
    <row r="4476" spans="1:5" x14ac:dyDescent="0.25">
      <c r="A4476" s="40" t="s">
        <v>156</v>
      </c>
      <c r="B4476" s="40" t="s">
        <v>414</v>
      </c>
      <c r="C4476" s="56">
        <v>1.6</v>
      </c>
      <c r="D4476">
        <f t="shared" si="140"/>
        <v>77</v>
      </c>
      <c r="E4476" t="str">
        <f t="shared" si="141"/>
        <v>77. Oman</v>
      </c>
    </row>
    <row r="4477" spans="1:5" x14ac:dyDescent="0.25">
      <c r="A4477" s="40" t="s">
        <v>32</v>
      </c>
      <c r="B4477" s="40" t="s">
        <v>414</v>
      </c>
      <c r="C4477" s="56">
        <v>1.5</v>
      </c>
      <c r="D4477">
        <f t="shared" si="140"/>
        <v>78</v>
      </c>
      <c r="E4477" t="str">
        <f t="shared" si="141"/>
        <v>78. Belarus</v>
      </c>
    </row>
    <row r="4478" spans="1:5" x14ac:dyDescent="0.25">
      <c r="A4478" s="40" t="s">
        <v>48</v>
      </c>
      <c r="B4478" s="40" t="s">
        <v>414</v>
      </c>
      <c r="C4478" s="56">
        <v>1.5</v>
      </c>
      <c r="D4478">
        <f t="shared" si="140"/>
        <v>79</v>
      </c>
      <c r="E4478" t="str">
        <f t="shared" si="141"/>
        <v>79. Cameroon</v>
      </c>
    </row>
    <row r="4479" spans="1:5" x14ac:dyDescent="0.25">
      <c r="A4479" s="40" t="s">
        <v>114</v>
      </c>
      <c r="B4479" s="40" t="s">
        <v>414</v>
      </c>
      <c r="C4479" s="56">
        <v>1.3</v>
      </c>
      <c r="D4479">
        <f t="shared" si="140"/>
        <v>80</v>
      </c>
      <c r="E4479" t="str">
        <f t="shared" si="141"/>
        <v>80. Kuwait</v>
      </c>
    </row>
    <row r="4480" spans="1:5" x14ac:dyDescent="0.25">
      <c r="A4480" s="40" t="s">
        <v>22</v>
      </c>
      <c r="B4480" s="40" t="s">
        <v>414</v>
      </c>
      <c r="C4480" s="56">
        <v>1.2</v>
      </c>
      <c r="D4480">
        <f t="shared" si="140"/>
        <v>81</v>
      </c>
      <c r="E4480" t="str">
        <f t="shared" si="141"/>
        <v>81. Azerbaijan</v>
      </c>
    </row>
    <row r="4481" spans="1:5" x14ac:dyDescent="0.25">
      <c r="A4481" s="40" t="s">
        <v>55</v>
      </c>
      <c r="B4481" s="40" t="s">
        <v>414</v>
      </c>
      <c r="C4481" s="56">
        <v>1.2</v>
      </c>
      <c r="D4481">
        <f t="shared" si="140"/>
        <v>82</v>
      </c>
      <c r="E4481" t="str">
        <f t="shared" si="141"/>
        <v>82. Cuba</v>
      </c>
    </row>
    <row r="4482" spans="1:5" x14ac:dyDescent="0.25">
      <c r="A4482" s="40" t="s">
        <v>124</v>
      </c>
      <c r="B4482" s="40" t="s">
        <v>414</v>
      </c>
      <c r="C4482" s="56">
        <v>1.2</v>
      </c>
      <c r="D4482">
        <f t="shared" si="140"/>
        <v>83</v>
      </c>
      <c r="E4482" t="str">
        <f t="shared" si="141"/>
        <v>83. Luxembourg</v>
      </c>
    </row>
    <row r="4483" spans="1:5" x14ac:dyDescent="0.25">
      <c r="A4483" s="40" t="s">
        <v>205</v>
      </c>
      <c r="B4483" s="40" t="s">
        <v>414</v>
      </c>
      <c r="C4483" s="56">
        <v>1.2</v>
      </c>
      <c r="D4483">
        <f t="shared" si="140"/>
        <v>84</v>
      </c>
      <c r="E4483" t="str">
        <f t="shared" si="141"/>
        <v>84. Tanzania</v>
      </c>
    </row>
    <row r="4484" spans="1:5" x14ac:dyDescent="0.25">
      <c r="A4484" s="40" t="s">
        <v>206</v>
      </c>
      <c r="B4484" s="40" t="s">
        <v>414</v>
      </c>
      <c r="C4484" s="56">
        <v>1.2</v>
      </c>
      <c r="D4484">
        <f t="shared" ref="D4484:D4547" si="142">IF(ROW() = 2, 1, IF(B4484 = B4483, D4483 + 1, 1))</f>
        <v>85</v>
      </c>
      <c r="E4484" t="str">
        <f t="shared" ref="E4484:E4547" si="143">_xlfn.CONCAT(D4484, ". ", A4484)</f>
        <v>85. Uganda</v>
      </c>
    </row>
    <row r="4485" spans="1:5" x14ac:dyDescent="0.25">
      <c r="A4485" s="40" t="s">
        <v>208</v>
      </c>
      <c r="B4485" s="40" t="s">
        <v>414</v>
      </c>
      <c r="C4485" s="56">
        <v>1.1000000000000001</v>
      </c>
      <c r="D4485">
        <f t="shared" si="142"/>
        <v>86</v>
      </c>
      <c r="E4485" t="str">
        <f t="shared" si="143"/>
        <v>86. Uruguay</v>
      </c>
    </row>
    <row r="4486" spans="1:5" x14ac:dyDescent="0.25">
      <c r="A4486" s="40" t="s">
        <v>31</v>
      </c>
      <c r="B4486" s="40" t="s">
        <v>414</v>
      </c>
      <c r="C4486" s="56">
        <v>1</v>
      </c>
      <c r="D4486">
        <f t="shared" si="142"/>
        <v>87</v>
      </c>
      <c r="E4486" t="str">
        <f t="shared" si="143"/>
        <v>87. Bosnia and Herzegovina</v>
      </c>
    </row>
    <row r="4487" spans="1:5" x14ac:dyDescent="0.25">
      <c r="A4487" s="40" t="s">
        <v>101</v>
      </c>
      <c r="B4487" s="40" t="s">
        <v>414</v>
      </c>
      <c r="C4487" s="56">
        <v>0.8</v>
      </c>
      <c r="D4487">
        <f t="shared" si="142"/>
        <v>88</v>
      </c>
      <c r="E4487" t="str">
        <f t="shared" si="143"/>
        <v>88. Iceland</v>
      </c>
    </row>
    <row r="4488" spans="1:5" x14ac:dyDescent="0.25">
      <c r="A4488" s="40" t="s">
        <v>17</v>
      </c>
      <c r="B4488" s="40" t="s">
        <v>414</v>
      </c>
      <c r="C4488" s="56">
        <v>0.7</v>
      </c>
      <c r="D4488">
        <f t="shared" si="142"/>
        <v>89</v>
      </c>
      <c r="E4488" t="str">
        <f t="shared" si="143"/>
        <v>89. Armenia</v>
      </c>
    </row>
    <row r="4489" spans="1:5" x14ac:dyDescent="0.25">
      <c r="A4489" s="40" t="s">
        <v>29</v>
      </c>
      <c r="B4489" s="40" t="s">
        <v>414</v>
      </c>
      <c r="C4489" s="56">
        <v>0.7</v>
      </c>
      <c r="D4489">
        <f t="shared" si="142"/>
        <v>90</v>
      </c>
      <c r="E4489" t="str">
        <f t="shared" si="143"/>
        <v>90. Bahrain</v>
      </c>
    </row>
    <row r="4490" spans="1:5" x14ac:dyDescent="0.25">
      <c r="A4490" s="40" t="s">
        <v>54</v>
      </c>
      <c r="B4490" s="40" t="s">
        <v>414</v>
      </c>
      <c r="C4490" s="56">
        <v>0.7</v>
      </c>
      <c r="D4490">
        <f t="shared" si="142"/>
        <v>91</v>
      </c>
      <c r="E4490" t="str">
        <f t="shared" si="143"/>
        <v>91. Costa Rica</v>
      </c>
    </row>
    <row r="4491" spans="1:5" x14ac:dyDescent="0.25">
      <c r="A4491" s="40" t="s">
        <v>167</v>
      </c>
      <c r="B4491" s="40" t="s">
        <v>414</v>
      </c>
      <c r="C4491" s="56">
        <v>0.7</v>
      </c>
      <c r="D4491">
        <f t="shared" si="142"/>
        <v>92</v>
      </c>
      <c r="E4491" t="str">
        <f t="shared" si="143"/>
        <v>92. West Bank and Gaza</v>
      </c>
    </row>
    <row r="4492" spans="1:5" x14ac:dyDescent="0.25">
      <c r="A4492" s="40" t="s">
        <v>78</v>
      </c>
      <c r="B4492" s="40" t="s">
        <v>414</v>
      </c>
      <c r="C4492" s="56">
        <v>0.6</v>
      </c>
      <c r="D4492">
        <f t="shared" si="142"/>
        <v>93</v>
      </c>
      <c r="E4492" t="str">
        <f t="shared" si="143"/>
        <v>93. Georgia</v>
      </c>
    </row>
    <row r="4493" spans="1:5" x14ac:dyDescent="0.25">
      <c r="A4493" s="40" t="s">
        <v>136</v>
      </c>
      <c r="B4493" s="40" t="s">
        <v>414</v>
      </c>
      <c r="C4493" s="56">
        <v>0.6</v>
      </c>
      <c r="D4493">
        <f t="shared" si="142"/>
        <v>94</v>
      </c>
      <c r="E4493" t="str">
        <f t="shared" si="143"/>
        <v>94. Malta</v>
      </c>
    </row>
    <row r="4494" spans="1:5" x14ac:dyDescent="0.25">
      <c r="A4494" s="40" t="s">
        <v>164</v>
      </c>
      <c r="B4494" s="40" t="s">
        <v>414</v>
      </c>
      <c r="C4494" s="56">
        <v>0.6</v>
      </c>
      <c r="D4494">
        <f t="shared" si="142"/>
        <v>95</v>
      </c>
      <c r="E4494" t="str">
        <f t="shared" si="143"/>
        <v>95. Puerto Rico (US)</v>
      </c>
    </row>
    <row r="4495" spans="1:5" x14ac:dyDescent="0.25">
      <c r="A4495" s="40" t="s">
        <v>192</v>
      </c>
      <c r="B4495" s="40" t="s">
        <v>414</v>
      </c>
      <c r="C4495" s="56">
        <v>0.6</v>
      </c>
      <c r="D4495">
        <f t="shared" si="142"/>
        <v>96</v>
      </c>
      <c r="E4495" t="str">
        <f t="shared" si="143"/>
        <v>96. Syrian Arab Republic</v>
      </c>
    </row>
    <row r="4496" spans="1:5" x14ac:dyDescent="0.25">
      <c r="A4496" s="40" t="s">
        <v>220</v>
      </c>
      <c r="B4496" s="40" t="s">
        <v>414</v>
      </c>
      <c r="C4496" s="56">
        <v>0.6</v>
      </c>
      <c r="D4496">
        <f t="shared" si="142"/>
        <v>97</v>
      </c>
      <c r="E4496" t="str">
        <f t="shared" si="143"/>
        <v>97. Zimbabwe</v>
      </c>
    </row>
    <row r="4497" spans="1:5" x14ac:dyDescent="0.25">
      <c r="A4497" s="40" t="s">
        <v>134</v>
      </c>
      <c r="B4497" s="40" t="s">
        <v>414</v>
      </c>
      <c r="C4497" s="56">
        <v>0.5</v>
      </c>
      <c r="D4497">
        <f t="shared" si="142"/>
        <v>98</v>
      </c>
      <c r="E4497" t="str">
        <f t="shared" si="143"/>
        <v>98. North Macedonia</v>
      </c>
    </row>
    <row r="4498" spans="1:5" x14ac:dyDescent="0.25">
      <c r="A4498" s="40" t="s">
        <v>175</v>
      </c>
      <c r="B4498" s="40" t="s">
        <v>414</v>
      </c>
      <c r="C4498" s="56">
        <v>0.5</v>
      </c>
      <c r="D4498">
        <f t="shared" si="142"/>
        <v>99</v>
      </c>
      <c r="E4498" t="str">
        <f t="shared" si="143"/>
        <v>99. Senegal</v>
      </c>
    </row>
    <row r="4499" spans="1:5" x14ac:dyDescent="0.25">
      <c r="A4499" s="40" t="s">
        <v>174</v>
      </c>
      <c r="B4499" s="40" t="s">
        <v>414</v>
      </c>
      <c r="C4499" s="56">
        <v>0.5</v>
      </c>
      <c r="D4499">
        <f t="shared" si="142"/>
        <v>100</v>
      </c>
      <c r="E4499" t="str">
        <f t="shared" si="143"/>
        <v>100. Sudan</v>
      </c>
    </row>
    <row r="4500" spans="1:5" x14ac:dyDescent="0.25">
      <c r="A4500" s="40" t="s">
        <v>223</v>
      </c>
      <c r="B4500" s="40" t="s">
        <v>414</v>
      </c>
      <c r="C4500" s="56">
        <v>0.5</v>
      </c>
      <c r="D4500">
        <f t="shared" si="142"/>
        <v>101</v>
      </c>
      <c r="E4500" t="str">
        <f t="shared" si="143"/>
        <v>101. Venezuela, RB</v>
      </c>
    </row>
    <row r="4501" spans="1:5" x14ac:dyDescent="0.25">
      <c r="A4501" s="40" t="s">
        <v>25</v>
      </c>
      <c r="B4501" s="40" t="s">
        <v>414</v>
      </c>
      <c r="C4501" s="56">
        <v>0.4</v>
      </c>
      <c r="D4501">
        <f t="shared" si="142"/>
        <v>102</v>
      </c>
      <c r="E4501" t="str">
        <f t="shared" si="143"/>
        <v>102. Benin</v>
      </c>
    </row>
    <row r="4502" spans="1:5" x14ac:dyDescent="0.25">
      <c r="A4502" s="40" t="s">
        <v>40</v>
      </c>
      <c r="B4502" s="40" t="s">
        <v>414</v>
      </c>
      <c r="C4502" s="56">
        <v>0.4</v>
      </c>
      <c r="D4502">
        <f t="shared" si="142"/>
        <v>103</v>
      </c>
      <c r="E4502" t="str">
        <f t="shared" si="143"/>
        <v>103. Botswana</v>
      </c>
    </row>
    <row r="4503" spans="1:5" x14ac:dyDescent="0.25">
      <c r="A4503" s="40" t="s">
        <v>38</v>
      </c>
      <c r="B4503" s="40" t="s">
        <v>414</v>
      </c>
      <c r="C4503" s="56">
        <v>0.4</v>
      </c>
      <c r="D4503">
        <f t="shared" si="142"/>
        <v>104</v>
      </c>
      <c r="E4503" t="str">
        <f t="shared" si="143"/>
        <v>104. Brunei Darussalam</v>
      </c>
    </row>
    <row r="4504" spans="1:5" x14ac:dyDescent="0.25">
      <c r="A4504" s="40" t="s">
        <v>26</v>
      </c>
      <c r="B4504" s="40" t="s">
        <v>414</v>
      </c>
      <c r="C4504" s="56">
        <v>0.4</v>
      </c>
      <c r="D4504">
        <f t="shared" si="142"/>
        <v>105</v>
      </c>
      <c r="E4504" t="str">
        <f t="shared" si="143"/>
        <v>105. Burkina Faso</v>
      </c>
    </row>
    <row r="4505" spans="1:5" x14ac:dyDescent="0.25">
      <c r="A4505" s="40" t="s">
        <v>216</v>
      </c>
      <c r="B4505" s="40" t="s">
        <v>414</v>
      </c>
      <c r="C4505" s="56">
        <v>0.4</v>
      </c>
      <c r="D4505">
        <f t="shared" si="142"/>
        <v>106</v>
      </c>
      <c r="E4505" t="str">
        <f t="shared" si="143"/>
        <v>106. Kosovo</v>
      </c>
    </row>
    <row r="4506" spans="1:5" x14ac:dyDescent="0.25">
      <c r="A4506" s="40" t="s">
        <v>118</v>
      </c>
      <c r="B4506" s="40" t="s">
        <v>414</v>
      </c>
      <c r="C4506" s="56">
        <v>0.4</v>
      </c>
      <c r="D4506">
        <f t="shared" si="142"/>
        <v>107</v>
      </c>
      <c r="E4506" t="str">
        <f t="shared" si="143"/>
        <v>107. Libya</v>
      </c>
    </row>
    <row r="4507" spans="1:5" x14ac:dyDescent="0.25">
      <c r="A4507" s="40" t="s">
        <v>144</v>
      </c>
      <c r="B4507" s="40" t="s">
        <v>414</v>
      </c>
      <c r="C4507" s="56">
        <v>0.4</v>
      </c>
      <c r="D4507">
        <f t="shared" si="142"/>
        <v>108</v>
      </c>
      <c r="E4507" t="str">
        <f t="shared" si="143"/>
        <v>108. Malawi</v>
      </c>
    </row>
    <row r="4508" spans="1:5" x14ac:dyDescent="0.25">
      <c r="A4508" s="40" t="s">
        <v>158</v>
      </c>
      <c r="B4508" s="40" t="s">
        <v>414</v>
      </c>
      <c r="C4508" s="56">
        <v>0.4</v>
      </c>
      <c r="D4508">
        <f t="shared" si="142"/>
        <v>109</v>
      </c>
      <c r="E4508" t="str">
        <f t="shared" si="143"/>
        <v>109. Panama</v>
      </c>
    </row>
    <row r="4509" spans="1:5" x14ac:dyDescent="0.25">
      <c r="A4509" s="40" t="s">
        <v>172</v>
      </c>
      <c r="B4509" s="40" t="s">
        <v>414</v>
      </c>
      <c r="C4509" s="56">
        <v>0.4</v>
      </c>
      <c r="D4509">
        <f t="shared" si="142"/>
        <v>110</v>
      </c>
      <c r="E4509" t="str">
        <f t="shared" si="143"/>
        <v>110. Rwanda</v>
      </c>
    </row>
    <row r="4510" spans="1:5" x14ac:dyDescent="0.25">
      <c r="A4510" s="40" t="s">
        <v>217</v>
      </c>
      <c r="B4510" s="40" t="s">
        <v>414</v>
      </c>
      <c r="C4510" s="56">
        <v>0.4</v>
      </c>
      <c r="D4510">
        <f t="shared" si="142"/>
        <v>111</v>
      </c>
      <c r="E4510" t="str">
        <f t="shared" si="143"/>
        <v>111. Yemen, Rep.</v>
      </c>
    </row>
    <row r="4511" spans="1:5" x14ac:dyDescent="0.25">
      <c r="A4511" s="40" t="s">
        <v>47</v>
      </c>
      <c r="B4511" s="40" t="s">
        <v>414</v>
      </c>
      <c r="C4511" s="56">
        <v>0.3</v>
      </c>
      <c r="D4511">
        <f t="shared" si="142"/>
        <v>112</v>
      </c>
      <c r="E4511" t="str">
        <f t="shared" si="143"/>
        <v>112. Cote d'Ivoire</v>
      </c>
    </row>
    <row r="4512" spans="1:5" x14ac:dyDescent="0.25">
      <c r="A4512" s="40" t="s">
        <v>385</v>
      </c>
      <c r="B4512" s="40" t="s">
        <v>414</v>
      </c>
      <c r="C4512" s="56">
        <v>0.3</v>
      </c>
      <c r="D4512">
        <f t="shared" si="142"/>
        <v>113</v>
      </c>
      <c r="E4512" t="str">
        <f t="shared" si="143"/>
        <v>113. Korea, Dem. People's Rep.</v>
      </c>
    </row>
    <row r="4513" spans="1:5" x14ac:dyDescent="0.25">
      <c r="A4513" s="40" t="s">
        <v>129</v>
      </c>
      <c r="B4513" s="40" t="s">
        <v>414</v>
      </c>
      <c r="C4513" s="56">
        <v>0.3</v>
      </c>
      <c r="D4513">
        <f t="shared" si="142"/>
        <v>114</v>
      </c>
      <c r="E4513" t="str">
        <f t="shared" si="143"/>
        <v>114. Moldova</v>
      </c>
    </row>
    <row r="4514" spans="1:5" x14ac:dyDescent="0.25">
      <c r="A4514" s="40" t="s">
        <v>139</v>
      </c>
      <c r="B4514" s="40" t="s">
        <v>414</v>
      </c>
      <c r="C4514" s="56">
        <v>0.3</v>
      </c>
      <c r="D4514">
        <f t="shared" si="142"/>
        <v>115</v>
      </c>
      <c r="E4514" t="str">
        <f t="shared" si="143"/>
        <v>115. Mongolia</v>
      </c>
    </row>
    <row r="4515" spans="1:5" x14ac:dyDescent="0.25">
      <c r="A4515" s="40" t="s">
        <v>138</v>
      </c>
      <c r="B4515" s="40" t="s">
        <v>414</v>
      </c>
      <c r="C4515" s="56">
        <v>0.3</v>
      </c>
      <c r="D4515">
        <f t="shared" si="142"/>
        <v>116</v>
      </c>
      <c r="E4515" t="str">
        <f t="shared" si="143"/>
        <v>116. Montenegro</v>
      </c>
    </row>
    <row r="4516" spans="1:5" x14ac:dyDescent="0.25">
      <c r="A4516" s="40" t="s">
        <v>201</v>
      </c>
      <c r="B4516" s="40" t="s">
        <v>414</v>
      </c>
      <c r="C4516" s="56">
        <v>0.3</v>
      </c>
      <c r="D4516">
        <f t="shared" si="142"/>
        <v>117</v>
      </c>
      <c r="E4516" t="str">
        <f t="shared" si="143"/>
        <v>117. Trinidad and Tobago</v>
      </c>
    </row>
    <row r="4517" spans="1:5" x14ac:dyDescent="0.25">
      <c r="A4517" s="40" t="s">
        <v>219</v>
      </c>
      <c r="B4517" s="40" t="s">
        <v>414</v>
      </c>
      <c r="C4517" s="56">
        <v>0.3</v>
      </c>
      <c r="D4517">
        <f t="shared" si="142"/>
        <v>118</v>
      </c>
      <c r="E4517" t="str">
        <f t="shared" si="143"/>
        <v>118. Zambia</v>
      </c>
    </row>
    <row r="4518" spans="1:5" x14ac:dyDescent="0.25">
      <c r="A4518" s="40" t="s">
        <v>11</v>
      </c>
      <c r="B4518" s="40" t="s">
        <v>414</v>
      </c>
      <c r="C4518" s="56">
        <v>0.2</v>
      </c>
      <c r="D4518">
        <f t="shared" si="142"/>
        <v>119</v>
      </c>
      <c r="E4518" t="str">
        <f t="shared" si="143"/>
        <v>119. Afghanistan</v>
      </c>
    </row>
    <row r="4519" spans="1:5" x14ac:dyDescent="0.25">
      <c r="A4519" s="40" t="s">
        <v>13</v>
      </c>
      <c r="B4519" s="40" t="s">
        <v>414</v>
      </c>
      <c r="C4519" s="56">
        <v>0.2</v>
      </c>
      <c r="D4519">
        <f t="shared" si="142"/>
        <v>120</v>
      </c>
      <c r="E4519" t="str">
        <f t="shared" si="143"/>
        <v>120. Albania</v>
      </c>
    </row>
    <row r="4520" spans="1:5" x14ac:dyDescent="0.25">
      <c r="A4520" s="40" t="s">
        <v>35</v>
      </c>
      <c r="B4520" s="40" t="s">
        <v>414</v>
      </c>
      <c r="C4520" s="56">
        <v>0.2</v>
      </c>
      <c r="D4520">
        <f t="shared" si="142"/>
        <v>121</v>
      </c>
      <c r="E4520" t="str">
        <f t="shared" si="143"/>
        <v>121. Bolivia</v>
      </c>
    </row>
    <row r="4521" spans="1:5" x14ac:dyDescent="0.25">
      <c r="A4521" s="40" t="s">
        <v>110</v>
      </c>
      <c r="B4521" s="40" t="s">
        <v>414</v>
      </c>
      <c r="C4521" s="56">
        <v>0.2</v>
      </c>
      <c r="D4521">
        <f t="shared" si="142"/>
        <v>122</v>
      </c>
      <c r="E4521" t="str">
        <f t="shared" si="143"/>
        <v>122. Cambodia</v>
      </c>
    </row>
    <row r="4522" spans="1:5" x14ac:dyDescent="0.25">
      <c r="A4522" s="40" t="s">
        <v>49</v>
      </c>
      <c r="B4522" s="40" t="s">
        <v>414</v>
      </c>
      <c r="C4522" s="56">
        <v>0.2</v>
      </c>
      <c r="D4522">
        <f t="shared" si="142"/>
        <v>123</v>
      </c>
      <c r="E4522" t="str">
        <f t="shared" si="143"/>
        <v>123. Congo, Dem. Rep.</v>
      </c>
    </row>
    <row r="4523" spans="1:5" x14ac:dyDescent="0.25">
      <c r="A4523" s="40" t="s">
        <v>72</v>
      </c>
      <c r="B4523" s="40" t="s">
        <v>414</v>
      </c>
      <c r="C4523" s="56">
        <v>0.2</v>
      </c>
      <c r="D4523">
        <f t="shared" si="142"/>
        <v>124</v>
      </c>
      <c r="E4523" t="str">
        <f t="shared" si="143"/>
        <v>124. Fiji</v>
      </c>
    </row>
    <row r="4524" spans="1:5" x14ac:dyDescent="0.25">
      <c r="A4524" s="40" t="s">
        <v>91</v>
      </c>
      <c r="B4524" s="40" t="s">
        <v>414</v>
      </c>
      <c r="C4524" s="56">
        <v>0.2</v>
      </c>
      <c r="D4524">
        <f t="shared" si="142"/>
        <v>125</v>
      </c>
      <c r="E4524" t="str">
        <f t="shared" si="143"/>
        <v>125. Honduras</v>
      </c>
    </row>
    <row r="4525" spans="1:5" x14ac:dyDescent="0.25">
      <c r="A4525" s="40" t="s">
        <v>104</v>
      </c>
      <c r="B4525" s="40" t="s">
        <v>414</v>
      </c>
      <c r="C4525" s="56">
        <v>0.2</v>
      </c>
      <c r="D4525">
        <f t="shared" si="142"/>
        <v>126</v>
      </c>
      <c r="E4525" t="str">
        <f t="shared" si="143"/>
        <v>126. Jamaica</v>
      </c>
    </row>
    <row r="4526" spans="1:5" x14ac:dyDescent="0.25">
      <c r="A4526" s="40" t="s">
        <v>109</v>
      </c>
      <c r="B4526" s="40" t="s">
        <v>414</v>
      </c>
      <c r="C4526" s="56">
        <v>0.2</v>
      </c>
      <c r="D4526">
        <f t="shared" si="142"/>
        <v>127</v>
      </c>
      <c r="E4526" t="str">
        <f t="shared" si="143"/>
        <v>127. Kyrgyz Republic</v>
      </c>
    </row>
    <row r="4527" spans="1:5" x14ac:dyDescent="0.25">
      <c r="A4527" s="40" t="s">
        <v>130</v>
      </c>
      <c r="B4527" s="40" t="s">
        <v>414</v>
      </c>
      <c r="C4527" s="56">
        <v>0.2</v>
      </c>
      <c r="D4527">
        <f t="shared" si="142"/>
        <v>128</v>
      </c>
      <c r="E4527" t="str">
        <f t="shared" si="143"/>
        <v>128. Madagascar</v>
      </c>
    </row>
    <row r="4528" spans="1:5" x14ac:dyDescent="0.25">
      <c r="A4528" s="40" t="s">
        <v>143</v>
      </c>
      <c r="B4528" s="40" t="s">
        <v>414</v>
      </c>
      <c r="C4528" s="56">
        <v>0.2</v>
      </c>
      <c r="D4528">
        <f t="shared" si="142"/>
        <v>129</v>
      </c>
      <c r="E4528" t="str">
        <f t="shared" si="143"/>
        <v>129. Mauritius</v>
      </c>
    </row>
    <row r="4529" spans="1:5" x14ac:dyDescent="0.25">
      <c r="A4529" s="40" t="s">
        <v>141</v>
      </c>
      <c r="B4529" s="40" t="s">
        <v>414</v>
      </c>
      <c r="C4529" s="56">
        <v>0.2</v>
      </c>
      <c r="D4529">
        <f t="shared" si="142"/>
        <v>130</v>
      </c>
      <c r="E4529" t="str">
        <f t="shared" si="143"/>
        <v>130. Mozambique</v>
      </c>
    </row>
    <row r="4530" spans="1:5" x14ac:dyDescent="0.25">
      <c r="A4530" s="40" t="s">
        <v>137</v>
      </c>
      <c r="B4530" s="40" t="s">
        <v>414</v>
      </c>
      <c r="C4530" s="56">
        <v>0.2</v>
      </c>
      <c r="D4530">
        <f t="shared" si="142"/>
        <v>131</v>
      </c>
      <c r="E4530" t="str">
        <f t="shared" si="143"/>
        <v>131. Myanmar</v>
      </c>
    </row>
    <row r="4531" spans="1:5" x14ac:dyDescent="0.25">
      <c r="A4531" s="40" t="s">
        <v>146</v>
      </c>
      <c r="B4531" s="40" t="s">
        <v>414</v>
      </c>
      <c r="C4531" s="56">
        <v>0.2</v>
      </c>
      <c r="D4531">
        <f t="shared" si="142"/>
        <v>132</v>
      </c>
      <c r="E4531" t="str">
        <f t="shared" si="143"/>
        <v>132. Namibia</v>
      </c>
    </row>
    <row r="4532" spans="1:5" x14ac:dyDescent="0.25">
      <c r="A4532" s="40" t="s">
        <v>166</v>
      </c>
      <c r="B4532" s="40" t="s">
        <v>414</v>
      </c>
      <c r="C4532" s="56">
        <v>0.2</v>
      </c>
      <c r="D4532">
        <f t="shared" si="142"/>
        <v>133</v>
      </c>
      <c r="E4532" t="str">
        <f t="shared" si="143"/>
        <v>133. Paraguay</v>
      </c>
    </row>
    <row r="4533" spans="1:5" x14ac:dyDescent="0.25">
      <c r="A4533" s="40" t="s">
        <v>37</v>
      </c>
      <c r="B4533" s="40" t="s">
        <v>414</v>
      </c>
      <c r="C4533" s="56">
        <v>0.1</v>
      </c>
      <c r="D4533">
        <f t="shared" si="142"/>
        <v>134</v>
      </c>
      <c r="E4533" t="str">
        <f t="shared" si="143"/>
        <v>134. Barbados</v>
      </c>
    </row>
    <row r="4534" spans="1:5" x14ac:dyDescent="0.25">
      <c r="A4534" s="40" t="s">
        <v>39</v>
      </c>
      <c r="B4534" s="40" t="s">
        <v>414</v>
      </c>
      <c r="C4534" s="56">
        <v>0.1</v>
      </c>
      <c r="D4534">
        <f t="shared" si="142"/>
        <v>135</v>
      </c>
      <c r="E4534" t="str">
        <f t="shared" si="143"/>
        <v>135. Bhutan</v>
      </c>
    </row>
    <row r="4535" spans="1:5" x14ac:dyDescent="0.25">
      <c r="A4535" s="40" t="s">
        <v>50</v>
      </c>
      <c r="B4535" s="40" t="s">
        <v>414</v>
      </c>
      <c r="C4535" s="56">
        <v>0.1</v>
      </c>
      <c r="D4535">
        <f t="shared" si="142"/>
        <v>136</v>
      </c>
      <c r="E4535" t="str">
        <f t="shared" si="143"/>
        <v>136. Congo, Rep.</v>
      </c>
    </row>
    <row r="4536" spans="1:5" x14ac:dyDescent="0.25">
      <c r="A4536" s="40" t="s">
        <v>64</v>
      </c>
      <c r="B4536" s="40" t="s">
        <v>414</v>
      </c>
      <c r="C4536" s="56">
        <v>0.1</v>
      </c>
      <c r="D4536">
        <f t="shared" si="142"/>
        <v>137</v>
      </c>
      <c r="E4536" t="str">
        <f t="shared" si="143"/>
        <v>137. Dominican Republic</v>
      </c>
    </row>
    <row r="4537" spans="1:5" x14ac:dyDescent="0.25">
      <c r="A4537" s="40" t="s">
        <v>179</v>
      </c>
      <c r="B4537" s="40" t="s">
        <v>414</v>
      </c>
      <c r="C4537" s="56">
        <v>0.1</v>
      </c>
      <c r="D4537">
        <f t="shared" si="142"/>
        <v>138</v>
      </c>
      <c r="E4537" t="str">
        <f t="shared" si="143"/>
        <v>138. El Salvador</v>
      </c>
    </row>
    <row r="4538" spans="1:5" x14ac:dyDescent="0.25">
      <c r="A4538" s="40" t="s">
        <v>76</v>
      </c>
      <c r="B4538" s="40" t="s">
        <v>414</v>
      </c>
      <c r="C4538" s="56">
        <v>0.1</v>
      </c>
      <c r="D4538">
        <f t="shared" si="142"/>
        <v>139</v>
      </c>
      <c r="E4538" t="str">
        <f t="shared" si="143"/>
        <v>139. Gabon</v>
      </c>
    </row>
    <row r="4539" spans="1:5" x14ac:dyDescent="0.25">
      <c r="A4539" s="40" t="s">
        <v>81</v>
      </c>
      <c r="B4539" s="40" t="s">
        <v>414</v>
      </c>
      <c r="C4539" s="56">
        <v>0.1</v>
      </c>
      <c r="D4539">
        <f t="shared" si="142"/>
        <v>140</v>
      </c>
      <c r="E4539" t="str">
        <f t="shared" si="143"/>
        <v>140. Gambia, The</v>
      </c>
    </row>
    <row r="4540" spans="1:5" x14ac:dyDescent="0.25">
      <c r="A4540" s="40" t="s">
        <v>85</v>
      </c>
      <c r="B4540" s="40" t="s">
        <v>414</v>
      </c>
      <c r="C4540" s="56">
        <v>0.1</v>
      </c>
      <c r="D4540">
        <f t="shared" si="142"/>
        <v>141</v>
      </c>
      <c r="E4540" t="str">
        <f t="shared" si="143"/>
        <v>141. Grenada</v>
      </c>
    </row>
    <row r="4541" spans="1:5" x14ac:dyDescent="0.25">
      <c r="A4541" s="40" t="s">
        <v>87</v>
      </c>
      <c r="B4541" s="40" t="s">
        <v>414</v>
      </c>
      <c r="C4541" s="56">
        <v>0.1</v>
      </c>
      <c r="D4541">
        <f t="shared" si="142"/>
        <v>142</v>
      </c>
      <c r="E4541" t="str">
        <f t="shared" si="143"/>
        <v>142. Guatemala</v>
      </c>
    </row>
    <row r="4542" spans="1:5" x14ac:dyDescent="0.25">
      <c r="A4542" s="40" t="s">
        <v>115</v>
      </c>
      <c r="B4542" s="40" t="s">
        <v>414</v>
      </c>
      <c r="C4542" s="56">
        <v>0.1</v>
      </c>
      <c r="D4542">
        <f t="shared" si="142"/>
        <v>143</v>
      </c>
      <c r="E4542" t="str">
        <f t="shared" si="143"/>
        <v>143. Lao PDR</v>
      </c>
    </row>
    <row r="4543" spans="1:5" x14ac:dyDescent="0.25">
      <c r="A4543" s="40" t="s">
        <v>135</v>
      </c>
      <c r="B4543" s="40" t="s">
        <v>414</v>
      </c>
      <c r="C4543" s="56">
        <v>0.1</v>
      </c>
      <c r="D4543">
        <f t="shared" si="142"/>
        <v>144</v>
      </c>
      <c r="E4543" t="str">
        <f t="shared" si="143"/>
        <v>144. Mali</v>
      </c>
    </row>
    <row r="4544" spans="1:5" x14ac:dyDescent="0.25">
      <c r="A4544" s="40" t="s">
        <v>128</v>
      </c>
      <c r="B4544" s="40" t="s">
        <v>414</v>
      </c>
      <c r="C4544" s="56">
        <v>0.1</v>
      </c>
      <c r="D4544">
        <f t="shared" si="142"/>
        <v>145</v>
      </c>
      <c r="E4544" t="str">
        <f t="shared" si="143"/>
        <v>145. Monaco</v>
      </c>
    </row>
    <row r="4545" spans="1:5" x14ac:dyDescent="0.25">
      <c r="A4545" s="40" t="s">
        <v>148</v>
      </c>
      <c r="B4545" s="40" t="s">
        <v>414</v>
      </c>
      <c r="C4545" s="56">
        <v>0.1</v>
      </c>
      <c r="D4545">
        <f t="shared" si="142"/>
        <v>146</v>
      </c>
      <c r="E4545" t="str">
        <f t="shared" si="143"/>
        <v>146. Niger</v>
      </c>
    </row>
    <row r="4546" spans="1:5" x14ac:dyDescent="0.25">
      <c r="A4546" s="40" t="s">
        <v>162</v>
      </c>
      <c r="B4546" s="40" t="s">
        <v>414</v>
      </c>
      <c r="C4546" s="56">
        <v>0.1</v>
      </c>
      <c r="D4546">
        <f t="shared" si="142"/>
        <v>147</v>
      </c>
      <c r="E4546" t="str">
        <f t="shared" si="143"/>
        <v>147. Papua New Guinea</v>
      </c>
    </row>
    <row r="4547" spans="1:5" x14ac:dyDescent="0.25">
      <c r="A4547" s="40" t="s">
        <v>178</v>
      </c>
      <c r="B4547" s="40" t="s">
        <v>414</v>
      </c>
      <c r="C4547" s="56">
        <v>0.1</v>
      </c>
      <c r="D4547">
        <f t="shared" si="142"/>
        <v>148</v>
      </c>
      <c r="E4547" t="str">
        <f t="shared" si="143"/>
        <v>148. Sierra Leone</v>
      </c>
    </row>
    <row r="4548" spans="1:5" x14ac:dyDescent="0.25">
      <c r="A4548" s="40" t="s">
        <v>222</v>
      </c>
      <c r="B4548" s="40" t="s">
        <v>414</v>
      </c>
      <c r="C4548" s="56">
        <v>0.1</v>
      </c>
      <c r="D4548">
        <f t="shared" ref="D4548:D4611" si="144">IF(ROW() = 2, 1, IF(B4548 = B4547, D4547 + 1, 1))</f>
        <v>149</v>
      </c>
      <c r="E4548" t="str">
        <f t="shared" ref="E4548:E4611" si="145">_xlfn.CONCAT(D4548, ". ", A4548)</f>
        <v>149. Somalia, Fed. Rep.</v>
      </c>
    </row>
    <row r="4549" spans="1:5" x14ac:dyDescent="0.25">
      <c r="A4549" s="40" t="s">
        <v>197</v>
      </c>
      <c r="B4549" s="40" t="s">
        <v>414</v>
      </c>
      <c r="C4549" s="56">
        <v>0.1</v>
      </c>
      <c r="D4549">
        <f t="shared" si="144"/>
        <v>150</v>
      </c>
      <c r="E4549" t="str">
        <f t="shared" si="145"/>
        <v>150. Tajikistan</v>
      </c>
    </row>
    <row r="4550" spans="1:5" x14ac:dyDescent="0.25">
      <c r="A4550" s="40" t="s">
        <v>195</v>
      </c>
      <c r="B4550" s="40" t="s">
        <v>414</v>
      </c>
      <c r="C4550" s="56">
        <v>0.1</v>
      </c>
      <c r="D4550">
        <f t="shared" si="144"/>
        <v>151</v>
      </c>
      <c r="E4550" t="str">
        <f t="shared" si="145"/>
        <v>151. Togo</v>
      </c>
    </row>
    <row r="4551" spans="1:5" x14ac:dyDescent="0.25">
      <c r="A4551" s="40" t="s">
        <v>14</v>
      </c>
      <c r="B4551" s="40" t="s">
        <v>414</v>
      </c>
      <c r="C4551" s="56">
        <v>0</v>
      </c>
      <c r="D4551">
        <f t="shared" si="144"/>
        <v>152</v>
      </c>
      <c r="E4551" t="str">
        <f t="shared" si="145"/>
        <v>152. Andorra</v>
      </c>
    </row>
    <row r="4552" spans="1:5" x14ac:dyDescent="0.25">
      <c r="A4552" s="40" t="s">
        <v>12</v>
      </c>
      <c r="B4552" s="40" t="s">
        <v>414</v>
      </c>
      <c r="C4552" s="56">
        <v>0</v>
      </c>
      <c r="D4552">
        <f t="shared" si="144"/>
        <v>153</v>
      </c>
      <c r="E4552" t="str">
        <f t="shared" si="145"/>
        <v>153. Angola</v>
      </c>
    </row>
    <row r="4553" spans="1:5" x14ac:dyDescent="0.25">
      <c r="A4553" s="40" t="s">
        <v>19</v>
      </c>
      <c r="B4553" s="40" t="s">
        <v>414</v>
      </c>
      <c r="C4553" s="56">
        <v>0</v>
      </c>
      <c r="D4553">
        <f t="shared" si="144"/>
        <v>154</v>
      </c>
      <c r="E4553" t="str">
        <f t="shared" si="145"/>
        <v>154. Antigua and Barbuda</v>
      </c>
    </row>
    <row r="4554" spans="1:5" x14ac:dyDescent="0.25">
      <c r="A4554" s="40" t="s">
        <v>30</v>
      </c>
      <c r="B4554" s="40" t="s">
        <v>414</v>
      </c>
      <c r="C4554" s="56">
        <v>0</v>
      </c>
      <c r="D4554">
        <f t="shared" si="144"/>
        <v>155</v>
      </c>
      <c r="E4554" t="str">
        <f t="shared" si="145"/>
        <v>155. Bahamas, The</v>
      </c>
    </row>
    <row r="4555" spans="1:5" x14ac:dyDescent="0.25">
      <c r="A4555" s="40" t="s">
        <v>33</v>
      </c>
      <c r="B4555" s="40" t="s">
        <v>414</v>
      </c>
      <c r="C4555" s="56">
        <v>0</v>
      </c>
      <c r="D4555">
        <f t="shared" si="144"/>
        <v>156</v>
      </c>
      <c r="E4555" t="str">
        <f t="shared" si="145"/>
        <v>156. Belize</v>
      </c>
    </row>
    <row r="4556" spans="1:5" x14ac:dyDescent="0.25">
      <c r="A4556" s="40" t="s">
        <v>23</v>
      </c>
      <c r="B4556" s="40" t="s">
        <v>414</v>
      </c>
      <c r="C4556" s="56">
        <v>0</v>
      </c>
      <c r="D4556">
        <f t="shared" si="144"/>
        <v>157</v>
      </c>
      <c r="E4556" t="str">
        <f t="shared" si="145"/>
        <v>157. Burundi</v>
      </c>
    </row>
    <row r="4557" spans="1:5" x14ac:dyDescent="0.25">
      <c r="A4557" s="40" t="s">
        <v>53</v>
      </c>
      <c r="B4557" s="40" t="s">
        <v>414</v>
      </c>
      <c r="C4557" s="56">
        <v>0</v>
      </c>
      <c r="D4557">
        <f t="shared" si="144"/>
        <v>158</v>
      </c>
      <c r="E4557" t="str">
        <f t="shared" si="145"/>
        <v>158. Cabo Verde</v>
      </c>
    </row>
    <row r="4558" spans="1:5" x14ac:dyDescent="0.25">
      <c r="A4558" s="40" t="s">
        <v>41</v>
      </c>
      <c r="B4558" s="40" t="s">
        <v>414</v>
      </c>
      <c r="C4558" s="56">
        <v>0</v>
      </c>
      <c r="D4558">
        <f t="shared" si="144"/>
        <v>159</v>
      </c>
      <c r="E4558" t="str">
        <f t="shared" si="145"/>
        <v>159. Central African Republic</v>
      </c>
    </row>
    <row r="4559" spans="1:5" x14ac:dyDescent="0.25">
      <c r="A4559" s="40" t="s">
        <v>194</v>
      </c>
      <c r="B4559" s="40" t="s">
        <v>414</v>
      </c>
      <c r="C4559" s="56">
        <v>0</v>
      </c>
      <c r="D4559">
        <f t="shared" si="144"/>
        <v>160</v>
      </c>
      <c r="E4559" t="str">
        <f t="shared" si="145"/>
        <v>160. Chad</v>
      </c>
    </row>
    <row r="4560" spans="1:5" x14ac:dyDescent="0.25">
      <c r="A4560" s="40" t="s">
        <v>52</v>
      </c>
      <c r="B4560" s="40" t="s">
        <v>414</v>
      </c>
      <c r="C4560" s="56">
        <v>0</v>
      </c>
      <c r="D4560">
        <f t="shared" si="144"/>
        <v>161</v>
      </c>
      <c r="E4560" t="str">
        <f t="shared" si="145"/>
        <v>161. Comoros</v>
      </c>
    </row>
    <row r="4561" spans="1:5" x14ac:dyDescent="0.25">
      <c r="A4561" s="40" t="s">
        <v>61</v>
      </c>
      <c r="B4561" s="40" t="s">
        <v>414</v>
      </c>
      <c r="C4561" s="56">
        <v>0</v>
      </c>
      <c r="D4561">
        <f t="shared" si="144"/>
        <v>162</v>
      </c>
      <c r="E4561" t="str">
        <f t="shared" si="145"/>
        <v>162. Djibouti</v>
      </c>
    </row>
    <row r="4562" spans="1:5" x14ac:dyDescent="0.25">
      <c r="A4562" s="40" t="s">
        <v>62</v>
      </c>
      <c r="B4562" s="40" t="s">
        <v>414</v>
      </c>
      <c r="C4562" s="56">
        <v>0</v>
      </c>
      <c r="D4562">
        <f t="shared" si="144"/>
        <v>163</v>
      </c>
      <c r="E4562" t="str">
        <f t="shared" si="145"/>
        <v>163. Dominica</v>
      </c>
    </row>
    <row r="4563" spans="1:5" x14ac:dyDescent="0.25">
      <c r="A4563" s="40" t="s">
        <v>83</v>
      </c>
      <c r="B4563" s="40" t="s">
        <v>414</v>
      </c>
      <c r="C4563" s="56">
        <v>0</v>
      </c>
      <c r="D4563">
        <f t="shared" si="144"/>
        <v>164</v>
      </c>
      <c r="E4563" t="str">
        <f t="shared" si="145"/>
        <v>164. Equatorial Guinea</v>
      </c>
    </row>
    <row r="4564" spans="1:5" x14ac:dyDescent="0.25">
      <c r="A4564" s="40" t="s">
        <v>224</v>
      </c>
      <c r="B4564" s="40" t="s">
        <v>414</v>
      </c>
      <c r="C4564" s="56">
        <v>0</v>
      </c>
      <c r="D4564">
        <f t="shared" si="144"/>
        <v>165</v>
      </c>
      <c r="E4564" t="str">
        <f t="shared" si="145"/>
        <v>165. Eritrea</v>
      </c>
    </row>
    <row r="4565" spans="1:5" x14ac:dyDescent="0.25">
      <c r="A4565" s="40" t="s">
        <v>189</v>
      </c>
      <c r="B4565" s="40" t="s">
        <v>414</v>
      </c>
      <c r="C4565" s="56">
        <v>0</v>
      </c>
      <c r="D4565">
        <f t="shared" si="144"/>
        <v>166</v>
      </c>
      <c r="E4565" t="str">
        <f t="shared" si="145"/>
        <v>166. Eswatini</v>
      </c>
    </row>
    <row r="4566" spans="1:5" x14ac:dyDescent="0.25">
      <c r="A4566" s="40" t="s">
        <v>86</v>
      </c>
      <c r="B4566" s="40" t="s">
        <v>414</v>
      </c>
      <c r="C4566" s="56">
        <v>0</v>
      </c>
      <c r="D4566">
        <f t="shared" si="144"/>
        <v>167</v>
      </c>
      <c r="E4566" t="str">
        <f t="shared" si="145"/>
        <v>167. Greenland</v>
      </c>
    </row>
    <row r="4567" spans="1:5" x14ac:dyDescent="0.25">
      <c r="A4567" s="40" t="s">
        <v>80</v>
      </c>
      <c r="B4567" s="40" t="s">
        <v>414</v>
      </c>
      <c r="C4567" s="56">
        <v>0</v>
      </c>
      <c r="D4567">
        <f t="shared" si="144"/>
        <v>168</v>
      </c>
      <c r="E4567" t="str">
        <f t="shared" si="145"/>
        <v>168. Guinea</v>
      </c>
    </row>
    <row r="4568" spans="1:5" x14ac:dyDescent="0.25">
      <c r="A4568" s="40" t="s">
        <v>82</v>
      </c>
      <c r="B4568" s="40" t="s">
        <v>414</v>
      </c>
      <c r="C4568" s="56">
        <v>0</v>
      </c>
      <c r="D4568">
        <f t="shared" si="144"/>
        <v>169</v>
      </c>
      <c r="E4568" t="str">
        <f t="shared" si="145"/>
        <v>169. Guinea-Bissau</v>
      </c>
    </row>
    <row r="4569" spans="1:5" x14ac:dyDescent="0.25">
      <c r="A4569" s="40" t="s">
        <v>89</v>
      </c>
      <c r="B4569" s="40" t="s">
        <v>414</v>
      </c>
      <c r="C4569" s="56">
        <v>0</v>
      </c>
      <c r="D4569">
        <f t="shared" si="144"/>
        <v>170</v>
      </c>
      <c r="E4569" t="str">
        <f t="shared" si="145"/>
        <v>170. Guyana</v>
      </c>
    </row>
    <row r="4570" spans="1:5" x14ac:dyDescent="0.25">
      <c r="A4570" s="40" t="s">
        <v>93</v>
      </c>
      <c r="B4570" s="40" t="s">
        <v>414</v>
      </c>
      <c r="C4570" s="56">
        <v>0</v>
      </c>
      <c r="D4570">
        <f t="shared" si="144"/>
        <v>171</v>
      </c>
      <c r="E4570" t="str">
        <f t="shared" si="145"/>
        <v>171. Haiti</v>
      </c>
    </row>
    <row r="4571" spans="1:5" x14ac:dyDescent="0.25">
      <c r="A4571" s="40" t="s">
        <v>111</v>
      </c>
      <c r="B4571" s="40" t="s">
        <v>414</v>
      </c>
      <c r="C4571" s="56">
        <v>0</v>
      </c>
      <c r="D4571">
        <f t="shared" si="144"/>
        <v>172</v>
      </c>
      <c r="E4571" t="str">
        <f t="shared" si="145"/>
        <v>172. Kiribati</v>
      </c>
    </row>
    <row r="4572" spans="1:5" x14ac:dyDescent="0.25">
      <c r="A4572" s="40" t="s">
        <v>122</v>
      </c>
      <c r="B4572" s="40" t="s">
        <v>414</v>
      </c>
      <c r="C4572" s="56">
        <v>0</v>
      </c>
      <c r="D4572">
        <f t="shared" si="144"/>
        <v>173</v>
      </c>
      <c r="E4572" t="str">
        <f t="shared" si="145"/>
        <v>173. Lesotho</v>
      </c>
    </row>
    <row r="4573" spans="1:5" x14ac:dyDescent="0.25">
      <c r="A4573" s="40" t="s">
        <v>117</v>
      </c>
      <c r="B4573" s="40" t="s">
        <v>414</v>
      </c>
      <c r="C4573" s="56">
        <v>0</v>
      </c>
      <c r="D4573">
        <f t="shared" si="144"/>
        <v>174</v>
      </c>
      <c r="E4573" t="str">
        <f t="shared" si="145"/>
        <v>174. Liberia</v>
      </c>
    </row>
    <row r="4574" spans="1:5" x14ac:dyDescent="0.25">
      <c r="A4574" s="40" t="s">
        <v>120</v>
      </c>
      <c r="B4574" s="40" t="s">
        <v>414</v>
      </c>
      <c r="C4574" s="56">
        <v>0</v>
      </c>
      <c r="D4574">
        <f t="shared" si="144"/>
        <v>175</v>
      </c>
      <c r="E4574" t="str">
        <f t="shared" si="145"/>
        <v>175. Liechtenstein</v>
      </c>
    </row>
    <row r="4575" spans="1:5" x14ac:dyDescent="0.25">
      <c r="A4575" s="40" t="s">
        <v>131</v>
      </c>
      <c r="B4575" s="40" t="s">
        <v>414</v>
      </c>
      <c r="C4575" s="56">
        <v>0</v>
      </c>
      <c r="D4575">
        <f t="shared" si="144"/>
        <v>176</v>
      </c>
      <c r="E4575" t="str">
        <f t="shared" si="145"/>
        <v>176. Maldives</v>
      </c>
    </row>
    <row r="4576" spans="1:5" x14ac:dyDescent="0.25">
      <c r="A4576" s="40" t="s">
        <v>133</v>
      </c>
      <c r="B4576" s="40" t="s">
        <v>414</v>
      </c>
      <c r="C4576" s="56">
        <v>0</v>
      </c>
      <c r="D4576">
        <f t="shared" si="144"/>
        <v>177</v>
      </c>
      <c r="E4576" t="str">
        <f t="shared" si="145"/>
        <v>177. Marshall Islands</v>
      </c>
    </row>
    <row r="4577" spans="1:5" x14ac:dyDescent="0.25">
      <c r="A4577" s="40" t="s">
        <v>142</v>
      </c>
      <c r="B4577" s="40" t="s">
        <v>414</v>
      </c>
      <c r="C4577" s="56">
        <v>0</v>
      </c>
      <c r="D4577">
        <f t="shared" si="144"/>
        <v>178</v>
      </c>
      <c r="E4577" t="str">
        <f t="shared" si="145"/>
        <v>178. Mauritania</v>
      </c>
    </row>
    <row r="4578" spans="1:5" x14ac:dyDescent="0.25">
      <c r="A4578" s="40" t="s">
        <v>75</v>
      </c>
      <c r="B4578" s="40" t="s">
        <v>414</v>
      </c>
      <c r="C4578" s="56">
        <v>0</v>
      </c>
      <c r="D4578">
        <f t="shared" si="144"/>
        <v>179</v>
      </c>
      <c r="E4578" t="str">
        <f t="shared" si="145"/>
        <v>179. Micronesia, Fed. Sts.</v>
      </c>
    </row>
    <row r="4579" spans="1:5" x14ac:dyDescent="0.25">
      <c r="A4579" s="40" t="s">
        <v>154</v>
      </c>
      <c r="B4579" s="40" t="s">
        <v>414</v>
      </c>
      <c r="C4579" s="56">
        <v>0</v>
      </c>
      <c r="D4579">
        <f t="shared" si="144"/>
        <v>180</v>
      </c>
      <c r="E4579" t="str">
        <f t="shared" si="145"/>
        <v>180. Nauru</v>
      </c>
    </row>
    <row r="4580" spans="1:5" x14ac:dyDescent="0.25">
      <c r="A4580" s="40" t="s">
        <v>150</v>
      </c>
      <c r="B4580" s="40" t="s">
        <v>414</v>
      </c>
      <c r="C4580" s="56">
        <v>0</v>
      </c>
      <c r="D4580">
        <f t="shared" si="144"/>
        <v>181</v>
      </c>
      <c r="E4580" t="str">
        <f t="shared" si="145"/>
        <v>181. Nicaragua</v>
      </c>
    </row>
    <row r="4581" spans="1:5" x14ac:dyDescent="0.25">
      <c r="A4581" s="40" t="s">
        <v>161</v>
      </c>
      <c r="B4581" s="40" t="s">
        <v>414</v>
      </c>
      <c r="C4581" s="56">
        <v>0</v>
      </c>
      <c r="D4581">
        <f t="shared" si="144"/>
        <v>182</v>
      </c>
      <c r="E4581" t="str">
        <f t="shared" si="145"/>
        <v>182. Palau</v>
      </c>
    </row>
    <row r="4582" spans="1:5" x14ac:dyDescent="0.25">
      <c r="A4582" s="40" t="s">
        <v>215</v>
      </c>
      <c r="B4582" s="40" t="s">
        <v>414</v>
      </c>
      <c r="C4582" s="56">
        <v>0</v>
      </c>
      <c r="D4582">
        <f t="shared" si="144"/>
        <v>183</v>
      </c>
      <c r="E4582" t="str">
        <f t="shared" si="145"/>
        <v>183. Samoa</v>
      </c>
    </row>
    <row r="4583" spans="1:5" x14ac:dyDescent="0.25">
      <c r="A4583" s="40" t="s">
        <v>180</v>
      </c>
      <c r="B4583" s="40" t="s">
        <v>414</v>
      </c>
      <c r="C4583" s="56">
        <v>0</v>
      </c>
      <c r="D4583">
        <f t="shared" si="144"/>
        <v>184</v>
      </c>
      <c r="E4583" t="str">
        <f t="shared" si="145"/>
        <v>184. San Marino</v>
      </c>
    </row>
    <row r="4584" spans="1:5" x14ac:dyDescent="0.25">
      <c r="A4584" s="40" t="s">
        <v>184</v>
      </c>
      <c r="B4584" s="40" t="s">
        <v>414</v>
      </c>
      <c r="C4584" s="56">
        <v>0</v>
      </c>
      <c r="D4584">
        <f t="shared" si="144"/>
        <v>185</v>
      </c>
      <c r="E4584" t="str">
        <f t="shared" si="145"/>
        <v>185. Sao Tome and Principe</v>
      </c>
    </row>
    <row r="4585" spans="1:5" x14ac:dyDescent="0.25">
      <c r="A4585" s="40" t="s">
        <v>191</v>
      </c>
      <c r="B4585" s="40" t="s">
        <v>414</v>
      </c>
      <c r="C4585" s="56">
        <v>0</v>
      </c>
      <c r="D4585">
        <f t="shared" si="144"/>
        <v>186</v>
      </c>
      <c r="E4585" t="str">
        <f t="shared" si="145"/>
        <v>186. Seychelles</v>
      </c>
    </row>
    <row r="4586" spans="1:5" x14ac:dyDescent="0.25">
      <c r="A4586" s="40" t="s">
        <v>177</v>
      </c>
      <c r="B4586" s="40" t="s">
        <v>414</v>
      </c>
      <c r="C4586" s="56">
        <v>0</v>
      </c>
      <c r="D4586">
        <f t="shared" si="144"/>
        <v>187</v>
      </c>
      <c r="E4586" t="str">
        <f t="shared" si="145"/>
        <v>187. Solomon Islands</v>
      </c>
    </row>
    <row r="4587" spans="1:5" x14ac:dyDescent="0.25">
      <c r="A4587" s="40" t="s">
        <v>183</v>
      </c>
      <c r="B4587" s="40" t="s">
        <v>414</v>
      </c>
      <c r="C4587" s="56">
        <v>0</v>
      </c>
      <c r="D4587">
        <f t="shared" si="144"/>
        <v>188</v>
      </c>
      <c r="E4587" t="str">
        <f t="shared" si="145"/>
        <v>188. South Sudan</v>
      </c>
    </row>
    <row r="4588" spans="1:5" x14ac:dyDescent="0.25">
      <c r="A4588" s="40" t="s">
        <v>112</v>
      </c>
      <c r="B4588" s="40" t="s">
        <v>414</v>
      </c>
      <c r="C4588" s="56">
        <v>0</v>
      </c>
      <c r="D4588">
        <f t="shared" si="144"/>
        <v>189</v>
      </c>
      <c r="E4588" t="str">
        <f t="shared" si="145"/>
        <v>189. St. Kitts and Nevis</v>
      </c>
    </row>
    <row r="4589" spans="1:5" x14ac:dyDescent="0.25">
      <c r="A4589" s="40" t="s">
        <v>119</v>
      </c>
      <c r="B4589" s="40" t="s">
        <v>414</v>
      </c>
      <c r="C4589" s="56">
        <v>0</v>
      </c>
      <c r="D4589">
        <f t="shared" si="144"/>
        <v>190</v>
      </c>
      <c r="E4589" t="str">
        <f t="shared" si="145"/>
        <v>190. St. Lucia</v>
      </c>
    </row>
    <row r="4590" spans="1:5" x14ac:dyDescent="0.25">
      <c r="A4590" s="40" t="s">
        <v>211</v>
      </c>
      <c r="B4590" s="40" t="s">
        <v>414</v>
      </c>
      <c r="C4590" s="56">
        <v>0</v>
      </c>
      <c r="D4590">
        <f t="shared" si="144"/>
        <v>191</v>
      </c>
      <c r="E4590" t="str">
        <f t="shared" si="145"/>
        <v>191. St. Vincent and the Grenadines</v>
      </c>
    </row>
    <row r="4591" spans="1:5" x14ac:dyDescent="0.25">
      <c r="A4591" s="40" t="s">
        <v>185</v>
      </c>
      <c r="B4591" s="40" t="s">
        <v>414</v>
      </c>
      <c r="C4591" s="56">
        <v>0</v>
      </c>
      <c r="D4591">
        <f t="shared" si="144"/>
        <v>192</v>
      </c>
      <c r="E4591" t="str">
        <f t="shared" si="145"/>
        <v>192. Suriname</v>
      </c>
    </row>
    <row r="4592" spans="1:5" x14ac:dyDescent="0.25">
      <c r="A4592" s="40" t="s">
        <v>199</v>
      </c>
      <c r="B4592" s="40" t="s">
        <v>414</v>
      </c>
      <c r="C4592" s="56">
        <v>0</v>
      </c>
      <c r="D4592">
        <f t="shared" si="144"/>
        <v>193</v>
      </c>
      <c r="E4592" t="str">
        <f t="shared" si="145"/>
        <v>193. Timor-Leste</v>
      </c>
    </row>
    <row r="4593" spans="1:5" x14ac:dyDescent="0.25">
      <c r="A4593" s="40" t="s">
        <v>200</v>
      </c>
      <c r="B4593" s="40" t="s">
        <v>414</v>
      </c>
      <c r="C4593" s="56">
        <v>0</v>
      </c>
      <c r="D4593">
        <f t="shared" si="144"/>
        <v>194</v>
      </c>
      <c r="E4593" t="str">
        <f t="shared" si="145"/>
        <v>194. Tonga</v>
      </c>
    </row>
    <row r="4594" spans="1:5" x14ac:dyDescent="0.25">
      <c r="A4594" s="40" t="s">
        <v>198</v>
      </c>
      <c r="B4594" s="40" t="s">
        <v>414</v>
      </c>
      <c r="C4594" s="56">
        <v>0</v>
      </c>
      <c r="D4594">
        <f t="shared" si="144"/>
        <v>195</v>
      </c>
      <c r="E4594" t="str">
        <f t="shared" si="145"/>
        <v>195. Turkmenistan</v>
      </c>
    </row>
    <row r="4595" spans="1:5" x14ac:dyDescent="0.25">
      <c r="A4595" s="40" t="s">
        <v>204</v>
      </c>
      <c r="B4595" s="40" t="s">
        <v>414</v>
      </c>
      <c r="C4595" s="56">
        <v>0</v>
      </c>
      <c r="D4595">
        <f t="shared" si="144"/>
        <v>196</v>
      </c>
      <c r="E4595" t="str">
        <f t="shared" si="145"/>
        <v>196. Tuvalu</v>
      </c>
    </row>
    <row r="4596" spans="1:5" x14ac:dyDescent="0.25">
      <c r="A4596" s="40" t="s">
        <v>214</v>
      </c>
      <c r="B4596" s="40" t="s">
        <v>414</v>
      </c>
      <c r="C4596" s="56">
        <v>0</v>
      </c>
      <c r="D4596">
        <f t="shared" si="144"/>
        <v>197</v>
      </c>
      <c r="E4596" t="str">
        <f t="shared" si="145"/>
        <v>197. Vanuatu</v>
      </c>
    </row>
    <row r="4597" spans="1:5" x14ac:dyDescent="0.25">
      <c r="A4597" t="s">
        <v>102</v>
      </c>
      <c r="B4597" t="s">
        <v>412</v>
      </c>
      <c r="C4597" s="56">
        <v>5.8</v>
      </c>
      <c r="D4597">
        <f t="shared" si="144"/>
        <v>1</v>
      </c>
      <c r="E4597" t="str">
        <f t="shared" si="145"/>
        <v>1. Israel</v>
      </c>
    </row>
    <row r="4598" spans="1:5" x14ac:dyDescent="0.25">
      <c r="A4598" t="s">
        <v>113</v>
      </c>
      <c r="B4598" t="s">
        <v>412</v>
      </c>
      <c r="C4598" s="56">
        <v>4.9000000000000004</v>
      </c>
      <c r="D4598">
        <f t="shared" si="144"/>
        <v>2</v>
      </c>
      <c r="E4598" t="str">
        <f t="shared" si="145"/>
        <v>2. Korea, Rep.</v>
      </c>
    </row>
    <row r="4599" spans="1:5" x14ac:dyDescent="0.25">
      <c r="A4599" t="s">
        <v>209</v>
      </c>
      <c r="B4599" t="s">
        <v>412</v>
      </c>
      <c r="C4599" s="56">
        <v>3.5</v>
      </c>
      <c r="D4599">
        <f t="shared" si="144"/>
        <v>3</v>
      </c>
      <c r="E4599" t="str">
        <f t="shared" si="145"/>
        <v>3. United States</v>
      </c>
    </row>
    <row r="4600" spans="1:5" x14ac:dyDescent="0.25">
      <c r="A4600" t="s">
        <v>24</v>
      </c>
      <c r="B4600" t="s">
        <v>412</v>
      </c>
      <c r="C4600" s="56">
        <v>3.4</v>
      </c>
      <c r="D4600">
        <f t="shared" si="144"/>
        <v>4</v>
      </c>
      <c r="E4600" t="str">
        <f t="shared" si="145"/>
        <v>4. Belgium</v>
      </c>
    </row>
    <row r="4601" spans="1:5" x14ac:dyDescent="0.25">
      <c r="A4601" t="s">
        <v>188</v>
      </c>
      <c r="B4601" t="s">
        <v>412</v>
      </c>
      <c r="C4601" s="56">
        <v>3.4</v>
      </c>
      <c r="D4601">
        <f t="shared" si="144"/>
        <v>5</v>
      </c>
      <c r="E4601" t="str">
        <f t="shared" si="145"/>
        <v>5. Sweden</v>
      </c>
    </row>
    <row r="4602" spans="1:5" x14ac:dyDescent="0.25">
      <c r="A4602" t="s">
        <v>21</v>
      </c>
      <c r="B4602" t="s">
        <v>412</v>
      </c>
      <c r="C4602" s="56">
        <v>3.3</v>
      </c>
      <c r="D4602">
        <f t="shared" si="144"/>
        <v>6</v>
      </c>
      <c r="E4602" t="str">
        <f t="shared" si="145"/>
        <v>6. Austria</v>
      </c>
    </row>
    <row r="4603" spans="1:5" x14ac:dyDescent="0.25">
      <c r="A4603" t="s">
        <v>106</v>
      </c>
      <c r="B4603" t="s">
        <v>412</v>
      </c>
      <c r="C4603" s="56">
        <v>3.3</v>
      </c>
      <c r="D4603">
        <f t="shared" si="144"/>
        <v>7</v>
      </c>
      <c r="E4603" t="str">
        <f t="shared" si="145"/>
        <v>7. Japan</v>
      </c>
    </row>
    <row r="4604" spans="1:5" x14ac:dyDescent="0.25">
      <c r="A4604" t="s">
        <v>43</v>
      </c>
      <c r="B4604" t="s">
        <v>412</v>
      </c>
      <c r="C4604" s="56">
        <v>3.3</v>
      </c>
      <c r="D4604">
        <f t="shared" si="144"/>
        <v>8</v>
      </c>
      <c r="E4604" t="str">
        <f t="shared" si="145"/>
        <v>8. Switzerland</v>
      </c>
    </row>
    <row r="4605" spans="1:5" x14ac:dyDescent="0.25">
      <c r="A4605" t="s">
        <v>60</v>
      </c>
      <c r="B4605" t="s">
        <v>412</v>
      </c>
      <c r="C4605" s="56">
        <v>3.1</v>
      </c>
      <c r="D4605">
        <f t="shared" si="144"/>
        <v>9</v>
      </c>
      <c r="E4605" t="str">
        <f t="shared" si="145"/>
        <v>9. Germany</v>
      </c>
    </row>
    <row r="4606" spans="1:5" x14ac:dyDescent="0.25">
      <c r="A4606" t="s">
        <v>71</v>
      </c>
      <c r="B4606" t="s">
        <v>412</v>
      </c>
      <c r="C4606" s="56">
        <v>3</v>
      </c>
      <c r="D4606">
        <f t="shared" si="144"/>
        <v>10</v>
      </c>
      <c r="E4606" t="str">
        <f t="shared" si="145"/>
        <v>10. Finland</v>
      </c>
    </row>
    <row r="4607" spans="1:5" x14ac:dyDescent="0.25">
      <c r="A4607" t="s">
        <v>77</v>
      </c>
      <c r="B4607" t="s">
        <v>412</v>
      </c>
      <c r="C4607" s="56">
        <v>2.9</v>
      </c>
      <c r="D4607">
        <f t="shared" si="144"/>
        <v>11</v>
      </c>
      <c r="E4607" t="str">
        <f t="shared" si="145"/>
        <v>11. United Kingdom</v>
      </c>
    </row>
    <row r="4608" spans="1:5" x14ac:dyDescent="0.25">
      <c r="A4608" t="s">
        <v>63</v>
      </c>
      <c r="B4608" t="s">
        <v>412</v>
      </c>
      <c r="C4608" s="56">
        <v>2.8</v>
      </c>
      <c r="D4608">
        <f t="shared" si="144"/>
        <v>12</v>
      </c>
      <c r="E4608" t="str">
        <f t="shared" si="145"/>
        <v>12. Denmark</v>
      </c>
    </row>
    <row r="4609" spans="1:5" x14ac:dyDescent="0.25">
      <c r="A4609" t="s">
        <v>101</v>
      </c>
      <c r="B4609" t="s">
        <v>412</v>
      </c>
      <c r="C4609" s="56">
        <v>2.8</v>
      </c>
      <c r="D4609">
        <f t="shared" si="144"/>
        <v>13</v>
      </c>
      <c r="E4609" t="str">
        <f t="shared" si="145"/>
        <v>13. Iceland</v>
      </c>
    </row>
    <row r="4610" spans="1:5" x14ac:dyDescent="0.25">
      <c r="A4610" t="s">
        <v>46</v>
      </c>
      <c r="B4610" t="s">
        <v>412</v>
      </c>
      <c r="C4610" s="56">
        <v>2.4</v>
      </c>
      <c r="D4610">
        <f t="shared" si="144"/>
        <v>14</v>
      </c>
      <c r="E4610" t="str">
        <f t="shared" si="145"/>
        <v>14. China</v>
      </c>
    </row>
    <row r="4611" spans="1:5" x14ac:dyDescent="0.25">
      <c r="A4611" t="s">
        <v>151</v>
      </c>
      <c r="B4611" t="s">
        <v>412</v>
      </c>
      <c r="C4611" s="56">
        <v>2.2999999999999998</v>
      </c>
      <c r="D4611">
        <f t="shared" si="144"/>
        <v>15</v>
      </c>
      <c r="E4611" t="str">
        <f t="shared" si="145"/>
        <v>15. Netherlands</v>
      </c>
    </row>
    <row r="4612" spans="1:5" x14ac:dyDescent="0.25">
      <c r="A4612" t="s">
        <v>73</v>
      </c>
      <c r="B4612" t="s">
        <v>412</v>
      </c>
      <c r="C4612" s="56">
        <v>2.2000000000000002</v>
      </c>
      <c r="D4612">
        <f t="shared" ref="D4612:D4675" si="146">IF(ROW() = 2, 1, IF(B4612 = B4611, D4611 + 1, 1))</f>
        <v>16</v>
      </c>
      <c r="E4612" t="str">
        <f t="shared" ref="E4612:E4675" si="147">_xlfn.CONCAT(D4612, ". ", A4612)</f>
        <v>16. France</v>
      </c>
    </row>
    <row r="4613" spans="1:5" x14ac:dyDescent="0.25">
      <c r="A4613" t="s">
        <v>187</v>
      </c>
      <c r="B4613" t="s">
        <v>412</v>
      </c>
      <c r="C4613" s="56">
        <v>2.1</v>
      </c>
      <c r="D4613">
        <f t="shared" si="146"/>
        <v>17</v>
      </c>
      <c r="E4613" t="str">
        <f t="shared" si="147"/>
        <v>17. Slovenia</v>
      </c>
    </row>
    <row r="4614" spans="1:5" x14ac:dyDescent="0.25">
      <c r="A4614" t="s">
        <v>59</v>
      </c>
      <c r="B4614" t="s">
        <v>412</v>
      </c>
      <c r="C4614" s="56">
        <v>2</v>
      </c>
      <c r="D4614">
        <f t="shared" si="146"/>
        <v>18</v>
      </c>
      <c r="E4614" t="str">
        <f t="shared" si="147"/>
        <v>18. Czechia</v>
      </c>
    </row>
    <row r="4615" spans="1:5" x14ac:dyDescent="0.25">
      <c r="A4615" t="s">
        <v>20</v>
      </c>
      <c r="B4615" t="s">
        <v>412</v>
      </c>
      <c r="C4615" s="56">
        <v>1.9</v>
      </c>
      <c r="D4615">
        <f t="shared" si="146"/>
        <v>19</v>
      </c>
      <c r="E4615" t="str">
        <f t="shared" si="147"/>
        <v>19. Australia</v>
      </c>
    </row>
    <row r="4616" spans="1:5" x14ac:dyDescent="0.25">
      <c r="A4616" t="s">
        <v>42</v>
      </c>
      <c r="B4616" t="s">
        <v>412</v>
      </c>
      <c r="C4616" s="56">
        <v>1.9</v>
      </c>
      <c r="D4616">
        <f t="shared" si="146"/>
        <v>20</v>
      </c>
      <c r="E4616" t="str">
        <f t="shared" si="147"/>
        <v>20. Canada</v>
      </c>
    </row>
    <row r="4617" spans="1:5" x14ac:dyDescent="0.25">
      <c r="A4617" t="s">
        <v>152</v>
      </c>
      <c r="B4617" t="s">
        <v>412</v>
      </c>
      <c r="C4617" s="56">
        <v>1.9</v>
      </c>
      <c r="D4617">
        <f t="shared" si="146"/>
        <v>21</v>
      </c>
      <c r="E4617" t="str">
        <f t="shared" si="147"/>
        <v>21. Norway</v>
      </c>
    </row>
    <row r="4618" spans="1:5" x14ac:dyDescent="0.25">
      <c r="A4618" t="s">
        <v>69</v>
      </c>
      <c r="B4618" t="s">
        <v>412</v>
      </c>
      <c r="C4618" s="56">
        <v>1.8</v>
      </c>
      <c r="D4618">
        <f t="shared" si="146"/>
        <v>22</v>
      </c>
      <c r="E4618" t="str">
        <f t="shared" si="147"/>
        <v>22. Estonia</v>
      </c>
    </row>
    <row r="4619" spans="1:5" x14ac:dyDescent="0.25">
      <c r="A4619" t="s">
        <v>165</v>
      </c>
      <c r="B4619" t="s">
        <v>412</v>
      </c>
      <c r="C4619" s="56">
        <v>1.7</v>
      </c>
      <c r="D4619">
        <f t="shared" si="146"/>
        <v>23</v>
      </c>
      <c r="E4619" t="str">
        <f t="shared" si="147"/>
        <v>23. Portugal</v>
      </c>
    </row>
    <row r="4620" spans="1:5" x14ac:dyDescent="0.25">
      <c r="A4620" t="s">
        <v>94</v>
      </c>
      <c r="B4620" t="s">
        <v>412</v>
      </c>
      <c r="C4620" s="56">
        <v>1.6</v>
      </c>
      <c r="D4620">
        <f t="shared" si="146"/>
        <v>24</v>
      </c>
      <c r="E4620" t="str">
        <f t="shared" si="147"/>
        <v>24. Hungary</v>
      </c>
    </row>
    <row r="4621" spans="1:5" x14ac:dyDescent="0.25">
      <c r="A4621" t="s">
        <v>84</v>
      </c>
      <c r="B4621" t="s">
        <v>412</v>
      </c>
      <c r="C4621" s="56">
        <v>1.5</v>
      </c>
      <c r="D4621">
        <f t="shared" si="146"/>
        <v>25</v>
      </c>
      <c r="E4621" t="str">
        <f t="shared" si="147"/>
        <v>25. Greece</v>
      </c>
    </row>
    <row r="4622" spans="1:5" x14ac:dyDescent="0.25">
      <c r="A4622" t="s">
        <v>155</v>
      </c>
      <c r="B4622" t="s">
        <v>412</v>
      </c>
      <c r="C4622" s="56">
        <v>1.5</v>
      </c>
      <c r="D4622">
        <f t="shared" si="146"/>
        <v>26</v>
      </c>
      <c r="E4622" t="str">
        <f t="shared" si="147"/>
        <v>26. New Zealand</v>
      </c>
    </row>
    <row r="4623" spans="1:5" x14ac:dyDescent="0.25">
      <c r="A4623" t="s">
        <v>15</v>
      </c>
      <c r="B4623" t="s">
        <v>412</v>
      </c>
      <c r="C4623" s="56">
        <v>1.5</v>
      </c>
      <c r="D4623">
        <f t="shared" si="146"/>
        <v>27</v>
      </c>
      <c r="E4623" t="str">
        <f t="shared" si="147"/>
        <v>27. United Arab Emirates</v>
      </c>
    </row>
    <row r="4624" spans="1:5" x14ac:dyDescent="0.25">
      <c r="A4624" t="s">
        <v>103</v>
      </c>
      <c r="B4624" t="s">
        <v>412</v>
      </c>
      <c r="C4624" s="56">
        <v>1.4</v>
      </c>
      <c r="D4624">
        <f t="shared" si="146"/>
        <v>28</v>
      </c>
      <c r="E4624" t="str">
        <f t="shared" si="147"/>
        <v>28. Italy</v>
      </c>
    </row>
    <row r="4625" spans="1:5" x14ac:dyDescent="0.25">
      <c r="A4625" t="s">
        <v>163</v>
      </c>
      <c r="B4625" t="s">
        <v>412</v>
      </c>
      <c r="C4625" s="56">
        <v>1.4</v>
      </c>
      <c r="D4625">
        <f t="shared" si="146"/>
        <v>29</v>
      </c>
      <c r="E4625" t="str">
        <f t="shared" si="147"/>
        <v>29. Poland</v>
      </c>
    </row>
    <row r="4626" spans="1:5" x14ac:dyDescent="0.25">
      <c r="A4626" t="s">
        <v>68</v>
      </c>
      <c r="B4626" t="s">
        <v>412</v>
      </c>
      <c r="C4626" s="56">
        <v>1.4</v>
      </c>
      <c r="D4626">
        <f t="shared" si="146"/>
        <v>30</v>
      </c>
      <c r="E4626" t="str">
        <f t="shared" si="147"/>
        <v>30. Spain</v>
      </c>
    </row>
    <row r="4627" spans="1:5" x14ac:dyDescent="0.25">
      <c r="A4627" t="s">
        <v>203</v>
      </c>
      <c r="B4627" t="s">
        <v>412</v>
      </c>
      <c r="C4627" s="56">
        <v>1.4</v>
      </c>
      <c r="D4627">
        <f t="shared" si="146"/>
        <v>31</v>
      </c>
      <c r="E4627" t="str">
        <f t="shared" si="147"/>
        <v>31. Turkiye</v>
      </c>
    </row>
    <row r="4628" spans="1:5" x14ac:dyDescent="0.25">
      <c r="A4628" t="s">
        <v>92</v>
      </c>
      <c r="B4628" t="s">
        <v>412</v>
      </c>
      <c r="C4628" s="56">
        <v>1.2</v>
      </c>
      <c r="D4628">
        <f t="shared" si="146"/>
        <v>32</v>
      </c>
      <c r="E4628" t="str">
        <f t="shared" si="147"/>
        <v>32. Croatia</v>
      </c>
    </row>
    <row r="4629" spans="1:5" x14ac:dyDescent="0.25">
      <c r="A4629" t="s">
        <v>196</v>
      </c>
      <c r="B4629" t="s">
        <v>412</v>
      </c>
      <c r="C4629" s="56">
        <v>1.2</v>
      </c>
      <c r="D4629">
        <f t="shared" si="146"/>
        <v>33</v>
      </c>
      <c r="E4629" t="str">
        <f t="shared" si="147"/>
        <v>33. Thailand</v>
      </c>
    </row>
    <row r="4630" spans="1:5" x14ac:dyDescent="0.25">
      <c r="A4630" t="s">
        <v>98</v>
      </c>
      <c r="B4630" t="s">
        <v>412</v>
      </c>
      <c r="C4630" s="56">
        <v>1.1000000000000001</v>
      </c>
      <c r="D4630">
        <f t="shared" si="146"/>
        <v>34</v>
      </c>
      <c r="E4630" t="str">
        <f t="shared" si="147"/>
        <v>34. Ireland</v>
      </c>
    </row>
    <row r="4631" spans="1:5" x14ac:dyDescent="0.25">
      <c r="A4631" t="s">
        <v>123</v>
      </c>
      <c r="B4631" t="s">
        <v>412</v>
      </c>
      <c r="C4631" s="56">
        <v>1.1000000000000001</v>
      </c>
      <c r="D4631">
        <f t="shared" si="146"/>
        <v>35</v>
      </c>
      <c r="E4631" t="str">
        <f t="shared" si="147"/>
        <v>35. Lithuania</v>
      </c>
    </row>
    <row r="4632" spans="1:5" x14ac:dyDescent="0.25">
      <c r="A4632" t="s">
        <v>90</v>
      </c>
      <c r="B4632" t="s">
        <v>412</v>
      </c>
      <c r="C4632" s="56">
        <v>1</v>
      </c>
      <c r="D4632">
        <f t="shared" si="146"/>
        <v>36</v>
      </c>
      <c r="E4632" t="str">
        <f t="shared" si="147"/>
        <v>36. Hong Kong SAR, China</v>
      </c>
    </row>
    <row r="4633" spans="1:5" x14ac:dyDescent="0.25">
      <c r="A4633" t="s">
        <v>124</v>
      </c>
      <c r="B4633" t="s">
        <v>412</v>
      </c>
      <c r="C4633" s="56">
        <v>1</v>
      </c>
      <c r="D4633">
        <f t="shared" si="146"/>
        <v>37</v>
      </c>
      <c r="E4633" t="str">
        <f t="shared" si="147"/>
        <v>37. Luxembourg</v>
      </c>
    </row>
    <row r="4634" spans="1:5" x14ac:dyDescent="0.25">
      <c r="A4634" t="s">
        <v>171</v>
      </c>
      <c r="B4634" t="s">
        <v>412</v>
      </c>
      <c r="C4634" s="56">
        <v>1</v>
      </c>
      <c r="D4634">
        <f t="shared" si="146"/>
        <v>38</v>
      </c>
      <c r="E4634" t="str">
        <f t="shared" si="147"/>
        <v>38. Russian Federation</v>
      </c>
    </row>
    <row r="4635" spans="1:5" x14ac:dyDescent="0.25">
      <c r="A4635" t="s">
        <v>182</v>
      </c>
      <c r="B4635" t="s">
        <v>412</v>
      </c>
      <c r="C4635" s="56">
        <v>1</v>
      </c>
      <c r="D4635">
        <f t="shared" si="146"/>
        <v>39</v>
      </c>
      <c r="E4635" t="str">
        <f t="shared" si="147"/>
        <v>39. Serbia</v>
      </c>
    </row>
    <row r="4636" spans="1:5" x14ac:dyDescent="0.25">
      <c r="A4636" t="s">
        <v>67</v>
      </c>
      <c r="B4636" t="s">
        <v>412</v>
      </c>
      <c r="C4636" s="56">
        <v>0.9</v>
      </c>
      <c r="D4636">
        <f t="shared" si="146"/>
        <v>40</v>
      </c>
      <c r="E4636" t="str">
        <f t="shared" si="147"/>
        <v>40. Egypt, Arab Rep.</v>
      </c>
    </row>
    <row r="4637" spans="1:5" x14ac:dyDescent="0.25">
      <c r="A4637" t="s">
        <v>186</v>
      </c>
      <c r="B4637" t="s">
        <v>412</v>
      </c>
      <c r="C4637" s="56">
        <v>0.9</v>
      </c>
      <c r="D4637">
        <f t="shared" si="146"/>
        <v>41</v>
      </c>
      <c r="E4637" t="str">
        <f t="shared" si="147"/>
        <v>41. Slovak Republic</v>
      </c>
    </row>
    <row r="4638" spans="1:5" x14ac:dyDescent="0.25">
      <c r="A4638" t="s">
        <v>28</v>
      </c>
      <c r="B4638" t="s">
        <v>412</v>
      </c>
      <c r="C4638" s="56">
        <v>0.8</v>
      </c>
      <c r="D4638">
        <f t="shared" si="146"/>
        <v>42</v>
      </c>
      <c r="E4638" t="str">
        <f t="shared" si="147"/>
        <v>42. Bulgaria</v>
      </c>
    </row>
    <row r="4639" spans="1:5" x14ac:dyDescent="0.25">
      <c r="A4639" t="s">
        <v>58</v>
      </c>
      <c r="B4639" t="s">
        <v>412</v>
      </c>
      <c r="C4639" s="56">
        <v>0.8</v>
      </c>
      <c r="D4639">
        <f t="shared" si="146"/>
        <v>43</v>
      </c>
      <c r="E4639" t="str">
        <f t="shared" si="147"/>
        <v>43. Cyprus</v>
      </c>
    </row>
    <row r="4640" spans="1:5" x14ac:dyDescent="0.25">
      <c r="A4640" t="s">
        <v>99</v>
      </c>
      <c r="B4640" t="s">
        <v>412</v>
      </c>
      <c r="C4640" s="56">
        <v>0.7</v>
      </c>
      <c r="D4640">
        <f t="shared" si="146"/>
        <v>44</v>
      </c>
      <c r="E4640" t="str">
        <f t="shared" si="147"/>
        <v>44. Iran, Islamic Rep.</v>
      </c>
    </row>
    <row r="4641" spans="1:5" x14ac:dyDescent="0.25">
      <c r="A4641" t="s">
        <v>125</v>
      </c>
      <c r="B4641" t="s">
        <v>412</v>
      </c>
      <c r="C4641" s="56">
        <v>0.7</v>
      </c>
      <c r="D4641">
        <f t="shared" si="146"/>
        <v>45</v>
      </c>
      <c r="E4641" t="str">
        <f t="shared" si="147"/>
        <v>45. Latvia</v>
      </c>
    </row>
    <row r="4642" spans="1:5" x14ac:dyDescent="0.25">
      <c r="A4642" t="s">
        <v>136</v>
      </c>
      <c r="B4642" t="s">
        <v>412</v>
      </c>
      <c r="C4642" s="56">
        <v>0.7</v>
      </c>
      <c r="D4642">
        <f t="shared" si="146"/>
        <v>46</v>
      </c>
      <c r="E4642" t="str">
        <f t="shared" si="147"/>
        <v>46. Malta</v>
      </c>
    </row>
    <row r="4643" spans="1:5" x14ac:dyDescent="0.25">
      <c r="A4643" t="s">
        <v>169</v>
      </c>
      <c r="B4643" t="s">
        <v>412</v>
      </c>
      <c r="C4643" s="56">
        <v>0.7</v>
      </c>
      <c r="D4643">
        <f t="shared" si="146"/>
        <v>47</v>
      </c>
      <c r="E4643" t="str">
        <f t="shared" si="147"/>
        <v>47. Qatar</v>
      </c>
    </row>
    <row r="4644" spans="1:5" x14ac:dyDescent="0.25">
      <c r="A4644" t="s">
        <v>218</v>
      </c>
      <c r="B4644" t="s">
        <v>412</v>
      </c>
      <c r="C4644" s="56">
        <v>0.6</v>
      </c>
      <c r="D4644">
        <f t="shared" si="146"/>
        <v>48</v>
      </c>
      <c r="E4644" t="str">
        <f t="shared" si="147"/>
        <v>48. South Africa</v>
      </c>
    </row>
    <row r="4645" spans="1:5" x14ac:dyDescent="0.25">
      <c r="A4645" t="s">
        <v>208</v>
      </c>
      <c r="B4645" t="s">
        <v>412</v>
      </c>
      <c r="C4645" s="56">
        <v>0.6</v>
      </c>
      <c r="D4645">
        <f t="shared" si="146"/>
        <v>49</v>
      </c>
      <c r="E4645" t="str">
        <f t="shared" si="147"/>
        <v>49. Uruguay</v>
      </c>
    </row>
    <row r="4646" spans="1:5" x14ac:dyDescent="0.25">
      <c r="A4646" t="s">
        <v>16</v>
      </c>
      <c r="B4646" t="s">
        <v>412</v>
      </c>
      <c r="C4646" s="56">
        <v>0.5</v>
      </c>
      <c r="D4646">
        <f t="shared" si="146"/>
        <v>50</v>
      </c>
      <c r="E4646" t="str">
        <f t="shared" si="147"/>
        <v>50. Argentina</v>
      </c>
    </row>
    <row r="4647" spans="1:5" x14ac:dyDescent="0.25">
      <c r="A4647" t="s">
        <v>32</v>
      </c>
      <c r="B4647" t="s">
        <v>412</v>
      </c>
      <c r="C4647" s="56">
        <v>0.5</v>
      </c>
      <c r="D4647">
        <f t="shared" si="146"/>
        <v>51</v>
      </c>
      <c r="E4647" t="str">
        <f t="shared" si="147"/>
        <v>51. Belarus</v>
      </c>
    </row>
    <row r="4648" spans="1:5" x14ac:dyDescent="0.25">
      <c r="A4648" t="s">
        <v>170</v>
      </c>
      <c r="B4648" t="s">
        <v>412</v>
      </c>
      <c r="C4648" s="56">
        <v>0.5</v>
      </c>
      <c r="D4648">
        <f t="shared" si="146"/>
        <v>52</v>
      </c>
      <c r="E4648" t="str">
        <f t="shared" si="147"/>
        <v>52. Romania</v>
      </c>
    </row>
    <row r="4649" spans="1:5" x14ac:dyDescent="0.25">
      <c r="A4649" t="s">
        <v>45</v>
      </c>
      <c r="B4649" t="s">
        <v>412</v>
      </c>
      <c r="C4649" s="56">
        <v>0.4</v>
      </c>
      <c r="D4649">
        <f t="shared" si="146"/>
        <v>53</v>
      </c>
      <c r="E4649" t="str">
        <f t="shared" si="147"/>
        <v>53. Chile</v>
      </c>
    </row>
    <row r="4650" spans="1:5" x14ac:dyDescent="0.25">
      <c r="A4650" t="s">
        <v>126</v>
      </c>
      <c r="B4650" t="s">
        <v>412</v>
      </c>
      <c r="C4650" s="56">
        <v>0.4</v>
      </c>
      <c r="D4650">
        <f t="shared" si="146"/>
        <v>54</v>
      </c>
      <c r="E4650" t="str">
        <f t="shared" si="147"/>
        <v>54. Macao SAR, China</v>
      </c>
    </row>
    <row r="4651" spans="1:5" x14ac:dyDescent="0.25">
      <c r="A4651" t="s">
        <v>143</v>
      </c>
      <c r="B4651" t="s">
        <v>412</v>
      </c>
      <c r="C4651" s="56">
        <v>0.4</v>
      </c>
      <c r="D4651">
        <f t="shared" si="146"/>
        <v>55</v>
      </c>
      <c r="E4651" t="str">
        <f t="shared" si="147"/>
        <v>55. Mauritius</v>
      </c>
    </row>
    <row r="4652" spans="1:5" x14ac:dyDescent="0.25">
      <c r="A4652" t="s">
        <v>134</v>
      </c>
      <c r="B4652" t="s">
        <v>412</v>
      </c>
      <c r="C4652" s="56">
        <v>0.4</v>
      </c>
      <c r="D4652">
        <f t="shared" si="146"/>
        <v>56</v>
      </c>
      <c r="E4652" t="str">
        <f t="shared" si="147"/>
        <v>56. North Macedonia</v>
      </c>
    </row>
    <row r="4653" spans="1:5" x14ac:dyDescent="0.25">
      <c r="A4653" t="s">
        <v>173</v>
      </c>
      <c r="B4653" t="s">
        <v>412</v>
      </c>
      <c r="C4653" s="56">
        <v>0.4</v>
      </c>
      <c r="D4653">
        <f t="shared" si="146"/>
        <v>57</v>
      </c>
      <c r="E4653" t="str">
        <f t="shared" si="147"/>
        <v>57. Saudi Arabia</v>
      </c>
    </row>
    <row r="4654" spans="1:5" x14ac:dyDescent="0.25">
      <c r="A4654" t="s">
        <v>207</v>
      </c>
      <c r="B4654" t="s">
        <v>412</v>
      </c>
      <c r="C4654" s="56">
        <v>0.4</v>
      </c>
      <c r="D4654">
        <f t="shared" si="146"/>
        <v>58</v>
      </c>
      <c r="E4654" t="str">
        <f t="shared" si="147"/>
        <v>58. Ukraine</v>
      </c>
    </row>
    <row r="4655" spans="1:5" x14ac:dyDescent="0.25">
      <c r="A4655" t="s">
        <v>213</v>
      </c>
      <c r="B4655" t="s">
        <v>412</v>
      </c>
      <c r="C4655" s="56">
        <v>0.4</v>
      </c>
      <c r="D4655">
        <f t="shared" si="146"/>
        <v>59</v>
      </c>
      <c r="E4655" t="str">
        <f t="shared" si="147"/>
        <v>59. Viet Nam</v>
      </c>
    </row>
    <row r="4656" spans="1:5" x14ac:dyDescent="0.25">
      <c r="A4656" t="s">
        <v>26</v>
      </c>
      <c r="B4656" t="s">
        <v>412</v>
      </c>
      <c r="C4656" s="56">
        <v>0.3</v>
      </c>
      <c r="D4656">
        <f t="shared" si="146"/>
        <v>60</v>
      </c>
      <c r="E4656" t="str">
        <f t="shared" si="147"/>
        <v>60. Burkina Faso</v>
      </c>
    </row>
    <row r="4657" spans="1:5" x14ac:dyDescent="0.25">
      <c r="A4657" t="s">
        <v>54</v>
      </c>
      <c r="B4657" t="s">
        <v>412</v>
      </c>
      <c r="C4657" s="56">
        <v>0.3</v>
      </c>
      <c r="D4657">
        <f t="shared" si="146"/>
        <v>61</v>
      </c>
      <c r="E4657" t="str">
        <f t="shared" si="147"/>
        <v>61. Costa Rica</v>
      </c>
    </row>
    <row r="4658" spans="1:5" x14ac:dyDescent="0.25">
      <c r="A4658" t="s">
        <v>55</v>
      </c>
      <c r="B4658" t="s">
        <v>412</v>
      </c>
      <c r="C4658" s="56">
        <v>0.3</v>
      </c>
      <c r="D4658">
        <f t="shared" si="146"/>
        <v>62</v>
      </c>
      <c r="E4658" t="str">
        <f t="shared" si="147"/>
        <v>62. Cuba</v>
      </c>
    </row>
    <row r="4659" spans="1:5" x14ac:dyDescent="0.25">
      <c r="A4659" t="s">
        <v>132</v>
      </c>
      <c r="B4659" t="s">
        <v>412</v>
      </c>
      <c r="C4659" s="56">
        <v>0.3</v>
      </c>
      <c r="D4659">
        <f t="shared" si="146"/>
        <v>63</v>
      </c>
      <c r="E4659" t="str">
        <f t="shared" si="147"/>
        <v>63. Mexico</v>
      </c>
    </row>
    <row r="4660" spans="1:5" x14ac:dyDescent="0.25">
      <c r="A4660" t="s">
        <v>156</v>
      </c>
      <c r="B4660" t="s">
        <v>412</v>
      </c>
      <c r="C4660" s="56">
        <v>0.3</v>
      </c>
      <c r="D4660">
        <f t="shared" si="146"/>
        <v>64</v>
      </c>
      <c r="E4660" t="str">
        <f t="shared" si="147"/>
        <v>64. Oman</v>
      </c>
    </row>
    <row r="4661" spans="1:5" x14ac:dyDescent="0.25">
      <c r="A4661" t="s">
        <v>17</v>
      </c>
      <c r="B4661" t="s">
        <v>412</v>
      </c>
      <c r="C4661" s="56">
        <v>0.2</v>
      </c>
      <c r="D4661">
        <f t="shared" si="146"/>
        <v>65</v>
      </c>
      <c r="E4661" t="str">
        <f t="shared" si="147"/>
        <v>65. Armenia</v>
      </c>
    </row>
    <row r="4662" spans="1:5" x14ac:dyDescent="0.25">
      <c r="A4662" t="s">
        <v>22</v>
      </c>
      <c r="B4662" t="s">
        <v>412</v>
      </c>
      <c r="C4662" s="56">
        <v>0.2</v>
      </c>
      <c r="D4662">
        <f t="shared" si="146"/>
        <v>66</v>
      </c>
      <c r="E4662" t="str">
        <f t="shared" si="147"/>
        <v>66. Azerbaijan</v>
      </c>
    </row>
    <row r="4663" spans="1:5" x14ac:dyDescent="0.25">
      <c r="A4663" t="s">
        <v>31</v>
      </c>
      <c r="B4663" t="s">
        <v>412</v>
      </c>
      <c r="C4663" s="56">
        <v>0.2</v>
      </c>
      <c r="D4663">
        <f t="shared" si="146"/>
        <v>67</v>
      </c>
      <c r="E4663" t="str">
        <f t="shared" si="147"/>
        <v>67. Bosnia and Herzegovina</v>
      </c>
    </row>
    <row r="4664" spans="1:5" x14ac:dyDescent="0.25">
      <c r="A4664" t="s">
        <v>179</v>
      </c>
      <c r="B4664" t="s">
        <v>412</v>
      </c>
      <c r="C4664" s="56">
        <v>0.2</v>
      </c>
      <c r="D4664">
        <f t="shared" si="146"/>
        <v>68</v>
      </c>
      <c r="E4664" t="str">
        <f t="shared" si="147"/>
        <v>68. El Salvador</v>
      </c>
    </row>
    <row r="4665" spans="1:5" x14ac:dyDescent="0.25">
      <c r="A4665" t="s">
        <v>78</v>
      </c>
      <c r="B4665" t="s">
        <v>412</v>
      </c>
      <c r="C4665" s="56">
        <v>0.2</v>
      </c>
      <c r="D4665">
        <f t="shared" si="146"/>
        <v>69</v>
      </c>
      <c r="E4665" t="str">
        <f t="shared" si="147"/>
        <v>69. Georgia</v>
      </c>
    </row>
    <row r="4666" spans="1:5" x14ac:dyDescent="0.25">
      <c r="A4666" t="s">
        <v>135</v>
      </c>
      <c r="B4666" t="s">
        <v>412</v>
      </c>
      <c r="C4666" s="56">
        <v>0.2</v>
      </c>
      <c r="D4666">
        <f t="shared" si="146"/>
        <v>70</v>
      </c>
      <c r="E4666" t="str">
        <f t="shared" si="147"/>
        <v>70. Mali</v>
      </c>
    </row>
    <row r="4667" spans="1:5" x14ac:dyDescent="0.25">
      <c r="A4667" t="s">
        <v>129</v>
      </c>
      <c r="B4667" t="s">
        <v>412</v>
      </c>
      <c r="C4667" s="56">
        <v>0.2</v>
      </c>
      <c r="D4667">
        <f t="shared" si="146"/>
        <v>71</v>
      </c>
      <c r="E4667" t="str">
        <f t="shared" si="147"/>
        <v>71. Moldova</v>
      </c>
    </row>
    <row r="4668" spans="1:5" x14ac:dyDescent="0.25">
      <c r="A4668" t="s">
        <v>157</v>
      </c>
      <c r="B4668" t="s">
        <v>412</v>
      </c>
      <c r="C4668" s="56">
        <v>0.2</v>
      </c>
      <c r="D4668">
        <f t="shared" si="146"/>
        <v>72</v>
      </c>
      <c r="E4668" t="str">
        <f t="shared" si="147"/>
        <v>72. Pakistan</v>
      </c>
    </row>
    <row r="4669" spans="1:5" x14ac:dyDescent="0.25">
      <c r="A4669" t="s">
        <v>158</v>
      </c>
      <c r="B4669" t="s">
        <v>412</v>
      </c>
      <c r="C4669" s="56">
        <v>0.2</v>
      </c>
      <c r="D4669">
        <f t="shared" si="146"/>
        <v>73</v>
      </c>
      <c r="E4669" t="str">
        <f t="shared" si="147"/>
        <v>73. Panama</v>
      </c>
    </row>
    <row r="4670" spans="1:5" x14ac:dyDescent="0.25">
      <c r="A4670" t="s">
        <v>87</v>
      </c>
      <c r="B4670" t="s">
        <v>412</v>
      </c>
      <c r="C4670" s="56">
        <v>0.1</v>
      </c>
      <c r="D4670">
        <f t="shared" si="146"/>
        <v>74</v>
      </c>
      <c r="E4670" t="str">
        <f t="shared" si="147"/>
        <v>74. Guatemala</v>
      </c>
    </row>
    <row r="4671" spans="1:5" x14ac:dyDescent="0.25">
      <c r="A4671" t="s">
        <v>107</v>
      </c>
      <c r="B4671" t="s">
        <v>412</v>
      </c>
      <c r="C4671" s="56">
        <v>0.1</v>
      </c>
      <c r="D4671">
        <f t="shared" si="146"/>
        <v>75</v>
      </c>
      <c r="E4671" t="str">
        <f t="shared" si="147"/>
        <v>75. Kazakhstan</v>
      </c>
    </row>
    <row r="4672" spans="1:5" x14ac:dyDescent="0.25">
      <c r="A4672" t="s">
        <v>109</v>
      </c>
      <c r="B4672" t="s">
        <v>412</v>
      </c>
      <c r="C4672" s="56">
        <v>0.1</v>
      </c>
      <c r="D4672">
        <f t="shared" si="146"/>
        <v>76</v>
      </c>
      <c r="E4672" t="str">
        <f t="shared" si="147"/>
        <v>76. Kyrgyz Republic</v>
      </c>
    </row>
    <row r="4673" spans="1:5" x14ac:dyDescent="0.25">
      <c r="A4673" t="s">
        <v>139</v>
      </c>
      <c r="B4673" t="s">
        <v>412</v>
      </c>
      <c r="C4673" s="56">
        <v>0.1</v>
      </c>
      <c r="D4673">
        <f t="shared" si="146"/>
        <v>77</v>
      </c>
      <c r="E4673" t="str">
        <f t="shared" si="147"/>
        <v>77. Mongolia</v>
      </c>
    </row>
    <row r="4674" spans="1:5" x14ac:dyDescent="0.25">
      <c r="A4674" t="s">
        <v>137</v>
      </c>
      <c r="B4674" t="s">
        <v>412</v>
      </c>
      <c r="C4674" s="56">
        <v>0.1</v>
      </c>
      <c r="D4674">
        <f t="shared" si="146"/>
        <v>78</v>
      </c>
      <c r="E4674" t="str">
        <f t="shared" si="147"/>
        <v>78. Myanmar</v>
      </c>
    </row>
    <row r="4675" spans="1:5" x14ac:dyDescent="0.25">
      <c r="A4675" t="s">
        <v>166</v>
      </c>
      <c r="B4675" t="s">
        <v>412</v>
      </c>
      <c r="C4675" s="56">
        <v>0.1</v>
      </c>
      <c r="D4675">
        <f t="shared" si="146"/>
        <v>79</v>
      </c>
      <c r="E4675" t="str">
        <f t="shared" si="147"/>
        <v>79. Paraguay</v>
      </c>
    </row>
    <row r="4676" spans="1:5" x14ac:dyDescent="0.25">
      <c r="A4676" t="s">
        <v>159</v>
      </c>
      <c r="B4676" t="s">
        <v>412</v>
      </c>
      <c r="C4676" s="56">
        <v>0.1</v>
      </c>
      <c r="D4676">
        <f t="shared" ref="D4676:D4739" si="148">IF(ROW() = 2, 1, IF(B4676 = B4675, D4675 + 1, 1))</f>
        <v>80</v>
      </c>
      <c r="E4676" t="str">
        <f t="shared" ref="E4676:E4739" si="149">_xlfn.CONCAT(D4676, ". ", A4676)</f>
        <v>80. Peru</v>
      </c>
    </row>
    <row r="4677" spans="1:5" x14ac:dyDescent="0.25">
      <c r="A4677" t="s">
        <v>201</v>
      </c>
      <c r="B4677" t="s">
        <v>412</v>
      </c>
      <c r="C4677" s="56">
        <v>0.1</v>
      </c>
      <c r="D4677">
        <f t="shared" si="148"/>
        <v>81</v>
      </c>
      <c r="E4677" t="str">
        <f t="shared" si="149"/>
        <v>81. Trinidad and Tobago</v>
      </c>
    </row>
    <row r="4678" spans="1:5" x14ac:dyDescent="0.25">
      <c r="A4678" t="s">
        <v>198</v>
      </c>
      <c r="B4678" t="s">
        <v>412</v>
      </c>
      <c r="C4678" s="56">
        <v>0.1</v>
      </c>
      <c r="D4678">
        <f t="shared" si="148"/>
        <v>82</v>
      </c>
      <c r="E4678" t="str">
        <f t="shared" si="149"/>
        <v>82. Turkmenistan</v>
      </c>
    </row>
    <row r="4679" spans="1:5" x14ac:dyDescent="0.25">
      <c r="A4679" t="s">
        <v>210</v>
      </c>
      <c r="B4679" t="s">
        <v>412</v>
      </c>
      <c r="C4679" s="56">
        <v>0.1</v>
      </c>
      <c r="D4679">
        <f t="shared" si="148"/>
        <v>83</v>
      </c>
      <c r="E4679" t="str">
        <f t="shared" si="149"/>
        <v>83. Uzbekistan</v>
      </c>
    </row>
    <row r="4680" spans="1:5" x14ac:dyDescent="0.25">
      <c r="A4680" t="s">
        <v>100</v>
      </c>
      <c r="B4680" t="s">
        <v>412</v>
      </c>
      <c r="C4680" s="56">
        <v>0</v>
      </c>
      <c r="D4680">
        <f t="shared" si="148"/>
        <v>84</v>
      </c>
      <c r="E4680" t="str">
        <f t="shared" si="149"/>
        <v>84. Iraq</v>
      </c>
    </row>
    <row r="4681" spans="1:5" x14ac:dyDescent="0.25">
      <c r="A4681" t="s">
        <v>171</v>
      </c>
      <c r="B4681" t="s">
        <v>397</v>
      </c>
      <c r="C4681">
        <v>17125.2</v>
      </c>
      <c r="D4681">
        <f t="shared" si="148"/>
        <v>1</v>
      </c>
      <c r="E4681" t="str">
        <f t="shared" si="149"/>
        <v>1. Russian Federation</v>
      </c>
    </row>
    <row r="4682" spans="1:5" x14ac:dyDescent="0.25">
      <c r="A4682" t="s">
        <v>42</v>
      </c>
      <c r="B4682" t="s">
        <v>397</v>
      </c>
      <c r="C4682">
        <v>15634.4</v>
      </c>
      <c r="D4682">
        <f t="shared" si="148"/>
        <v>2</v>
      </c>
      <c r="E4682" t="str">
        <f t="shared" si="149"/>
        <v>2. Canada</v>
      </c>
    </row>
    <row r="4683" spans="1:5" x14ac:dyDescent="0.25">
      <c r="A4683" t="s">
        <v>209</v>
      </c>
      <c r="B4683" t="s">
        <v>397</v>
      </c>
      <c r="C4683">
        <v>9831.5</v>
      </c>
      <c r="D4683">
        <f t="shared" si="148"/>
        <v>3</v>
      </c>
      <c r="E4683" t="str">
        <f t="shared" si="149"/>
        <v>3. United States</v>
      </c>
    </row>
    <row r="4684" spans="1:5" x14ac:dyDescent="0.25">
      <c r="A4684" t="s">
        <v>46</v>
      </c>
      <c r="B4684" t="s">
        <v>397</v>
      </c>
      <c r="C4684">
        <v>9562.9</v>
      </c>
      <c r="D4684">
        <f t="shared" si="148"/>
        <v>4</v>
      </c>
      <c r="E4684" t="str">
        <f t="shared" si="149"/>
        <v>4. China</v>
      </c>
    </row>
    <row r="4685" spans="1:5" x14ac:dyDescent="0.25">
      <c r="A4685" t="s">
        <v>36</v>
      </c>
      <c r="B4685" t="s">
        <v>397</v>
      </c>
      <c r="C4685">
        <v>8510.4</v>
      </c>
      <c r="D4685">
        <f t="shared" si="148"/>
        <v>5</v>
      </c>
      <c r="E4685" t="str">
        <f t="shared" si="149"/>
        <v>5. Brazil</v>
      </c>
    </row>
    <row r="4686" spans="1:5" x14ac:dyDescent="0.25">
      <c r="A4686" t="s">
        <v>20</v>
      </c>
      <c r="B4686" t="s">
        <v>397</v>
      </c>
      <c r="C4686">
        <v>7741.2</v>
      </c>
      <c r="D4686">
        <f t="shared" si="148"/>
        <v>6</v>
      </c>
      <c r="E4686" t="str">
        <f t="shared" si="149"/>
        <v>6. Australia</v>
      </c>
    </row>
    <row r="4687" spans="1:5" x14ac:dyDescent="0.25">
      <c r="A4687" t="s">
        <v>97</v>
      </c>
      <c r="B4687" t="s">
        <v>397</v>
      </c>
      <c r="C4687">
        <v>3287.3</v>
      </c>
      <c r="D4687">
        <f t="shared" si="148"/>
        <v>7</v>
      </c>
      <c r="E4687" t="str">
        <f t="shared" si="149"/>
        <v>7. India</v>
      </c>
    </row>
    <row r="4688" spans="1:5" x14ac:dyDescent="0.25">
      <c r="A4688" t="s">
        <v>16</v>
      </c>
      <c r="B4688" t="s">
        <v>397</v>
      </c>
      <c r="C4688">
        <v>2780.4</v>
      </c>
      <c r="D4688">
        <f t="shared" si="148"/>
        <v>8</v>
      </c>
      <c r="E4688" t="str">
        <f t="shared" si="149"/>
        <v>8. Argentina</v>
      </c>
    </row>
    <row r="4689" spans="1:5" x14ac:dyDescent="0.25">
      <c r="A4689" t="s">
        <v>107</v>
      </c>
      <c r="B4689" t="s">
        <v>397</v>
      </c>
      <c r="C4689">
        <v>2724.9</v>
      </c>
      <c r="D4689">
        <f t="shared" si="148"/>
        <v>9</v>
      </c>
      <c r="E4689" t="str">
        <f t="shared" si="149"/>
        <v>9. Kazakhstan</v>
      </c>
    </row>
    <row r="4690" spans="1:5" x14ac:dyDescent="0.25">
      <c r="A4690" t="s">
        <v>65</v>
      </c>
      <c r="B4690" t="s">
        <v>397</v>
      </c>
      <c r="C4690">
        <v>2381.6999999999998</v>
      </c>
      <c r="D4690">
        <f t="shared" si="148"/>
        <v>10</v>
      </c>
      <c r="E4690" t="str">
        <f t="shared" si="149"/>
        <v>10. Algeria</v>
      </c>
    </row>
    <row r="4691" spans="1:5" x14ac:dyDescent="0.25">
      <c r="A4691" t="s">
        <v>49</v>
      </c>
      <c r="B4691" t="s">
        <v>397</v>
      </c>
      <c r="C4691">
        <v>2344.9</v>
      </c>
      <c r="D4691">
        <f t="shared" si="148"/>
        <v>11</v>
      </c>
      <c r="E4691" t="str">
        <f t="shared" si="149"/>
        <v>11. Congo, Dem. Rep.</v>
      </c>
    </row>
    <row r="4692" spans="1:5" x14ac:dyDescent="0.25">
      <c r="A4692" t="s">
        <v>173</v>
      </c>
      <c r="B4692" t="s">
        <v>397</v>
      </c>
      <c r="C4692">
        <v>2149.6999999999998</v>
      </c>
      <c r="D4692">
        <f t="shared" si="148"/>
        <v>12</v>
      </c>
      <c r="E4692" t="str">
        <f t="shared" si="149"/>
        <v>12. Saudi Arabia</v>
      </c>
    </row>
    <row r="4693" spans="1:5" x14ac:dyDescent="0.25">
      <c r="A4693" t="s">
        <v>132</v>
      </c>
      <c r="B4693" t="s">
        <v>397</v>
      </c>
      <c r="C4693">
        <v>1957.2</v>
      </c>
      <c r="D4693">
        <f t="shared" si="148"/>
        <v>13</v>
      </c>
      <c r="E4693" t="str">
        <f t="shared" si="149"/>
        <v>13. Mexico</v>
      </c>
    </row>
    <row r="4694" spans="1:5" x14ac:dyDescent="0.25">
      <c r="A4694" t="s">
        <v>95</v>
      </c>
      <c r="B4694" t="s">
        <v>397</v>
      </c>
      <c r="C4694">
        <v>1916.9</v>
      </c>
      <c r="D4694">
        <f t="shared" si="148"/>
        <v>14</v>
      </c>
      <c r="E4694" t="str">
        <f t="shared" si="149"/>
        <v>14. Indonesia</v>
      </c>
    </row>
    <row r="4695" spans="1:5" x14ac:dyDescent="0.25">
      <c r="A4695" t="s">
        <v>174</v>
      </c>
      <c r="B4695" t="s">
        <v>397</v>
      </c>
      <c r="C4695">
        <v>1878</v>
      </c>
      <c r="D4695">
        <f t="shared" si="148"/>
        <v>15</v>
      </c>
      <c r="E4695" t="str">
        <f t="shared" si="149"/>
        <v>15. Sudan</v>
      </c>
    </row>
    <row r="4696" spans="1:5" x14ac:dyDescent="0.25">
      <c r="A4696" t="s">
        <v>118</v>
      </c>
      <c r="B4696" t="s">
        <v>397</v>
      </c>
      <c r="C4696">
        <v>1759.5</v>
      </c>
      <c r="D4696">
        <f t="shared" si="148"/>
        <v>16</v>
      </c>
      <c r="E4696" t="str">
        <f t="shared" si="149"/>
        <v>16. Libya</v>
      </c>
    </row>
    <row r="4697" spans="1:5" x14ac:dyDescent="0.25">
      <c r="A4697" t="s">
        <v>99</v>
      </c>
      <c r="B4697" t="s">
        <v>397</v>
      </c>
      <c r="C4697">
        <v>1745.2</v>
      </c>
      <c r="D4697">
        <f t="shared" si="148"/>
        <v>17</v>
      </c>
      <c r="E4697" t="str">
        <f t="shared" si="149"/>
        <v>17. Iran, Islamic Rep.</v>
      </c>
    </row>
    <row r="4698" spans="1:5" x14ac:dyDescent="0.25">
      <c r="A4698" t="s">
        <v>139</v>
      </c>
      <c r="B4698" t="s">
        <v>397</v>
      </c>
      <c r="C4698">
        <v>1564.1</v>
      </c>
      <c r="D4698">
        <f t="shared" si="148"/>
        <v>18</v>
      </c>
      <c r="E4698" t="str">
        <f t="shared" si="149"/>
        <v>18. Mongolia</v>
      </c>
    </row>
    <row r="4699" spans="1:5" x14ac:dyDescent="0.25">
      <c r="A4699" t="s">
        <v>159</v>
      </c>
      <c r="B4699" t="s">
        <v>397</v>
      </c>
      <c r="C4699">
        <v>1285.2</v>
      </c>
      <c r="D4699">
        <f t="shared" si="148"/>
        <v>19</v>
      </c>
      <c r="E4699" t="str">
        <f t="shared" si="149"/>
        <v>19. Peru</v>
      </c>
    </row>
    <row r="4700" spans="1:5" x14ac:dyDescent="0.25">
      <c r="A4700" t="s">
        <v>194</v>
      </c>
      <c r="B4700" t="s">
        <v>397</v>
      </c>
      <c r="C4700">
        <v>1284</v>
      </c>
      <c r="D4700">
        <f t="shared" si="148"/>
        <v>20</v>
      </c>
      <c r="E4700" t="str">
        <f t="shared" si="149"/>
        <v>20. Chad</v>
      </c>
    </row>
    <row r="4701" spans="1:5" x14ac:dyDescent="0.25">
      <c r="A4701" t="s">
        <v>148</v>
      </c>
      <c r="B4701" t="s">
        <v>397</v>
      </c>
      <c r="C4701">
        <v>1267</v>
      </c>
      <c r="D4701">
        <f t="shared" si="148"/>
        <v>21</v>
      </c>
      <c r="E4701" t="str">
        <f t="shared" si="149"/>
        <v>21. Niger</v>
      </c>
    </row>
    <row r="4702" spans="1:5" x14ac:dyDescent="0.25">
      <c r="A4702" t="s">
        <v>12</v>
      </c>
      <c r="B4702" t="s">
        <v>397</v>
      </c>
      <c r="C4702">
        <v>1246.7</v>
      </c>
      <c r="D4702">
        <f t="shared" si="148"/>
        <v>22</v>
      </c>
      <c r="E4702" t="str">
        <f t="shared" si="149"/>
        <v>22. Angola</v>
      </c>
    </row>
    <row r="4703" spans="1:5" x14ac:dyDescent="0.25">
      <c r="A4703" t="s">
        <v>135</v>
      </c>
      <c r="B4703" t="s">
        <v>397</v>
      </c>
      <c r="C4703">
        <v>1240.2</v>
      </c>
      <c r="D4703">
        <f t="shared" si="148"/>
        <v>23</v>
      </c>
      <c r="E4703" t="str">
        <f t="shared" si="149"/>
        <v>23. Mali</v>
      </c>
    </row>
    <row r="4704" spans="1:5" x14ac:dyDescent="0.25">
      <c r="A4704" t="s">
        <v>218</v>
      </c>
      <c r="B4704" t="s">
        <v>397</v>
      </c>
      <c r="C4704">
        <v>1219.0999999999999</v>
      </c>
      <c r="D4704">
        <f t="shared" si="148"/>
        <v>24</v>
      </c>
      <c r="E4704" t="str">
        <f t="shared" si="149"/>
        <v>24. South Africa</v>
      </c>
    </row>
    <row r="4705" spans="1:5" x14ac:dyDescent="0.25">
      <c r="A4705" t="s">
        <v>51</v>
      </c>
      <c r="B4705" t="s">
        <v>397</v>
      </c>
      <c r="C4705">
        <v>1140.5999999999999</v>
      </c>
      <c r="D4705">
        <f t="shared" si="148"/>
        <v>25</v>
      </c>
      <c r="E4705" t="str">
        <f t="shared" si="149"/>
        <v>25. Colombia</v>
      </c>
    </row>
    <row r="4706" spans="1:5" x14ac:dyDescent="0.25">
      <c r="A4706" t="s">
        <v>70</v>
      </c>
      <c r="B4706" t="s">
        <v>397</v>
      </c>
      <c r="C4706">
        <v>1136.2</v>
      </c>
      <c r="D4706">
        <f t="shared" si="148"/>
        <v>26</v>
      </c>
      <c r="E4706" t="str">
        <f t="shared" si="149"/>
        <v>26. Ethiopia</v>
      </c>
    </row>
    <row r="4707" spans="1:5" x14ac:dyDescent="0.25">
      <c r="A4707" t="s">
        <v>35</v>
      </c>
      <c r="B4707" t="s">
        <v>397</v>
      </c>
      <c r="C4707">
        <v>1098.5999999999999</v>
      </c>
      <c r="D4707">
        <f t="shared" si="148"/>
        <v>27</v>
      </c>
      <c r="E4707" t="str">
        <f t="shared" si="149"/>
        <v>27. Bolivia</v>
      </c>
    </row>
    <row r="4708" spans="1:5" x14ac:dyDescent="0.25">
      <c r="A4708" t="s">
        <v>142</v>
      </c>
      <c r="B4708" t="s">
        <v>397</v>
      </c>
      <c r="C4708">
        <v>1030.7</v>
      </c>
      <c r="D4708">
        <f t="shared" si="148"/>
        <v>28</v>
      </c>
      <c r="E4708" t="str">
        <f t="shared" si="149"/>
        <v>28. Mauritania</v>
      </c>
    </row>
    <row r="4709" spans="1:5" x14ac:dyDescent="0.25">
      <c r="A4709" t="s">
        <v>67</v>
      </c>
      <c r="B4709" t="s">
        <v>397</v>
      </c>
      <c r="C4709">
        <v>1001.5</v>
      </c>
      <c r="D4709">
        <f t="shared" si="148"/>
        <v>29</v>
      </c>
      <c r="E4709" t="str">
        <f t="shared" si="149"/>
        <v>29. Egypt, Arab Rep.</v>
      </c>
    </row>
    <row r="4710" spans="1:5" x14ac:dyDescent="0.25">
      <c r="A4710" t="s">
        <v>205</v>
      </c>
      <c r="B4710" t="s">
        <v>397</v>
      </c>
      <c r="C4710">
        <v>947.3</v>
      </c>
      <c r="D4710">
        <f t="shared" si="148"/>
        <v>30</v>
      </c>
      <c r="E4710" t="str">
        <f t="shared" si="149"/>
        <v>30. Tanzania</v>
      </c>
    </row>
    <row r="4711" spans="1:5" x14ac:dyDescent="0.25">
      <c r="A4711" t="s">
        <v>149</v>
      </c>
      <c r="B4711" t="s">
        <v>397</v>
      </c>
      <c r="C4711">
        <v>923.8</v>
      </c>
      <c r="D4711">
        <f t="shared" si="148"/>
        <v>31</v>
      </c>
      <c r="E4711" t="str">
        <f t="shared" si="149"/>
        <v>31. Nigeria</v>
      </c>
    </row>
    <row r="4712" spans="1:5" x14ac:dyDescent="0.25">
      <c r="A4712" t="s">
        <v>223</v>
      </c>
      <c r="B4712" t="s">
        <v>397</v>
      </c>
      <c r="C4712">
        <v>912.1</v>
      </c>
      <c r="D4712">
        <f t="shared" si="148"/>
        <v>32</v>
      </c>
      <c r="E4712" t="str">
        <f t="shared" si="149"/>
        <v>32. Venezuela, RB</v>
      </c>
    </row>
    <row r="4713" spans="1:5" x14ac:dyDescent="0.25">
      <c r="A4713" t="s">
        <v>146</v>
      </c>
      <c r="B4713" t="s">
        <v>397</v>
      </c>
      <c r="C4713">
        <v>824.3</v>
      </c>
      <c r="D4713">
        <f t="shared" si="148"/>
        <v>33</v>
      </c>
      <c r="E4713" t="str">
        <f t="shared" si="149"/>
        <v>33. Namibia</v>
      </c>
    </row>
    <row r="4714" spans="1:5" x14ac:dyDescent="0.25">
      <c r="A4714" t="s">
        <v>141</v>
      </c>
      <c r="B4714" t="s">
        <v>397</v>
      </c>
      <c r="C4714">
        <v>799.4</v>
      </c>
      <c r="D4714">
        <f t="shared" si="148"/>
        <v>34</v>
      </c>
      <c r="E4714" t="str">
        <f t="shared" si="149"/>
        <v>34. Mozambique</v>
      </c>
    </row>
    <row r="4715" spans="1:5" x14ac:dyDescent="0.25">
      <c r="A4715" t="s">
        <v>157</v>
      </c>
      <c r="B4715" t="s">
        <v>397</v>
      </c>
      <c r="C4715">
        <v>796.1</v>
      </c>
      <c r="D4715">
        <f t="shared" si="148"/>
        <v>35</v>
      </c>
      <c r="E4715" t="str">
        <f t="shared" si="149"/>
        <v>35. Pakistan</v>
      </c>
    </row>
    <row r="4716" spans="1:5" x14ac:dyDescent="0.25">
      <c r="A4716" t="s">
        <v>203</v>
      </c>
      <c r="B4716" t="s">
        <v>397</v>
      </c>
      <c r="C4716">
        <v>785.4</v>
      </c>
      <c r="D4716">
        <f t="shared" si="148"/>
        <v>36</v>
      </c>
      <c r="E4716" t="str">
        <f t="shared" si="149"/>
        <v>36. Turkiye</v>
      </c>
    </row>
    <row r="4717" spans="1:5" x14ac:dyDescent="0.25">
      <c r="A4717" t="s">
        <v>45</v>
      </c>
      <c r="B4717" t="s">
        <v>397</v>
      </c>
      <c r="C4717">
        <v>757.2</v>
      </c>
      <c r="D4717">
        <f t="shared" si="148"/>
        <v>37</v>
      </c>
      <c r="E4717" t="str">
        <f t="shared" si="149"/>
        <v>37. Chile</v>
      </c>
    </row>
    <row r="4718" spans="1:5" x14ac:dyDescent="0.25">
      <c r="A4718" t="s">
        <v>219</v>
      </c>
      <c r="B4718" t="s">
        <v>397</v>
      </c>
      <c r="C4718">
        <v>752.6</v>
      </c>
      <c r="D4718">
        <f t="shared" si="148"/>
        <v>38</v>
      </c>
      <c r="E4718" t="str">
        <f t="shared" si="149"/>
        <v>38. Zambia</v>
      </c>
    </row>
    <row r="4719" spans="1:5" x14ac:dyDescent="0.25">
      <c r="A4719" t="s">
        <v>137</v>
      </c>
      <c r="B4719" t="s">
        <v>397</v>
      </c>
      <c r="C4719">
        <v>676.6</v>
      </c>
      <c r="D4719">
        <f t="shared" si="148"/>
        <v>39</v>
      </c>
      <c r="E4719" t="str">
        <f t="shared" si="149"/>
        <v>39. Myanmar</v>
      </c>
    </row>
    <row r="4720" spans="1:5" x14ac:dyDescent="0.25">
      <c r="A4720" t="s">
        <v>11</v>
      </c>
      <c r="B4720" t="s">
        <v>397</v>
      </c>
      <c r="C4720">
        <v>652.9</v>
      </c>
      <c r="D4720">
        <f t="shared" si="148"/>
        <v>40</v>
      </c>
      <c r="E4720" t="str">
        <f t="shared" si="149"/>
        <v>40. Afghanistan</v>
      </c>
    </row>
    <row r="4721" spans="1:5" x14ac:dyDescent="0.25">
      <c r="A4721" t="s">
        <v>183</v>
      </c>
      <c r="B4721" t="s">
        <v>397</v>
      </c>
      <c r="C4721">
        <v>646.9</v>
      </c>
      <c r="D4721">
        <f t="shared" si="148"/>
        <v>41</v>
      </c>
      <c r="E4721" t="str">
        <f t="shared" si="149"/>
        <v>41. South Sudan</v>
      </c>
    </row>
    <row r="4722" spans="1:5" x14ac:dyDescent="0.25">
      <c r="A4722" t="s">
        <v>222</v>
      </c>
      <c r="B4722" t="s">
        <v>397</v>
      </c>
      <c r="C4722">
        <v>637.70000000000005</v>
      </c>
      <c r="D4722">
        <f t="shared" si="148"/>
        <v>42</v>
      </c>
      <c r="E4722" t="str">
        <f t="shared" si="149"/>
        <v>42. Somalia, Fed. Rep.</v>
      </c>
    </row>
    <row r="4723" spans="1:5" x14ac:dyDescent="0.25">
      <c r="A4723" t="s">
        <v>152</v>
      </c>
      <c r="B4723" t="s">
        <v>397</v>
      </c>
      <c r="C4723">
        <v>624.5</v>
      </c>
      <c r="D4723">
        <f t="shared" si="148"/>
        <v>43</v>
      </c>
      <c r="E4723" t="str">
        <f t="shared" si="149"/>
        <v>43. Norway</v>
      </c>
    </row>
    <row r="4724" spans="1:5" x14ac:dyDescent="0.25">
      <c r="A4724" t="s">
        <v>41</v>
      </c>
      <c r="B4724" t="s">
        <v>397</v>
      </c>
      <c r="C4724">
        <v>623</v>
      </c>
      <c r="D4724">
        <f t="shared" si="148"/>
        <v>44</v>
      </c>
      <c r="E4724" t="str">
        <f t="shared" si="149"/>
        <v>44. Central African Republic</v>
      </c>
    </row>
    <row r="4725" spans="1:5" x14ac:dyDescent="0.25">
      <c r="A4725" t="s">
        <v>73</v>
      </c>
      <c r="B4725" t="s">
        <v>397</v>
      </c>
      <c r="C4725">
        <v>606.4</v>
      </c>
      <c r="D4725">
        <f t="shared" si="148"/>
        <v>45</v>
      </c>
      <c r="E4725" t="str">
        <f t="shared" si="149"/>
        <v>45. France</v>
      </c>
    </row>
    <row r="4726" spans="1:5" x14ac:dyDescent="0.25">
      <c r="A4726" t="s">
        <v>207</v>
      </c>
      <c r="B4726" t="s">
        <v>397</v>
      </c>
      <c r="C4726">
        <v>603.6</v>
      </c>
      <c r="D4726">
        <f t="shared" si="148"/>
        <v>46</v>
      </c>
      <c r="E4726" t="str">
        <f t="shared" si="149"/>
        <v>46. Ukraine</v>
      </c>
    </row>
    <row r="4727" spans="1:5" x14ac:dyDescent="0.25">
      <c r="A4727" t="s">
        <v>108</v>
      </c>
      <c r="B4727" t="s">
        <v>397</v>
      </c>
      <c r="C4727">
        <v>592</v>
      </c>
      <c r="D4727">
        <f t="shared" si="148"/>
        <v>47</v>
      </c>
      <c r="E4727" t="str">
        <f t="shared" si="149"/>
        <v>47. Kenya</v>
      </c>
    </row>
    <row r="4728" spans="1:5" x14ac:dyDescent="0.25">
      <c r="A4728" t="s">
        <v>130</v>
      </c>
      <c r="B4728" t="s">
        <v>397</v>
      </c>
      <c r="C4728">
        <v>587.29999999999995</v>
      </c>
      <c r="D4728">
        <f t="shared" si="148"/>
        <v>48</v>
      </c>
      <c r="E4728" t="str">
        <f t="shared" si="149"/>
        <v>48. Madagascar</v>
      </c>
    </row>
    <row r="4729" spans="1:5" x14ac:dyDescent="0.25">
      <c r="A4729" t="s">
        <v>40</v>
      </c>
      <c r="B4729" t="s">
        <v>397</v>
      </c>
      <c r="C4729">
        <v>581.70000000000005</v>
      </c>
      <c r="D4729">
        <f t="shared" si="148"/>
        <v>49</v>
      </c>
      <c r="E4729" t="str">
        <f t="shared" si="149"/>
        <v>49. Botswana</v>
      </c>
    </row>
    <row r="4730" spans="1:5" x14ac:dyDescent="0.25">
      <c r="A4730" t="s">
        <v>188</v>
      </c>
      <c r="B4730" t="s">
        <v>397</v>
      </c>
      <c r="C4730">
        <v>528.70000000000005</v>
      </c>
      <c r="D4730">
        <f t="shared" si="148"/>
        <v>50</v>
      </c>
      <c r="E4730" t="str">
        <f t="shared" si="149"/>
        <v>50. Sweden</v>
      </c>
    </row>
    <row r="4731" spans="1:5" x14ac:dyDescent="0.25">
      <c r="A4731" t="s">
        <v>217</v>
      </c>
      <c r="B4731" t="s">
        <v>397</v>
      </c>
      <c r="C4731">
        <v>528</v>
      </c>
      <c r="D4731">
        <f t="shared" si="148"/>
        <v>51</v>
      </c>
      <c r="E4731" t="str">
        <f t="shared" si="149"/>
        <v>51. Yemen, Rep.</v>
      </c>
    </row>
    <row r="4732" spans="1:5" x14ac:dyDescent="0.25">
      <c r="A4732" t="s">
        <v>196</v>
      </c>
      <c r="B4732" t="s">
        <v>397</v>
      </c>
      <c r="C4732">
        <v>513.1</v>
      </c>
      <c r="D4732">
        <f t="shared" si="148"/>
        <v>52</v>
      </c>
      <c r="E4732" t="str">
        <f t="shared" si="149"/>
        <v>52. Thailand</v>
      </c>
    </row>
    <row r="4733" spans="1:5" x14ac:dyDescent="0.25">
      <c r="A4733" t="s">
        <v>68</v>
      </c>
      <c r="B4733" t="s">
        <v>397</v>
      </c>
      <c r="C4733">
        <v>506</v>
      </c>
      <c r="D4733">
        <f t="shared" si="148"/>
        <v>53</v>
      </c>
      <c r="E4733" t="str">
        <f t="shared" si="149"/>
        <v>53. Spain</v>
      </c>
    </row>
    <row r="4734" spans="1:5" x14ac:dyDescent="0.25">
      <c r="A4734" t="s">
        <v>198</v>
      </c>
      <c r="B4734" t="s">
        <v>397</v>
      </c>
      <c r="C4734">
        <v>491.2</v>
      </c>
      <c r="D4734">
        <f t="shared" si="148"/>
        <v>54</v>
      </c>
      <c r="E4734" t="str">
        <f t="shared" si="149"/>
        <v>54. Turkmenistan</v>
      </c>
    </row>
    <row r="4735" spans="1:5" x14ac:dyDescent="0.25">
      <c r="A4735" t="s">
        <v>48</v>
      </c>
      <c r="B4735" t="s">
        <v>397</v>
      </c>
      <c r="C4735">
        <v>475.4</v>
      </c>
      <c r="D4735">
        <f t="shared" si="148"/>
        <v>55</v>
      </c>
      <c r="E4735" t="str">
        <f t="shared" si="149"/>
        <v>55. Cameroon</v>
      </c>
    </row>
    <row r="4736" spans="1:5" x14ac:dyDescent="0.25">
      <c r="A4736" t="s">
        <v>162</v>
      </c>
      <c r="B4736" t="s">
        <v>397</v>
      </c>
      <c r="C4736">
        <v>462.8</v>
      </c>
      <c r="D4736">
        <f t="shared" si="148"/>
        <v>56</v>
      </c>
      <c r="E4736" t="str">
        <f t="shared" si="149"/>
        <v>56. Papua New Guinea</v>
      </c>
    </row>
    <row r="4737" spans="1:5" x14ac:dyDescent="0.25">
      <c r="A4737" t="s">
        <v>210</v>
      </c>
      <c r="B4737" t="s">
        <v>397</v>
      </c>
      <c r="C4737">
        <v>448.9</v>
      </c>
      <c r="D4737">
        <f t="shared" si="148"/>
        <v>57</v>
      </c>
      <c r="E4737" t="str">
        <f t="shared" si="149"/>
        <v>57. Uzbekistan</v>
      </c>
    </row>
    <row r="4738" spans="1:5" x14ac:dyDescent="0.25">
      <c r="A4738" t="s">
        <v>127</v>
      </c>
      <c r="B4738" t="s">
        <v>397</v>
      </c>
      <c r="C4738">
        <v>446.6</v>
      </c>
      <c r="D4738">
        <f t="shared" si="148"/>
        <v>58</v>
      </c>
      <c r="E4738" t="str">
        <f t="shared" si="149"/>
        <v>58. Morocco</v>
      </c>
    </row>
    <row r="4739" spans="1:5" x14ac:dyDescent="0.25">
      <c r="A4739" t="s">
        <v>100</v>
      </c>
      <c r="B4739" t="s">
        <v>397</v>
      </c>
      <c r="C4739">
        <v>435.1</v>
      </c>
      <c r="D4739">
        <f t="shared" si="148"/>
        <v>59</v>
      </c>
      <c r="E4739" t="str">
        <f t="shared" si="149"/>
        <v>59. Iraq</v>
      </c>
    </row>
    <row r="4740" spans="1:5" x14ac:dyDescent="0.25">
      <c r="A4740" t="s">
        <v>86</v>
      </c>
      <c r="B4740" t="s">
        <v>397</v>
      </c>
      <c r="C4740">
        <v>410.5</v>
      </c>
      <c r="D4740">
        <f t="shared" ref="D4740:D4803" si="150">IF(ROW() = 2, 1, IF(B4740 = B4739, D4739 + 1, 1))</f>
        <v>60</v>
      </c>
      <c r="E4740" t="str">
        <f t="shared" ref="E4740:E4803" si="151">_xlfn.CONCAT(D4740, ". ", A4740)</f>
        <v>60. Greenland</v>
      </c>
    </row>
    <row r="4741" spans="1:5" x14ac:dyDescent="0.25">
      <c r="A4741" t="s">
        <v>166</v>
      </c>
      <c r="B4741" t="s">
        <v>397</v>
      </c>
      <c r="C4741">
        <v>406.8</v>
      </c>
      <c r="D4741">
        <f t="shared" si="150"/>
        <v>61</v>
      </c>
      <c r="E4741" t="str">
        <f t="shared" si="151"/>
        <v>61. Paraguay</v>
      </c>
    </row>
    <row r="4742" spans="1:5" x14ac:dyDescent="0.25">
      <c r="A4742" t="s">
        <v>220</v>
      </c>
      <c r="B4742" t="s">
        <v>397</v>
      </c>
      <c r="C4742">
        <v>390.8</v>
      </c>
      <c r="D4742">
        <f t="shared" si="150"/>
        <v>62</v>
      </c>
      <c r="E4742" t="str">
        <f t="shared" si="151"/>
        <v>62. Zimbabwe</v>
      </c>
    </row>
    <row r="4743" spans="1:5" x14ac:dyDescent="0.25">
      <c r="A4743" t="s">
        <v>106</v>
      </c>
      <c r="B4743" t="s">
        <v>397</v>
      </c>
      <c r="C4743">
        <v>378</v>
      </c>
      <c r="D4743">
        <f t="shared" si="150"/>
        <v>63</v>
      </c>
      <c r="E4743" t="str">
        <f t="shared" si="151"/>
        <v>63. Japan</v>
      </c>
    </row>
    <row r="4744" spans="1:5" x14ac:dyDescent="0.25">
      <c r="A4744" t="s">
        <v>60</v>
      </c>
      <c r="B4744" t="s">
        <v>397</v>
      </c>
      <c r="C4744">
        <v>357.7</v>
      </c>
      <c r="D4744">
        <f t="shared" si="150"/>
        <v>64</v>
      </c>
      <c r="E4744" t="str">
        <f t="shared" si="151"/>
        <v>64. Germany</v>
      </c>
    </row>
    <row r="4745" spans="1:5" x14ac:dyDescent="0.25">
      <c r="A4745" t="s">
        <v>50</v>
      </c>
      <c r="B4745" t="s">
        <v>397</v>
      </c>
      <c r="C4745">
        <v>342</v>
      </c>
      <c r="D4745">
        <f t="shared" si="150"/>
        <v>65</v>
      </c>
      <c r="E4745" t="str">
        <f t="shared" si="151"/>
        <v>65. Congo, Rep.</v>
      </c>
    </row>
    <row r="4746" spans="1:5" x14ac:dyDescent="0.25">
      <c r="A4746" t="s">
        <v>71</v>
      </c>
      <c r="B4746" t="s">
        <v>397</v>
      </c>
      <c r="C4746">
        <v>338.5</v>
      </c>
      <c r="D4746">
        <f t="shared" si="150"/>
        <v>66</v>
      </c>
      <c r="E4746" t="str">
        <f t="shared" si="151"/>
        <v>66. Finland</v>
      </c>
    </row>
    <row r="4747" spans="1:5" x14ac:dyDescent="0.25">
      <c r="A4747" t="s">
        <v>213</v>
      </c>
      <c r="B4747" t="s">
        <v>397</v>
      </c>
      <c r="C4747">
        <v>331.3</v>
      </c>
      <c r="D4747">
        <f t="shared" si="150"/>
        <v>67</v>
      </c>
      <c r="E4747" t="str">
        <f t="shared" si="151"/>
        <v>67. Viet Nam</v>
      </c>
    </row>
    <row r="4748" spans="1:5" x14ac:dyDescent="0.25">
      <c r="A4748" t="s">
        <v>145</v>
      </c>
      <c r="B4748" t="s">
        <v>397</v>
      </c>
      <c r="C4748">
        <v>330.4</v>
      </c>
      <c r="D4748">
        <f t="shared" si="150"/>
        <v>68</v>
      </c>
      <c r="E4748" t="str">
        <f t="shared" si="151"/>
        <v>68. Malaysia</v>
      </c>
    </row>
    <row r="4749" spans="1:5" x14ac:dyDescent="0.25">
      <c r="A4749" t="s">
        <v>47</v>
      </c>
      <c r="B4749" t="s">
        <v>397</v>
      </c>
      <c r="C4749">
        <v>322.5</v>
      </c>
      <c r="D4749">
        <f t="shared" si="150"/>
        <v>69</v>
      </c>
      <c r="E4749" t="str">
        <f t="shared" si="151"/>
        <v>69. Cote d'Ivoire</v>
      </c>
    </row>
    <row r="4750" spans="1:5" x14ac:dyDescent="0.25">
      <c r="A4750" t="s">
        <v>163</v>
      </c>
      <c r="B4750" t="s">
        <v>397</v>
      </c>
      <c r="C4750">
        <v>313.89999999999998</v>
      </c>
      <c r="D4750">
        <f t="shared" si="150"/>
        <v>70</v>
      </c>
      <c r="E4750" t="str">
        <f t="shared" si="151"/>
        <v>70. Poland</v>
      </c>
    </row>
    <row r="4751" spans="1:5" x14ac:dyDescent="0.25">
      <c r="A4751" t="s">
        <v>156</v>
      </c>
      <c r="B4751" t="s">
        <v>397</v>
      </c>
      <c r="C4751">
        <v>309.5</v>
      </c>
      <c r="D4751">
        <f t="shared" si="150"/>
        <v>71</v>
      </c>
      <c r="E4751" t="str">
        <f t="shared" si="151"/>
        <v>71. Oman</v>
      </c>
    </row>
    <row r="4752" spans="1:5" x14ac:dyDescent="0.25">
      <c r="A4752" t="s">
        <v>103</v>
      </c>
      <c r="B4752" t="s">
        <v>397</v>
      </c>
      <c r="C4752">
        <v>302.10000000000002</v>
      </c>
      <c r="D4752">
        <f t="shared" si="150"/>
        <v>72</v>
      </c>
      <c r="E4752" t="str">
        <f t="shared" si="151"/>
        <v>72. Italy</v>
      </c>
    </row>
    <row r="4753" spans="1:5" x14ac:dyDescent="0.25">
      <c r="A4753" t="s">
        <v>160</v>
      </c>
      <c r="B4753" t="s">
        <v>397</v>
      </c>
      <c r="C4753">
        <v>300</v>
      </c>
      <c r="D4753">
        <f t="shared" si="150"/>
        <v>73</v>
      </c>
      <c r="E4753" t="str">
        <f t="shared" si="151"/>
        <v>73. Philippines</v>
      </c>
    </row>
    <row r="4754" spans="1:5" x14ac:dyDescent="0.25">
      <c r="A4754" t="s">
        <v>26</v>
      </c>
      <c r="B4754" t="s">
        <v>397</v>
      </c>
      <c r="C4754">
        <v>274.2</v>
      </c>
      <c r="D4754">
        <f t="shared" si="150"/>
        <v>74</v>
      </c>
      <c r="E4754" t="str">
        <f t="shared" si="151"/>
        <v>74. Burkina Faso</v>
      </c>
    </row>
    <row r="4755" spans="1:5" x14ac:dyDescent="0.25">
      <c r="A4755" t="s">
        <v>76</v>
      </c>
      <c r="B4755" t="s">
        <v>397</v>
      </c>
      <c r="C4755">
        <v>267.7</v>
      </c>
      <c r="D4755">
        <f t="shared" si="150"/>
        <v>75</v>
      </c>
      <c r="E4755" t="str">
        <f t="shared" si="151"/>
        <v>75. Gabon</v>
      </c>
    </row>
    <row r="4756" spans="1:5" x14ac:dyDescent="0.25">
      <c r="A4756" t="s">
        <v>155</v>
      </c>
      <c r="B4756" t="s">
        <v>397</v>
      </c>
      <c r="C4756">
        <v>267.7</v>
      </c>
      <c r="D4756">
        <f t="shared" si="150"/>
        <v>76</v>
      </c>
      <c r="E4756" t="str">
        <f t="shared" si="151"/>
        <v>76. New Zealand</v>
      </c>
    </row>
    <row r="4757" spans="1:5" x14ac:dyDescent="0.25">
      <c r="A4757" t="s">
        <v>66</v>
      </c>
      <c r="B4757" t="s">
        <v>397</v>
      </c>
      <c r="C4757">
        <v>256.39999999999998</v>
      </c>
      <c r="D4757">
        <f t="shared" si="150"/>
        <v>77</v>
      </c>
      <c r="E4757" t="str">
        <f t="shared" si="151"/>
        <v>77. Ecuador</v>
      </c>
    </row>
    <row r="4758" spans="1:5" x14ac:dyDescent="0.25">
      <c r="A4758" t="s">
        <v>80</v>
      </c>
      <c r="B4758" t="s">
        <v>397</v>
      </c>
      <c r="C4758">
        <v>245.9</v>
      </c>
      <c r="D4758">
        <f t="shared" si="150"/>
        <v>78</v>
      </c>
      <c r="E4758" t="str">
        <f t="shared" si="151"/>
        <v>78. Guinea</v>
      </c>
    </row>
    <row r="4759" spans="1:5" x14ac:dyDescent="0.25">
      <c r="A4759" t="s">
        <v>77</v>
      </c>
      <c r="B4759" t="s">
        <v>397</v>
      </c>
      <c r="C4759">
        <v>243.6</v>
      </c>
      <c r="D4759">
        <f t="shared" si="150"/>
        <v>79</v>
      </c>
      <c r="E4759" t="str">
        <f t="shared" si="151"/>
        <v>79. United Kingdom</v>
      </c>
    </row>
    <row r="4760" spans="1:5" x14ac:dyDescent="0.25">
      <c r="A4760" t="s">
        <v>206</v>
      </c>
      <c r="B4760" t="s">
        <v>397</v>
      </c>
      <c r="C4760">
        <v>241.6</v>
      </c>
      <c r="D4760">
        <f t="shared" si="150"/>
        <v>80</v>
      </c>
      <c r="E4760" t="str">
        <f t="shared" si="151"/>
        <v>80. Uganda</v>
      </c>
    </row>
    <row r="4761" spans="1:5" x14ac:dyDescent="0.25">
      <c r="A4761" t="s">
        <v>79</v>
      </c>
      <c r="B4761" t="s">
        <v>397</v>
      </c>
      <c r="C4761">
        <v>238.5</v>
      </c>
      <c r="D4761">
        <f t="shared" si="150"/>
        <v>81</v>
      </c>
      <c r="E4761" t="str">
        <f t="shared" si="151"/>
        <v>81. Ghana</v>
      </c>
    </row>
    <row r="4762" spans="1:5" x14ac:dyDescent="0.25">
      <c r="A4762" t="s">
        <v>170</v>
      </c>
      <c r="B4762" t="s">
        <v>397</v>
      </c>
      <c r="C4762">
        <v>238.4</v>
      </c>
      <c r="D4762">
        <f t="shared" si="150"/>
        <v>82</v>
      </c>
      <c r="E4762" t="str">
        <f t="shared" si="151"/>
        <v>82. Romania</v>
      </c>
    </row>
    <row r="4763" spans="1:5" x14ac:dyDescent="0.25">
      <c r="A4763" t="s">
        <v>115</v>
      </c>
      <c r="B4763" t="s">
        <v>397</v>
      </c>
      <c r="C4763">
        <v>236.8</v>
      </c>
      <c r="D4763">
        <f t="shared" si="150"/>
        <v>83</v>
      </c>
      <c r="E4763" t="str">
        <f t="shared" si="151"/>
        <v>83. Lao PDR</v>
      </c>
    </row>
    <row r="4764" spans="1:5" x14ac:dyDescent="0.25">
      <c r="A4764" t="s">
        <v>89</v>
      </c>
      <c r="B4764" t="s">
        <v>397</v>
      </c>
      <c r="C4764">
        <v>215</v>
      </c>
      <c r="D4764">
        <f t="shared" si="150"/>
        <v>84</v>
      </c>
      <c r="E4764" t="str">
        <f t="shared" si="151"/>
        <v>84. Guyana</v>
      </c>
    </row>
    <row r="4765" spans="1:5" x14ac:dyDescent="0.25">
      <c r="A4765" t="s">
        <v>32</v>
      </c>
      <c r="B4765" t="s">
        <v>397</v>
      </c>
      <c r="C4765">
        <v>207.6</v>
      </c>
      <c r="D4765">
        <f t="shared" si="150"/>
        <v>85</v>
      </c>
      <c r="E4765" t="str">
        <f t="shared" si="151"/>
        <v>85. Belarus</v>
      </c>
    </row>
    <row r="4766" spans="1:5" x14ac:dyDescent="0.25">
      <c r="A4766" t="s">
        <v>109</v>
      </c>
      <c r="B4766" t="s">
        <v>397</v>
      </c>
      <c r="C4766">
        <v>200</v>
      </c>
      <c r="D4766">
        <f t="shared" si="150"/>
        <v>86</v>
      </c>
      <c r="E4766" t="str">
        <f t="shared" si="151"/>
        <v>86. Kyrgyz Republic</v>
      </c>
    </row>
    <row r="4767" spans="1:5" x14ac:dyDescent="0.25">
      <c r="A4767" t="s">
        <v>175</v>
      </c>
      <c r="B4767" t="s">
        <v>397</v>
      </c>
      <c r="C4767">
        <v>196.7</v>
      </c>
      <c r="D4767">
        <f t="shared" si="150"/>
        <v>87</v>
      </c>
      <c r="E4767" t="str">
        <f t="shared" si="151"/>
        <v>87. Senegal</v>
      </c>
    </row>
    <row r="4768" spans="1:5" x14ac:dyDescent="0.25">
      <c r="A4768" t="s">
        <v>192</v>
      </c>
      <c r="B4768" t="s">
        <v>397</v>
      </c>
      <c r="C4768">
        <v>185.2</v>
      </c>
      <c r="D4768">
        <f t="shared" si="150"/>
        <v>88</v>
      </c>
      <c r="E4768" t="str">
        <f t="shared" si="151"/>
        <v>88. Syrian Arab Republic</v>
      </c>
    </row>
    <row r="4769" spans="1:5" x14ac:dyDescent="0.25">
      <c r="A4769" t="s">
        <v>110</v>
      </c>
      <c r="B4769" t="s">
        <v>397</v>
      </c>
      <c r="C4769">
        <v>181</v>
      </c>
      <c r="D4769">
        <f t="shared" si="150"/>
        <v>89</v>
      </c>
      <c r="E4769" t="str">
        <f t="shared" si="151"/>
        <v>89. Cambodia</v>
      </c>
    </row>
    <row r="4770" spans="1:5" x14ac:dyDescent="0.25">
      <c r="A4770" t="s">
        <v>208</v>
      </c>
      <c r="B4770" t="s">
        <v>397</v>
      </c>
      <c r="C4770">
        <v>176.2</v>
      </c>
      <c r="D4770">
        <f t="shared" si="150"/>
        <v>90</v>
      </c>
      <c r="E4770" t="str">
        <f t="shared" si="151"/>
        <v>90. Uruguay</v>
      </c>
    </row>
    <row r="4771" spans="1:5" x14ac:dyDescent="0.25">
      <c r="A4771" t="s">
        <v>185</v>
      </c>
      <c r="B4771" t="s">
        <v>397</v>
      </c>
      <c r="C4771">
        <v>163.80000000000001</v>
      </c>
      <c r="D4771">
        <f t="shared" si="150"/>
        <v>91</v>
      </c>
      <c r="E4771" t="str">
        <f t="shared" si="151"/>
        <v>91. Suriname</v>
      </c>
    </row>
    <row r="4772" spans="1:5" x14ac:dyDescent="0.25">
      <c r="A4772" t="s">
        <v>202</v>
      </c>
      <c r="B4772" t="s">
        <v>397</v>
      </c>
      <c r="C4772">
        <v>163.6</v>
      </c>
      <c r="D4772">
        <f t="shared" si="150"/>
        <v>92</v>
      </c>
      <c r="E4772" t="str">
        <f t="shared" si="151"/>
        <v>92. Tunisia</v>
      </c>
    </row>
    <row r="4773" spans="1:5" x14ac:dyDescent="0.25">
      <c r="A4773" t="s">
        <v>27</v>
      </c>
      <c r="B4773" t="s">
        <v>397</v>
      </c>
      <c r="C4773">
        <v>147.6</v>
      </c>
      <c r="D4773">
        <f t="shared" si="150"/>
        <v>93</v>
      </c>
      <c r="E4773" t="str">
        <f t="shared" si="151"/>
        <v>93. Bangladesh</v>
      </c>
    </row>
    <row r="4774" spans="1:5" x14ac:dyDescent="0.25">
      <c r="A4774" t="s">
        <v>153</v>
      </c>
      <c r="B4774" t="s">
        <v>397</v>
      </c>
      <c r="C4774">
        <v>147.19999999999999</v>
      </c>
      <c r="D4774">
        <f t="shared" si="150"/>
        <v>94</v>
      </c>
      <c r="E4774" t="str">
        <f t="shared" si="151"/>
        <v>94. Nepal</v>
      </c>
    </row>
    <row r="4775" spans="1:5" x14ac:dyDescent="0.25">
      <c r="A4775" t="s">
        <v>64</v>
      </c>
      <c r="B4775" t="s">
        <v>397</v>
      </c>
      <c r="C4775">
        <v>146.80000000000001</v>
      </c>
      <c r="D4775">
        <f t="shared" si="150"/>
        <v>95</v>
      </c>
      <c r="E4775" t="str">
        <f t="shared" si="151"/>
        <v>95. Dominican Republic</v>
      </c>
    </row>
    <row r="4776" spans="1:5" x14ac:dyDescent="0.25">
      <c r="A4776" t="s">
        <v>197</v>
      </c>
      <c r="B4776" t="s">
        <v>397</v>
      </c>
      <c r="C4776">
        <v>141.4</v>
      </c>
      <c r="D4776">
        <f t="shared" si="150"/>
        <v>96</v>
      </c>
      <c r="E4776" t="str">
        <f t="shared" si="151"/>
        <v>96. Tajikistan</v>
      </c>
    </row>
    <row r="4777" spans="1:5" x14ac:dyDescent="0.25">
      <c r="A4777" t="s">
        <v>84</v>
      </c>
      <c r="B4777" t="s">
        <v>397</v>
      </c>
      <c r="C4777">
        <v>132</v>
      </c>
      <c r="D4777">
        <f t="shared" si="150"/>
        <v>97</v>
      </c>
      <c r="E4777" t="str">
        <f t="shared" si="151"/>
        <v>97. Greece</v>
      </c>
    </row>
    <row r="4778" spans="1:5" x14ac:dyDescent="0.25">
      <c r="A4778" t="s">
        <v>150</v>
      </c>
      <c r="B4778" t="s">
        <v>397</v>
      </c>
      <c r="C4778">
        <v>130.4</v>
      </c>
      <c r="D4778">
        <f t="shared" si="150"/>
        <v>98</v>
      </c>
      <c r="E4778" t="str">
        <f t="shared" si="151"/>
        <v>98. Nicaragua</v>
      </c>
    </row>
    <row r="4779" spans="1:5" x14ac:dyDescent="0.25">
      <c r="A4779" t="s">
        <v>224</v>
      </c>
      <c r="B4779" t="s">
        <v>397</v>
      </c>
      <c r="C4779">
        <v>121.8</v>
      </c>
      <c r="D4779">
        <f t="shared" si="150"/>
        <v>99</v>
      </c>
      <c r="E4779" t="str">
        <f t="shared" si="151"/>
        <v>99. Eritrea</v>
      </c>
    </row>
    <row r="4780" spans="1:5" x14ac:dyDescent="0.25">
      <c r="A4780" t="s">
        <v>385</v>
      </c>
      <c r="B4780" t="s">
        <v>397</v>
      </c>
      <c r="C4780">
        <v>120.5</v>
      </c>
      <c r="D4780">
        <f t="shared" si="150"/>
        <v>100</v>
      </c>
      <c r="E4780" t="str">
        <f t="shared" si="151"/>
        <v>100. Korea, Dem. People's Rep.</v>
      </c>
    </row>
    <row r="4781" spans="1:5" x14ac:dyDescent="0.25">
      <c r="A4781" t="s">
        <v>144</v>
      </c>
      <c r="B4781" t="s">
        <v>397</v>
      </c>
      <c r="C4781">
        <v>118.5</v>
      </c>
      <c r="D4781">
        <f t="shared" si="150"/>
        <v>101</v>
      </c>
      <c r="E4781" t="str">
        <f t="shared" si="151"/>
        <v>101. Malawi</v>
      </c>
    </row>
    <row r="4782" spans="1:5" x14ac:dyDescent="0.25">
      <c r="A4782" t="s">
        <v>25</v>
      </c>
      <c r="B4782" t="s">
        <v>397</v>
      </c>
      <c r="C4782">
        <v>114.8</v>
      </c>
      <c r="D4782">
        <f t="shared" si="150"/>
        <v>102</v>
      </c>
      <c r="E4782" t="str">
        <f t="shared" si="151"/>
        <v>102. Benin</v>
      </c>
    </row>
    <row r="4783" spans="1:5" x14ac:dyDescent="0.25">
      <c r="A4783" t="s">
        <v>91</v>
      </c>
      <c r="B4783" t="s">
        <v>397</v>
      </c>
      <c r="C4783">
        <v>112.5</v>
      </c>
      <c r="D4783">
        <f t="shared" si="150"/>
        <v>103</v>
      </c>
      <c r="E4783" t="str">
        <f t="shared" si="151"/>
        <v>103. Honduras</v>
      </c>
    </row>
    <row r="4784" spans="1:5" x14ac:dyDescent="0.25">
      <c r="A4784" t="s">
        <v>117</v>
      </c>
      <c r="B4784" t="s">
        <v>397</v>
      </c>
      <c r="C4784">
        <v>111.4</v>
      </c>
      <c r="D4784">
        <f t="shared" si="150"/>
        <v>104</v>
      </c>
      <c r="E4784" t="str">
        <f t="shared" si="151"/>
        <v>104. Liberia</v>
      </c>
    </row>
    <row r="4785" spans="1:5" x14ac:dyDescent="0.25">
      <c r="A4785" t="s">
        <v>28</v>
      </c>
      <c r="B4785" t="s">
        <v>397</v>
      </c>
      <c r="C4785">
        <v>111</v>
      </c>
      <c r="D4785">
        <f t="shared" si="150"/>
        <v>105</v>
      </c>
      <c r="E4785" t="str">
        <f t="shared" si="151"/>
        <v>105. Bulgaria</v>
      </c>
    </row>
    <row r="4786" spans="1:5" x14ac:dyDescent="0.25">
      <c r="A4786" t="s">
        <v>55</v>
      </c>
      <c r="B4786" t="s">
        <v>397</v>
      </c>
      <c r="C4786">
        <v>109.9</v>
      </c>
      <c r="D4786">
        <f t="shared" si="150"/>
        <v>106</v>
      </c>
      <c r="E4786" t="str">
        <f t="shared" si="151"/>
        <v>106. Cuba</v>
      </c>
    </row>
    <row r="4787" spans="1:5" x14ac:dyDescent="0.25">
      <c r="A4787" t="s">
        <v>87</v>
      </c>
      <c r="B4787" t="s">
        <v>397</v>
      </c>
      <c r="C4787">
        <v>108.9</v>
      </c>
      <c r="D4787">
        <f t="shared" si="150"/>
        <v>107</v>
      </c>
      <c r="E4787" t="str">
        <f t="shared" si="151"/>
        <v>107. Guatemala</v>
      </c>
    </row>
    <row r="4788" spans="1:5" x14ac:dyDescent="0.25">
      <c r="A4788" t="s">
        <v>101</v>
      </c>
      <c r="B4788" t="s">
        <v>397</v>
      </c>
      <c r="C4788">
        <v>103</v>
      </c>
      <c r="D4788">
        <f t="shared" si="150"/>
        <v>108</v>
      </c>
      <c r="E4788" t="str">
        <f t="shared" si="151"/>
        <v>108. Iceland</v>
      </c>
    </row>
    <row r="4789" spans="1:5" x14ac:dyDescent="0.25">
      <c r="A4789" t="s">
        <v>113</v>
      </c>
      <c r="B4789" t="s">
        <v>397</v>
      </c>
      <c r="C4789">
        <v>100.5</v>
      </c>
      <c r="D4789">
        <f t="shared" si="150"/>
        <v>109</v>
      </c>
      <c r="E4789" t="str">
        <f t="shared" si="151"/>
        <v>109. Korea, Rep.</v>
      </c>
    </row>
    <row r="4790" spans="1:5" x14ac:dyDescent="0.25">
      <c r="A4790" t="s">
        <v>15</v>
      </c>
      <c r="B4790" t="s">
        <v>397</v>
      </c>
      <c r="C4790">
        <v>98.6</v>
      </c>
      <c r="D4790">
        <f t="shared" si="150"/>
        <v>110</v>
      </c>
      <c r="E4790" t="str">
        <f t="shared" si="151"/>
        <v>110. United Arab Emirates</v>
      </c>
    </row>
    <row r="4791" spans="1:5" x14ac:dyDescent="0.25">
      <c r="A4791" t="s">
        <v>94</v>
      </c>
      <c r="B4791" t="s">
        <v>397</v>
      </c>
      <c r="C4791">
        <v>93</v>
      </c>
      <c r="D4791">
        <f t="shared" si="150"/>
        <v>111</v>
      </c>
      <c r="E4791" t="str">
        <f t="shared" si="151"/>
        <v>111. Hungary</v>
      </c>
    </row>
    <row r="4792" spans="1:5" x14ac:dyDescent="0.25">
      <c r="A4792" t="s">
        <v>165</v>
      </c>
      <c r="B4792" t="s">
        <v>397</v>
      </c>
      <c r="C4792">
        <v>92.2</v>
      </c>
      <c r="D4792">
        <f t="shared" si="150"/>
        <v>112</v>
      </c>
      <c r="E4792" t="str">
        <f t="shared" si="151"/>
        <v>112. Portugal</v>
      </c>
    </row>
    <row r="4793" spans="1:5" x14ac:dyDescent="0.25">
      <c r="A4793" t="s">
        <v>105</v>
      </c>
      <c r="B4793" t="s">
        <v>397</v>
      </c>
      <c r="C4793">
        <v>89.3</v>
      </c>
      <c r="D4793">
        <f t="shared" si="150"/>
        <v>113</v>
      </c>
      <c r="E4793" t="str">
        <f t="shared" si="151"/>
        <v>113. Jordan</v>
      </c>
    </row>
    <row r="4794" spans="1:5" x14ac:dyDescent="0.25">
      <c r="A4794" t="s">
        <v>92</v>
      </c>
      <c r="B4794" t="s">
        <v>397</v>
      </c>
      <c r="C4794">
        <v>88.1</v>
      </c>
      <c r="D4794">
        <f t="shared" si="150"/>
        <v>114</v>
      </c>
      <c r="E4794" t="str">
        <f t="shared" si="151"/>
        <v>114. Croatia</v>
      </c>
    </row>
    <row r="4795" spans="1:5" x14ac:dyDescent="0.25">
      <c r="A4795" t="s">
        <v>22</v>
      </c>
      <c r="B4795" t="s">
        <v>397</v>
      </c>
      <c r="C4795">
        <v>86.6</v>
      </c>
      <c r="D4795">
        <f t="shared" si="150"/>
        <v>115</v>
      </c>
      <c r="E4795" t="str">
        <f t="shared" si="151"/>
        <v>115. Azerbaijan</v>
      </c>
    </row>
    <row r="4796" spans="1:5" x14ac:dyDescent="0.25">
      <c r="A4796" t="s">
        <v>182</v>
      </c>
      <c r="B4796" t="s">
        <v>397</v>
      </c>
      <c r="C4796">
        <v>85</v>
      </c>
      <c r="D4796">
        <f t="shared" si="150"/>
        <v>116</v>
      </c>
      <c r="E4796" t="str">
        <f t="shared" si="151"/>
        <v>116. Serbia</v>
      </c>
    </row>
    <row r="4797" spans="1:5" x14ac:dyDescent="0.25">
      <c r="A4797" t="s">
        <v>21</v>
      </c>
      <c r="B4797" t="s">
        <v>397</v>
      </c>
      <c r="C4797">
        <v>83.9</v>
      </c>
      <c r="D4797">
        <f t="shared" si="150"/>
        <v>117</v>
      </c>
      <c r="E4797" t="str">
        <f t="shared" si="151"/>
        <v>117. Austria</v>
      </c>
    </row>
    <row r="4798" spans="1:5" x14ac:dyDescent="0.25">
      <c r="A4798" t="s">
        <v>59</v>
      </c>
      <c r="B4798" t="s">
        <v>397</v>
      </c>
      <c r="C4798">
        <v>78.900000000000006</v>
      </c>
      <c r="D4798">
        <f t="shared" si="150"/>
        <v>118</v>
      </c>
      <c r="E4798" t="str">
        <f t="shared" si="151"/>
        <v>118. Czechia</v>
      </c>
    </row>
    <row r="4799" spans="1:5" x14ac:dyDescent="0.25">
      <c r="A4799" t="s">
        <v>158</v>
      </c>
      <c r="B4799" t="s">
        <v>397</v>
      </c>
      <c r="C4799">
        <v>75.3</v>
      </c>
      <c r="D4799">
        <f t="shared" si="150"/>
        <v>119</v>
      </c>
      <c r="E4799" t="str">
        <f t="shared" si="151"/>
        <v>119. Panama</v>
      </c>
    </row>
    <row r="4800" spans="1:5" x14ac:dyDescent="0.25">
      <c r="A4800" t="s">
        <v>178</v>
      </c>
      <c r="B4800" t="s">
        <v>397</v>
      </c>
      <c r="C4800">
        <v>72.3</v>
      </c>
      <c r="D4800">
        <f t="shared" si="150"/>
        <v>120</v>
      </c>
      <c r="E4800" t="str">
        <f t="shared" si="151"/>
        <v>120. Sierra Leone</v>
      </c>
    </row>
    <row r="4801" spans="1:5" x14ac:dyDescent="0.25">
      <c r="A4801" t="s">
        <v>98</v>
      </c>
      <c r="B4801" t="s">
        <v>397</v>
      </c>
      <c r="C4801">
        <v>70.3</v>
      </c>
      <c r="D4801">
        <f t="shared" si="150"/>
        <v>121</v>
      </c>
      <c r="E4801" t="str">
        <f t="shared" si="151"/>
        <v>121. Ireland</v>
      </c>
    </row>
    <row r="4802" spans="1:5" x14ac:dyDescent="0.25">
      <c r="A4802" t="s">
        <v>78</v>
      </c>
      <c r="B4802" t="s">
        <v>397</v>
      </c>
      <c r="C4802">
        <v>69.7</v>
      </c>
      <c r="D4802">
        <f t="shared" si="150"/>
        <v>122</v>
      </c>
      <c r="E4802" t="str">
        <f t="shared" si="151"/>
        <v>122. Georgia</v>
      </c>
    </row>
    <row r="4803" spans="1:5" x14ac:dyDescent="0.25">
      <c r="A4803" t="s">
        <v>121</v>
      </c>
      <c r="B4803" t="s">
        <v>397</v>
      </c>
      <c r="C4803">
        <v>65.599999999999994</v>
      </c>
      <c r="D4803">
        <f t="shared" si="150"/>
        <v>123</v>
      </c>
      <c r="E4803" t="str">
        <f t="shared" si="151"/>
        <v>123. Sri Lanka</v>
      </c>
    </row>
    <row r="4804" spans="1:5" x14ac:dyDescent="0.25">
      <c r="A4804" t="s">
        <v>123</v>
      </c>
      <c r="B4804" t="s">
        <v>397</v>
      </c>
      <c r="C4804">
        <v>65.3</v>
      </c>
      <c r="D4804">
        <f t="shared" ref="D4804:D4867" si="152">IF(ROW() = 2, 1, IF(B4804 = B4803, D4803 + 1, 1))</f>
        <v>124</v>
      </c>
      <c r="E4804" t="str">
        <f t="shared" ref="E4804:E4867" si="153">_xlfn.CONCAT(D4804, ". ", A4804)</f>
        <v>124. Lithuania</v>
      </c>
    </row>
    <row r="4805" spans="1:5" x14ac:dyDescent="0.25">
      <c r="A4805" t="s">
        <v>125</v>
      </c>
      <c r="B4805" t="s">
        <v>397</v>
      </c>
      <c r="C4805">
        <v>64.599999999999994</v>
      </c>
      <c r="D4805">
        <f t="shared" si="152"/>
        <v>125</v>
      </c>
      <c r="E4805" t="str">
        <f t="shared" si="153"/>
        <v>125. Latvia</v>
      </c>
    </row>
    <row r="4806" spans="1:5" x14ac:dyDescent="0.25">
      <c r="A4806" t="s">
        <v>195</v>
      </c>
      <c r="B4806" t="s">
        <v>397</v>
      </c>
      <c r="C4806">
        <v>56.8</v>
      </c>
      <c r="D4806">
        <f t="shared" si="152"/>
        <v>126</v>
      </c>
      <c r="E4806" t="str">
        <f t="shared" si="153"/>
        <v>126. Togo</v>
      </c>
    </row>
    <row r="4807" spans="1:5" x14ac:dyDescent="0.25">
      <c r="A4807" t="s">
        <v>31</v>
      </c>
      <c r="B4807" t="s">
        <v>397</v>
      </c>
      <c r="C4807">
        <v>51.2</v>
      </c>
      <c r="D4807">
        <f t="shared" si="152"/>
        <v>127</v>
      </c>
      <c r="E4807" t="str">
        <f t="shared" si="153"/>
        <v>127. Bosnia and Herzegovina</v>
      </c>
    </row>
    <row r="4808" spans="1:5" x14ac:dyDescent="0.25">
      <c r="A4808" t="s">
        <v>54</v>
      </c>
      <c r="B4808" t="s">
        <v>397</v>
      </c>
      <c r="C4808">
        <v>51.1</v>
      </c>
      <c r="D4808">
        <f t="shared" si="152"/>
        <v>128</v>
      </c>
      <c r="E4808" t="str">
        <f t="shared" si="153"/>
        <v>128. Costa Rica</v>
      </c>
    </row>
    <row r="4809" spans="1:5" x14ac:dyDescent="0.25">
      <c r="A4809" t="s">
        <v>186</v>
      </c>
      <c r="B4809" t="s">
        <v>397</v>
      </c>
      <c r="C4809">
        <v>49</v>
      </c>
      <c r="D4809">
        <f t="shared" si="152"/>
        <v>129</v>
      </c>
      <c r="E4809" t="str">
        <f t="shared" si="153"/>
        <v>129. Slovak Republic</v>
      </c>
    </row>
    <row r="4810" spans="1:5" x14ac:dyDescent="0.25">
      <c r="A4810" t="s">
        <v>69</v>
      </c>
      <c r="B4810" t="s">
        <v>397</v>
      </c>
      <c r="C4810">
        <v>45.3</v>
      </c>
      <c r="D4810">
        <f t="shared" si="152"/>
        <v>130</v>
      </c>
      <c r="E4810" t="str">
        <f t="shared" si="153"/>
        <v>130. Estonia</v>
      </c>
    </row>
    <row r="4811" spans="1:5" x14ac:dyDescent="0.25">
      <c r="A4811" t="s">
        <v>63</v>
      </c>
      <c r="B4811" t="s">
        <v>397</v>
      </c>
      <c r="C4811">
        <v>42.9</v>
      </c>
      <c r="D4811">
        <f t="shared" si="152"/>
        <v>131</v>
      </c>
      <c r="E4811" t="str">
        <f t="shared" si="153"/>
        <v>131. Denmark</v>
      </c>
    </row>
    <row r="4812" spans="1:5" x14ac:dyDescent="0.25">
      <c r="A4812" t="s">
        <v>151</v>
      </c>
      <c r="B4812" t="s">
        <v>397</v>
      </c>
      <c r="C4812">
        <v>41.5</v>
      </c>
      <c r="D4812">
        <f t="shared" si="152"/>
        <v>132</v>
      </c>
      <c r="E4812" t="str">
        <f t="shared" si="153"/>
        <v>132. Netherlands</v>
      </c>
    </row>
    <row r="4813" spans="1:5" x14ac:dyDescent="0.25">
      <c r="A4813" t="s">
        <v>43</v>
      </c>
      <c r="B4813" t="s">
        <v>397</v>
      </c>
      <c r="C4813">
        <v>41.3</v>
      </c>
      <c r="D4813">
        <f t="shared" si="152"/>
        <v>133</v>
      </c>
      <c r="E4813" t="str">
        <f t="shared" si="153"/>
        <v>133. Switzerland</v>
      </c>
    </row>
    <row r="4814" spans="1:5" x14ac:dyDescent="0.25">
      <c r="A4814" t="s">
        <v>39</v>
      </c>
      <c r="B4814" t="s">
        <v>397</v>
      </c>
      <c r="C4814">
        <v>38.4</v>
      </c>
      <c r="D4814">
        <f t="shared" si="152"/>
        <v>134</v>
      </c>
      <c r="E4814" t="str">
        <f t="shared" si="153"/>
        <v>134. Bhutan</v>
      </c>
    </row>
    <row r="4815" spans="1:5" x14ac:dyDescent="0.25">
      <c r="A4815" t="s">
        <v>82</v>
      </c>
      <c r="B4815" t="s">
        <v>397</v>
      </c>
      <c r="C4815">
        <v>36.1</v>
      </c>
      <c r="D4815">
        <f t="shared" si="152"/>
        <v>135</v>
      </c>
      <c r="E4815" t="str">
        <f t="shared" si="153"/>
        <v>135. Guinea-Bissau</v>
      </c>
    </row>
    <row r="4816" spans="1:5" x14ac:dyDescent="0.25">
      <c r="A4816" t="s">
        <v>129</v>
      </c>
      <c r="B4816" t="s">
        <v>397</v>
      </c>
      <c r="C4816">
        <v>33.9</v>
      </c>
      <c r="D4816">
        <f t="shared" si="152"/>
        <v>136</v>
      </c>
      <c r="E4816" t="str">
        <f t="shared" si="153"/>
        <v>136. Moldova</v>
      </c>
    </row>
    <row r="4817" spans="1:5" x14ac:dyDescent="0.25">
      <c r="A4817" t="s">
        <v>24</v>
      </c>
      <c r="B4817" t="s">
        <v>397</v>
      </c>
      <c r="C4817">
        <v>30.7</v>
      </c>
      <c r="D4817">
        <f t="shared" si="152"/>
        <v>137</v>
      </c>
      <c r="E4817" t="str">
        <f t="shared" si="153"/>
        <v>137. Belgium</v>
      </c>
    </row>
    <row r="4818" spans="1:5" x14ac:dyDescent="0.25">
      <c r="A4818" t="s">
        <v>122</v>
      </c>
      <c r="B4818" t="s">
        <v>397</v>
      </c>
      <c r="C4818">
        <v>30.4</v>
      </c>
      <c r="D4818">
        <f t="shared" si="152"/>
        <v>138</v>
      </c>
      <c r="E4818" t="str">
        <f t="shared" si="153"/>
        <v>138. Lesotho</v>
      </c>
    </row>
    <row r="4819" spans="1:5" x14ac:dyDescent="0.25">
      <c r="A4819" t="s">
        <v>17</v>
      </c>
      <c r="B4819" t="s">
        <v>397</v>
      </c>
      <c r="C4819">
        <v>29.7</v>
      </c>
      <c r="D4819">
        <f t="shared" si="152"/>
        <v>139</v>
      </c>
      <c r="E4819" t="str">
        <f t="shared" si="153"/>
        <v>139. Armenia</v>
      </c>
    </row>
    <row r="4820" spans="1:5" x14ac:dyDescent="0.25">
      <c r="A4820" t="s">
        <v>177</v>
      </c>
      <c r="B4820" t="s">
        <v>397</v>
      </c>
      <c r="C4820">
        <v>28.9</v>
      </c>
      <c r="D4820">
        <f t="shared" si="152"/>
        <v>140</v>
      </c>
      <c r="E4820" t="str">
        <f t="shared" si="153"/>
        <v>140. Solomon Islands</v>
      </c>
    </row>
    <row r="4821" spans="1:5" x14ac:dyDescent="0.25">
      <c r="A4821" t="s">
        <v>13</v>
      </c>
      <c r="B4821" t="s">
        <v>397</v>
      </c>
      <c r="C4821">
        <v>28.8</v>
      </c>
      <c r="D4821">
        <f t="shared" si="152"/>
        <v>141</v>
      </c>
      <c r="E4821" t="str">
        <f t="shared" si="153"/>
        <v>141. Albania</v>
      </c>
    </row>
    <row r="4822" spans="1:5" x14ac:dyDescent="0.25">
      <c r="A4822" t="s">
        <v>83</v>
      </c>
      <c r="B4822" t="s">
        <v>397</v>
      </c>
      <c r="C4822">
        <v>28.1</v>
      </c>
      <c r="D4822">
        <f t="shared" si="152"/>
        <v>142</v>
      </c>
      <c r="E4822" t="str">
        <f t="shared" si="153"/>
        <v>142. Equatorial Guinea</v>
      </c>
    </row>
    <row r="4823" spans="1:5" x14ac:dyDescent="0.25">
      <c r="A4823" t="s">
        <v>23</v>
      </c>
      <c r="B4823" t="s">
        <v>397</v>
      </c>
      <c r="C4823">
        <v>27.8</v>
      </c>
      <c r="D4823">
        <f t="shared" si="152"/>
        <v>143</v>
      </c>
      <c r="E4823" t="str">
        <f t="shared" si="153"/>
        <v>143. Burundi</v>
      </c>
    </row>
    <row r="4824" spans="1:5" x14ac:dyDescent="0.25">
      <c r="A4824" t="s">
        <v>93</v>
      </c>
      <c r="B4824" t="s">
        <v>397</v>
      </c>
      <c r="C4824">
        <v>27.8</v>
      </c>
      <c r="D4824">
        <f t="shared" si="152"/>
        <v>144</v>
      </c>
      <c r="E4824" t="str">
        <f t="shared" si="153"/>
        <v>144. Haiti</v>
      </c>
    </row>
    <row r="4825" spans="1:5" x14ac:dyDescent="0.25">
      <c r="A4825" t="s">
        <v>172</v>
      </c>
      <c r="B4825" t="s">
        <v>397</v>
      </c>
      <c r="C4825">
        <v>26.3</v>
      </c>
      <c r="D4825">
        <f t="shared" si="152"/>
        <v>145</v>
      </c>
      <c r="E4825" t="str">
        <f t="shared" si="153"/>
        <v>145. Rwanda</v>
      </c>
    </row>
    <row r="4826" spans="1:5" x14ac:dyDescent="0.25">
      <c r="A4826" t="s">
        <v>134</v>
      </c>
      <c r="B4826" t="s">
        <v>397</v>
      </c>
      <c r="C4826">
        <v>25.7</v>
      </c>
      <c r="D4826">
        <f t="shared" si="152"/>
        <v>146</v>
      </c>
      <c r="E4826" t="str">
        <f t="shared" si="153"/>
        <v>146. North Macedonia</v>
      </c>
    </row>
    <row r="4827" spans="1:5" x14ac:dyDescent="0.25">
      <c r="A4827" t="s">
        <v>61</v>
      </c>
      <c r="B4827" t="s">
        <v>397</v>
      </c>
      <c r="C4827">
        <v>23.2</v>
      </c>
      <c r="D4827">
        <f t="shared" si="152"/>
        <v>147</v>
      </c>
      <c r="E4827" t="str">
        <f t="shared" si="153"/>
        <v>147. Djibouti</v>
      </c>
    </row>
    <row r="4828" spans="1:5" x14ac:dyDescent="0.25">
      <c r="A4828" t="s">
        <v>33</v>
      </c>
      <c r="B4828" t="s">
        <v>397</v>
      </c>
      <c r="C4828">
        <v>23</v>
      </c>
      <c r="D4828">
        <f t="shared" si="152"/>
        <v>148</v>
      </c>
      <c r="E4828" t="str">
        <f t="shared" si="153"/>
        <v>148. Belize</v>
      </c>
    </row>
    <row r="4829" spans="1:5" x14ac:dyDescent="0.25">
      <c r="A4829" t="s">
        <v>102</v>
      </c>
      <c r="B4829" t="s">
        <v>397</v>
      </c>
      <c r="C4829">
        <v>22.1</v>
      </c>
      <c r="D4829">
        <f t="shared" si="152"/>
        <v>149</v>
      </c>
      <c r="E4829" t="str">
        <f t="shared" si="153"/>
        <v>149. Israel</v>
      </c>
    </row>
    <row r="4830" spans="1:5" x14ac:dyDescent="0.25">
      <c r="A4830" t="s">
        <v>179</v>
      </c>
      <c r="B4830" t="s">
        <v>397</v>
      </c>
      <c r="C4830">
        <v>21</v>
      </c>
      <c r="D4830">
        <f t="shared" si="152"/>
        <v>150</v>
      </c>
      <c r="E4830" t="str">
        <f t="shared" si="153"/>
        <v>150. El Salvador</v>
      </c>
    </row>
    <row r="4831" spans="1:5" x14ac:dyDescent="0.25">
      <c r="A4831" t="s">
        <v>187</v>
      </c>
      <c r="B4831" t="s">
        <v>397</v>
      </c>
      <c r="C4831">
        <v>20.5</v>
      </c>
      <c r="D4831">
        <f t="shared" si="152"/>
        <v>151</v>
      </c>
      <c r="E4831" t="str">
        <f t="shared" si="153"/>
        <v>151. Slovenia</v>
      </c>
    </row>
    <row r="4832" spans="1:5" x14ac:dyDescent="0.25">
      <c r="A4832" t="s">
        <v>147</v>
      </c>
      <c r="B4832" t="s">
        <v>397</v>
      </c>
      <c r="C4832">
        <v>18.600000000000001</v>
      </c>
      <c r="D4832">
        <f t="shared" si="152"/>
        <v>152</v>
      </c>
      <c r="E4832" t="str">
        <f t="shared" si="153"/>
        <v>152. New Caledonia</v>
      </c>
    </row>
    <row r="4833" spans="1:5" x14ac:dyDescent="0.25">
      <c r="A4833" t="s">
        <v>72</v>
      </c>
      <c r="B4833" t="s">
        <v>397</v>
      </c>
      <c r="C4833">
        <v>18.3</v>
      </c>
      <c r="D4833">
        <f t="shared" si="152"/>
        <v>153</v>
      </c>
      <c r="E4833" t="str">
        <f t="shared" si="153"/>
        <v>153. Fiji</v>
      </c>
    </row>
    <row r="4834" spans="1:5" x14ac:dyDescent="0.25">
      <c r="A4834" t="s">
        <v>114</v>
      </c>
      <c r="B4834" t="s">
        <v>397</v>
      </c>
      <c r="C4834">
        <v>17.8</v>
      </c>
      <c r="D4834">
        <f t="shared" si="152"/>
        <v>154</v>
      </c>
      <c r="E4834" t="str">
        <f t="shared" si="153"/>
        <v>154. Kuwait</v>
      </c>
    </row>
    <row r="4835" spans="1:5" x14ac:dyDescent="0.25">
      <c r="A4835" t="s">
        <v>189</v>
      </c>
      <c r="B4835" t="s">
        <v>397</v>
      </c>
      <c r="C4835">
        <v>17.399999999999999</v>
      </c>
      <c r="D4835">
        <f t="shared" si="152"/>
        <v>155</v>
      </c>
      <c r="E4835" t="str">
        <f t="shared" si="153"/>
        <v>155. Eswatini</v>
      </c>
    </row>
    <row r="4836" spans="1:5" x14ac:dyDescent="0.25">
      <c r="A4836" t="s">
        <v>199</v>
      </c>
      <c r="B4836" t="s">
        <v>397</v>
      </c>
      <c r="C4836">
        <v>14.9</v>
      </c>
      <c r="D4836">
        <f t="shared" si="152"/>
        <v>156</v>
      </c>
      <c r="E4836" t="str">
        <f t="shared" si="153"/>
        <v>156. Timor-Leste</v>
      </c>
    </row>
    <row r="4837" spans="1:5" x14ac:dyDescent="0.25">
      <c r="A4837" t="s">
        <v>30</v>
      </c>
      <c r="B4837" t="s">
        <v>397</v>
      </c>
      <c r="C4837">
        <v>13.9</v>
      </c>
      <c r="D4837">
        <f t="shared" si="152"/>
        <v>157</v>
      </c>
      <c r="E4837" t="str">
        <f t="shared" si="153"/>
        <v>157. Bahamas, The</v>
      </c>
    </row>
    <row r="4838" spans="1:5" x14ac:dyDescent="0.25">
      <c r="A4838" t="s">
        <v>138</v>
      </c>
      <c r="B4838" t="s">
        <v>397</v>
      </c>
      <c r="C4838">
        <v>13.9</v>
      </c>
      <c r="D4838">
        <f t="shared" si="152"/>
        <v>158</v>
      </c>
      <c r="E4838" t="str">
        <f t="shared" si="153"/>
        <v>158. Montenegro</v>
      </c>
    </row>
    <row r="4839" spans="1:5" x14ac:dyDescent="0.25">
      <c r="A4839" t="s">
        <v>74</v>
      </c>
      <c r="B4839" t="s">
        <v>397</v>
      </c>
      <c r="C4839">
        <v>13</v>
      </c>
      <c r="D4839">
        <f t="shared" si="152"/>
        <v>159</v>
      </c>
      <c r="E4839" t="str">
        <f t="shared" si="153"/>
        <v>159. Faroe Islands</v>
      </c>
    </row>
    <row r="4840" spans="1:5" x14ac:dyDescent="0.25">
      <c r="A4840" t="s">
        <v>214</v>
      </c>
      <c r="B4840" t="s">
        <v>397</v>
      </c>
      <c r="C4840">
        <v>12.2</v>
      </c>
      <c r="D4840">
        <f t="shared" si="152"/>
        <v>160</v>
      </c>
      <c r="E4840" t="str">
        <f t="shared" si="153"/>
        <v>160. Vanuatu</v>
      </c>
    </row>
    <row r="4841" spans="1:5" x14ac:dyDescent="0.25">
      <c r="A4841" t="s">
        <v>169</v>
      </c>
      <c r="B4841" t="s">
        <v>397</v>
      </c>
      <c r="C4841">
        <v>11.5</v>
      </c>
      <c r="D4841">
        <f t="shared" si="152"/>
        <v>161</v>
      </c>
      <c r="E4841" t="str">
        <f t="shared" si="153"/>
        <v>161. Qatar</v>
      </c>
    </row>
    <row r="4842" spans="1:5" x14ac:dyDescent="0.25">
      <c r="A4842" t="s">
        <v>81</v>
      </c>
      <c r="B4842" t="s">
        <v>397</v>
      </c>
      <c r="C4842">
        <v>11.3</v>
      </c>
      <c r="D4842">
        <f t="shared" si="152"/>
        <v>162</v>
      </c>
      <c r="E4842" t="str">
        <f t="shared" si="153"/>
        <v>162. Gambia, The</v>
      </c>
    </row>
    <row r="4843" spans="1:5" x14ac:dyDescent="0.25">
      <c r="A4843" t="s">
        <v>104</v>
      </c>
      <c r="B4843" t="s">
        <v>397</v>
      </c>
      <c r="C4843">
        <v>11</v>
      </c>
      <c r="D4843">
        <f t="shared" si="152"/>
        <v>163</v>
      </c>
      <c r="E4843" t="str">
        <f t="shared" si="153"/>
        <v>163. Jamaica</v>
      </c>
    </row>
    <row r="4844" spans="1:5" x14ac:dyDescent="0.25">
      <c r="A4844" t="s">
        <v>116</v>
      </c>
      <c r="B4844" t="s">
        <v>397</v>
      </c>
      <c r="C4844">
        <v>10.5</v>
      </c>
      <c r="D4844">
        <f t="shared" si="152"/>
        <v>164</v>
      </c>
      <c r="E4844" t="str">
        <f t="shared" si="153"/>
        <v>164. Lebanon</v>
      </c>
    </row>
    <row r="4845" spans="1:5" x14ac:dyDescent="0.25">
      <c r="A4845" t="s">
        <v>58</v>
      </c>
      <c r="B4845" t="s">
        <v>397</v>
      </c>
      <c r="C4845">
        <v>9.3000000000000007</v>
      </c>
      <c r="D4845">
        <f t="shared" si="152"/>
        <v>165</v>
      </c>
      <c r="E4845" t="str">
        <f t="shared" si="153"/>
        <v>165. Cyprus</v>
      </c>
    </row>
    <row r="4846" spans="1:5" x14ac:dyDescent="0.25">
      <c r="A4846" t="s">
        <v>164</v>
      </c>
      <c r="B4846" t="s">
        <v>397</v>
      </c>
      <c r="C4846">
        <v>8.9</v>
      </c>
      <c r="D4846">
        <f t="shared" si="152"/>
        <v>166</v>
      </c>
      <c r="E4846" t="str">
        <f t="shared" si="153"/>
        <v>166. Puerto Rico (US)</v>
      </c>
    </row>
    <row r="4847" spans="1:5" x14ac:dyDescent="0.25">
      <c r="A4847" t="s">
        <v>167</v>
      </c>
      <c r="B4847" t="s">
        <v>397</v>
      </c>
      <c r="C4847">
        <v>6</v>
      </c>
      <c r="D4847">
        <f t="shared" si="152"/>
        <v>167</v>
      </c>
      <c r="E4847" t="str">
        <f t="shared" si="153"/>
        <v>167. West Bank and Gaza</v>
      </c>
    </row>
    <row r="4848" spans="1:5" x14ac:dyDescent="0.25">
      <c r="A4848" t="s">
        <v>38</v>
      </c>
      <c r="B4848" t="s">
        <v>397</v>
      </c>
      <c r="C4848">
        <v>5.8</v>
      </c>
      <c r="D4848">
        <f t="shared" si="152"/>
        <v>168</v>
      </c>
      <c r="E4848" t="str">
        <f t="shared" si="153"/>
        <v>168. Brunei Darussalam</v>
      </c>
    </row>
    <row r="4849" spans="1:5" x14ac:dyDescent="0.25">
      <c r="A4849" t="s">
        <v>201</v>
      </c>
      <c r="B4849" t="s">
        <v>397</v>
      </c>
      <c r="C4849">
        <v>5.0999999999999996</v>
      </c>
      <c r="D4849">
        <f t="shared" si="152"/>
        <v>169</v>
      </c>
      <c r="E4849" t="str">
        <f t="shared" si="153"/>
        <v>169. Trinidad and Tobago</v>
      </c>
    </row>
    <row r="4850" spans="1:5" x14ac:dyDescent="0.25">
      <c r="A4850" t="s">
        <v>34</v>
      </c>
      <c r="B4850" t="s">
        <v>397</v>
      </c>
      <c r="C4850">
        <v>4.3</v>
      </c>
      <c r="D4850">
        <f t="shared" si="152"/>
        <v>170</v>
      </c>
      <c r="E4850" t="str">
        <f t="shared" si="153"/>
        <v>170. Bermuda</v>
      </c>
    </row>
    <row r="4851" spans="1:5" x14ac:dyDescent="0.25">
      <c r="A4851" t="s">
        <v>53</v>
      </c>
      <c r="B4851" t="s">
        <v>397</v>
      </c>
      <c r="C4851">
        <v>4</v>
      </c>
      <c r="D4851">
        <f t="shared" si="152"/>
        <v>171</v>
      </c>
      <c r="E4851" t="str">
        <f t="shared" si="153"/>
        <v>171. Cabo Verde</v>
      </c>
    </row>
    <row r="4852" spans="1:5" x14ac:dyDescent="0.25">
      <c r="A4852" t="s">
        <v>168</v>
      </c>
      <c r="B4852" t="s">
        <v>397</v>
      </c>
      <c r="C4852">
        <v>3.5</v>
      </c>
      <c r="D4852">
        <f t="shared" si="152"/>
        <v>172</v>
      </c>
      <c r="E4852" t="str">
        <f t="shared" si="153"/>
        <v>172. French Polynesia</v>
      </c>
    </row>
    <row r="4853" spans="1:5" x14ac:dyDescent="0.25">
      <c r="A4853" t="s">
        <v>215</v>
      </c>
      <c r="B4853" t="s">
        <v>397</v>
      </c>
      <c r="C4853">
        <v>2.8</v>
      </c>
      <c r="D4853">
        <f t="shared" si="152"/>
        <v>173</v>
      </c>
      <c r="E4853" t="str">
        <f t="shared" si="153"/>
        <v>173. Samoa</v>
      </c>
    </row>
    <row r="4854" spans="1:5" x14ac:dyDescent="0.25">
      <c r="A4854" t="s">
        <v>124</v>
      </c>
      <c r="B4854" t="s">
        <v>397</v>
      </c>
      <c r="C4854">
        <v>2.6</v>
      </c>
      <c r="D4854">
        <f t="shared" si="152"/>
        <v>174</v>
      </c>
      <c r="E4854" t="str">
        <f t="shared" si="153"/>
        <v>174. Luxembourg</v>
      </c>
    </row>
    <row r="4855" spans="1:5" x14ac:dyDescent="0.25">
      <c r="A4855" t="s">
        <v>143</v>
      </c>
      <c r="B4855" t="s">
        <v>397</v>
      </c>
      <c r="C4855">
        <v>2</v>
      </c>
      <c r="D4855">
        <f t="shared" si="152"/>
        <v>175</v>
      </c>
      <c r="E4855" t="str">
        <f t="shared" si="153"/>
        <v>175. Mauritius</v>
      </c>
    </row>
    <row r="4856" spans="1:5" x14ac:dyDescent="0.25">
      <c r="A4856" t="s">
        <v>52</v>
      </c>
      <c r="B4856" t="s">
        <v>397</v>
      </c>
      <c r="C4856">
        <v>1.9</v>
      </c>
      <c r="D4856">
        <f t="shared" si="152"/>
        <v>176</v>
      </c>
      <c r="E4856" t="str">
        <f t="shared" si="153"/>
        <v>176. Comoros</v>
      </c>
    </row>
    <row r="4857" spans="1:5" x14ac:dyDescent="0.25">
      <c r="A4857" t="s">
        <v>90</v>
      </c>
      <c r="B4857" t="s">
        <v>397</v>
      </c>
      <c r="C4857">
        <v>1.1000000000000001</v>
      </c>
      <c r="D4857">
        <f t="shared" si="152"/>
        <v>177</v>
      </c>
      <c r="E4857" t="str">
        <f t="shared" si="153"/>
        <v>177. Hong Kong SAR, China</v>
      </c>
    </row>
    <row r="4858" spans="1:5" x14ac:dyDescent="0.25">
      <c r="A4858" t="s">
        <v>184</v>
      </c>
      <c r="B4858" t="s">
        <v>397</v>
      </c>
      <c r="C4858">
        <v>1</v>
      </c>
      <c r="D4858">
        <f t="shared" si="152"/>
        <v>178</v>
      </c>
      <c r="E4858" t="str">
        <f t="shared" si="153"/>
        <v>178. Sao Tome and Principe</v>
      </c>
    </row>
    <row r="4859" spans="1:5" x14ac:dyDescent="0.25">
      <c r="A4859" t="s">
        <v>193</v>
      </c>
      <c r="B4859" t="s">
        <v>397</v>
      </c>
      <c r="C4859">
        <v>1</v>
      </c>
      <c r="D4859">
        <f t="shared" si="152"/>
        <v>179</v>
      </c>
      <c r="E4859" t="str">
        <f t="shared" si="153"/>
        <v>179. Turks and Caicos Islands</v>
      </c>
    </row>
    <row r="4860" spans="1:5" x14ac:dyDescent="0.25">
      <c r="A4860" t="s">
        <v>29</v>
      </c>
      <c r="B4860" t="s">
        <v>397</v>
      </c>
      <c r="C4860">
        <v>0.8</v>
      </c>
      <c r="D4860">
        <f t="shared" si="152"/>
        <v>180</v>
      </c>
      <c r="E4860" t="str">
        <f t="shared" si="153"/>
        <v>180. Bahrain</v>
      </c>
    </row>
    <row r="4861" spans="1:5" x14ac:dyDescent="0.25">
      <c r="A4861" t="s">
        <v>62</v>
      </c>
      <c r="B4861" t="s">
        <v>397</v>
      </c>
      <c r="C4861">
        <v>0.8</v>
      </c>
      <c r="D4861">
        <f t="shared" si="152"/>
        <v>181</v>
      </c>
      <c r="E4861" t="str">
        <f t="shared" si="153"/>
        <v>181. Dominica</v>
      </c>
    </row>
    <row r="4862" spans="1:5" x14ac:dyDescent="0.25">
      <c r="A4862" t="s">
        <v>111</v>
      </c>
      <c r="B4862" t="s">
        <v>397</v>
      </c>
      <c r="C4862">
        <v>0.8</v>
      </c>
      <c r="D4862">
        <f t="shared" si="152"/>
        <v>182</v>
      </c>
      <c r="E4862" t="str">
        <f t="shared" si="153"/>
        <v>182. Kiribati</v>
      </c>
    </row>
    <row r="4863" spans="1:5" x14ac:dyDescent="0.25">
      <c r="A4863" t="s">
        <v>200</v>
      </c>
      <c r="B4863" t="s">
        <v>397</v>
      </c>
      <c r="C4863">
        <v>0.8</v>
      </c>
      <c r="D4863">
        <f t="shared" si="152"/>
        <v>183</v>
      </c>
      <c r="E4863" t="str">
        <f t="shared" si="153"/>
        <v>183. Tonga</v>
      </c>
    </row>
    <row r="4864" spans="1:5" x14ac:dyDescent="0.25">
      <c r="A4864" t="s">
        <v>75</v>
      </c>
      <c r="B4864" t="s">
        <v>397</v>
      </c>
      <c r="C4864">
        <v>0.7</v>
      </c>
      <c r="D4864">
        <f t="shared" si="152"/>
        <v>184</v>
      </c>
      <c r="E4864" t="str">
        <f t="shared" si="153"/>
        <v>184. Micronesia, Fed. Sts.</v>
      </c>
    </row>
    <row r="4865" spans="1:5" x14ac:dyDescent="0.25">
      <c r="A4865" t="s">
        <v>176</v>
      </c>
      <c r="B4865" t="s">
        <v>397</v>
      </c>
      <c r="C4865">
        <v>0.7</v>
      </c>
      <c r="D4865">
        <f t="shared" si="152"/>
        <v>185</v>
      </c>
      <c r="E4865" t="str">
        <f t="shared" si="153"/>
        <v>185. Singapore</v>
      </c>
    </row>
    <row r="4866" spans="1:5" x14ac:dyDescent="0.25">
      <c r="A4866" t="s">
        <v>96</v>
      </c>
      <c r="B4866" t="s">
        <v>397</v>
      </c>
      <c r="C4866">
        <v>0.6</v>
      </c>
      <c r="D4866">
        <f t="shared" si="152"/>
        <v>186</v>
      </c>
      <c r="E4866" t="str">
        <f t="shared" si="153"/>
        <v>186. Isle of Man</v>
      </c>
    </row>
    <row r="4867" spans="1:5" x14ac:dyDescent="0.25">
      <c r="A4867" t="s">
        <v>119</v>
      </c>
      <c r="B4867" t="s">
        <v>397</v>
      </c>
      <c r="C4867">
        <v>0.6</v>
      </c>
      <c r="D4867">
        <f t="shared" si="152"/>
        <v>187</v>
      </c>
      <c r="E4867" t="str">
        <f t="shared" si="153"/>
        <v>187. St. Lucia</v>
      </c>
    </row>
    <row r="4868" spans="1:5" x14ac:dyDescent="0.25">
      <c r="A4868" t="s">
        <v>14</v>
      </c>
      <c r="B4868" t="s">
        <v>397</v>
      </c>
      <c r="C4868">
        <v>0.5</v>
      </c>
      <c r="D4868">
        <f t="shared" ref="D4868:D4931" si="154">IF(ROW() = 2, 1, IF(B4868 = B4867, D4867 + 1, 1))</f>
        <v>188</v>
      </c>
      <c r="E4868" t="str">
        <f t="shared" ref="E4868:E4931" si="155">_xlfn.CONCAT(D4868, ". ", A4868)</f>
        <v>188. Andorra</v>
      </c>
    </row>
    <row r="4869" spans="1:5" x14ac:dyDescent="0.25">
      <c r="A4869" t="s">
        <v>88</v>
      </c>
      <c r="B4869" t="s">
        <v>397</v>
      </c>
      <c r="C4869">
        <v>0.5</v>
      </c>
      <c r="D4869">
        <f t="shared" si="154"/>
        <v>189</v>
      </c>
      <c r="E4869" t="str">
        <f t="shared" si="155"/>
        <v>189. Guam</v>
      </c>
    </row>
    <row r="4870" spans="1:5" x14ac:dyDescent="0.25">
      <c r="A4870" t="s">
        <v>140</v>
      </c>
      <c r="B4870" t="s">
        <v>397</v>
      </c>
      <c r="C4870">
        <v>0.5</v>
      </c>
      <c r="D4870">
        <f t="shared" si="154"/>
        <v>190</v>
      </c>
      <c r="E4870" t="str">
        <f t="shared" si="155"/>
        <v>190. Northern Mariana Islands</v>
      </c>
    </row>
    <row r="4871" spans="1:5" x14ac:dyDescent="0.25">
      <c r="A4871" t="s">
        <v>161</v>
      </c>
      <c r="B4871" t="s">
        <v>397</v>
      </c>
      <c r="C4871">
        <v>0.5</v>
      </c>
      <c r="D4871">
        <f t="shared" si="154"/>
        <v>191</v>
      </c>
      <c r="E4871" t="str">
        <f t="shared" si="155"/>
        <v>191. Palau</v>
      </c>
    </row>
    <row r="4872" spans="1:5" x14ac:dyDescent="0.25">
      <c r="A4872" t="s">
        <v>191</v>
      </c>
      <c r="B4872" t="s">
        <v>397</v>
      </c>
      <c r="C4872">
        <v>0.5</v>
      </c>
      <c r="D4872">
        <f t="shared" si="154"/>
        <v>192</v>
      </c>
      <c r="E4872" t="str">
        <f t="shared" si="155"/>
        <v>192. Seychelles</v>
      </c>
    </row>
    <row r="4873" spans="1:5" x14ac:dyDescent="0.25">
      <c r="A4873" t="s">
        <v>19</v>
      </c>
      <c r="B4873" t="s">
        <v>397</v>
      </c>
      <c r="C4873">
        <v>0.4</v>
      </c>
      <c r="D4873">
        <f t="shared" si="154"/>
        <v>193</v>
      </c>
      <c r="E4873" t="str">
        <f t="shared" si="155"/>
        <v>193. Antigua and Barbuda</v>
      </c>
    </row>
    <row r="4874" spans="1:5" x14ac:dyDescent="0.25">
      <c r="A4874" t="s">
        <v>37</v>
      </c>
      <c r="B4874" t="s">
        <v>397</v>
      </c>
      <c r="C4874">
        <v>0.4</v>
      </c>
      <c r="D4874">
        <f t="shared" si="154"/>
        <v>194</v>
      </c>
      <c r="E4874" t="str">
        <f t="shared" si="155"/>
        <v>194. Barbados</v>
      </c>
    </row>
    <row r="4875" spans="1:5" x14ac:dyDescent="0.25">
      <c r="A4875" t="s">
        <v>56</v>
      </c>
      <c r="B4875" t="s">
        <v>397</v>
      </c>
      <c r="C4875">
        <v>0.4</v>
      </c>
      <c r="D4875">
        <f t="shared" si="154"/>
        <v>195</v>
      </c>
      <c r="E4875" t="str">
        <f t="shared" si="155"/>
        <v>195. Curacao</v>
      </c>
    </row>
    <row r="4876" spans="1:5" x14ac:dyDescent="0.25">
      <c r="A4876" t="s">
        <v>211</v>
      </c>
      <c r="B4876" t="s">
        <v>397</v>
      </c>
      <c r="C4876">
        <v>0.4</v>
      </c>
      <c r="D4876">
        <f t="shared" si="154"/>
        <v>196</v>
      </c>
      <c r="E4876" t="str">
        <f t="shared" si="155"/>
        <v>196. St. Vincent and the Grenadines</v>
      </c>
    </row>
    <row r="4877" spans="1:5" x14ac:dyDescent="0.25">
      <c r="A4877" t="s">
        <v>212</v>
      </c>
      <c r="B4877" t="s">
        <v>397</v>
      </c>
      <c r="C4877">
        <v>0.4</v>
      </c>
      <c r="D4877">
        <f t="shared" si="154"/>
        <v>197</v>
      </c>
      <c r="E4877" t="str">
        <f t="shared" si="155"/>
        <v>197. Virgin Islands (U.S.)</v>
      </c>
    </row>
    <row r="4878" spans="1:5" x14ac:dyDescent="0.25">
      <c r="A4878" t="s">
        <v>57</v>
      </c>
      <c r="B4878" t="s">
        <v>397</v>
      </c>
      <c r="C4878">
        <v>0.3</v>
      </c>
      <c r="D4878">
        <f t="shared" si="154"/>
        <v>198</v>
      </c>
      <c r="E4878" t="str">
        <f t="shared" si="155"/>
        <v>198. Cayman Islands</v>
      </c>
    </row>
    <row r="4879" spans="1:5" x14ac:dyDescent="0.25">
      <c r="A4879" t="s">
        <v>85</v>
      </c>
      <c r="B4879" t="s">
        <v>397</v>
      </c>
      <c r="C4879">
        <v>0.3</v>
      </c>
      <c r="D4879">
        <f t="shared" si="154"/>
        <v>199</v>
      </c>
      <c r="E4879" t="str">
        <f t="shared" si="155"/>
        <v>199. Grenada</v>
      </c>
    </row>
    <row r="4880" spans="1:5" x14ac:dyDescent="0.25">
      <c r="A4880" t="s">
        <v>131</v>
      </c>
      <c r="B4880" t="s">
        <v>397</v>
      </c>
      <c r="C4880">
        <v>0.3</v>
      </c>
      <c r="D4880">
        <f t="shared" si="154"/>
        <v>200</v>
      </c>
      <c r="E4880" t="str">
        <f t="shared" si="155"/>
        <v>200. Maldives</v>
      </c>
    </row>
    <row r="4881" spans="1:5" x14ac:dyDescent="0.25">
      <c r="A4881" t="s">
        <v>136</v>
      </c>
      <c r="B4881" t="s">
        <v>397</v>
      </c>
      <c r="C4881">
        <v>0.3</v>
      </c>
      <c r="D4881">
        <f t="shared" si="154"/>
        <v>201</v>
      </c>
      <c r="E4881" t="str">
        <f t="shared" si="155"/>
        <v>201. Malta</v>
      </c>
    </row>
    <row r="4882" spans="1:5" x14ac:dyDescent="0.25">
      <c r="A4882" t="s">
        <v>112</v>
      </c>
      <c r="B4882" t="s">
        <v>397</v>
      </c>
      <c r="C4882">
        <v>0.3</v>
      </c>
      <c r="D4882">
        <f t="shared" si="154"/>
        <v>202</v>
      </c>
      <c r="E4882" t="str">
        <f t="shared" si="155"/>
        <v>202. St. Kitts and Nevis</v>
      </c>
    </row>
    <row r="4883" spans="1:5" x14ac:dyDescent="0.25">
      <c r="A4883" t="s">
        <v>18</v>
      </c>
      <c r="B4883" t="s">
        <v>397</v>
      </c>
      <c r="C4883">
        <v>0.2</v>
      </c>
      <c r="D4883">
        <f t="shared" si="154"/>
        <v>203</v>
      </c>
      <c r="E4883" t="str">
        <f t="shared" si="155"/>
        <v>203. American Samoa</v>
      </c>
    </row>
    <row r="4884" spans="1:5" x14ac:dyDescent="0.25">
      <c r="A4884" t="s">
        <v>10</v>
      </c>
      <c r="B4884" t="s">
        <v>397</v>
      </c>
      <c r="C4884">
        <v>0.2</v>
      </c>
      <c r="D4884">
        <f t="shared" si="154"/>
        <v>204</v>
      </c>
      <c r="E4884" t="str">
        <f t="shared" si="155"/>
        <v>204. Aruba</v>
      </c>
    </row>
    <row r="4885" spans="1:5" x14ac:dyDescent="0.25">
      <c r="A4885" t="s">
        <v>120</v>
      </c>
      <c r="B4885" t="s">
        <v>397</v>
      </c>
      <c r="C4885">
        <v>0.2</v>
      </c>
      <c r="D4885">
        <f t="shared" si="154"/>
        <v>205</v>
      </c>
      <c r="E4885" t="str">
        <f t="shared" si="155"/>
        <v>205. Liechtenstein</v>
      </c>
    </row>
    <row r="4886" spans="1:5" x14ac:dyDescent="0.25">
      <c r="A4886" t="s">
        <v>133</v>
      </c>
      <c r="B4886" t="s">
        <v>397</v>
      </c>
      <c r="C4886">
        <v>0.2</v>
      </c>
      <c r="D4886">
        <f t="shared" si="154"/>
        <v>206</v>
      </c>
      <c r="E4886" t="str">
        <f t="shared" si="155"/>
        <v>206. Marshall Islands</v>
      </c>
    </row>
    <row r="4887" spans="1:5" x14ac:dyDescent="0.25">
      <c r="A4887" t="s">
        <v>128</v>
      </c>
      <c r="B4887" t="s">
        <v>397</v>
      </c>
      <c r="C4887">
        <v>0.1</v>
      </c>
      <c r="D4887">
        <f t="shared" si="154"/>
        <v>207</v>
      </c>
      <c r="E4887" t="str">
        <f t="shared" si="155"/>
        <v>207. Monaco</v>
      </c>
    </row>
    <row r="4888" spans="1:5" x14ac:dyDescent="0.25">
      <c r="A4888" t="s">
        <v>180</v>
      </c>
      <c r="B4888" t="s">
        <v>397</v>
      </c>
      <c r="C4888">
        <v>0.1</v>
      </c>
      <c r="D4888">
        <f t="shared" si="154"/>
        <v>208</v>
      </c>
      <c r="E4888" t="str">
        <f t="shared" si="155"/>
        <v>208. San Marino</v>
      </c>
    </row>
    <row r="4889" spans="1:5" x14ac:dyDescent="0.25">
      <c r="A4889" t="s">
        <v>221</v>
      </c>
      <c r="B4889" t="s">
        <v>397</v>
      </c>
      <c r="C4889">
        <v>0.1</v>
      </c>
      <c r="D4889">
        <f t="shared" si="154"/>
        <v>209</v>
      </c>
      <c r="E4889" t="str">
        <f t="shared" si="155"/>
        <v>209. St. Martin (French part)</v>
      </c>
    </row>
    <row r="4890" spans="1:5" x14ac:dyDescent="0.25">
      <c r="A4890" t="s">
        <v>126</v>
      </c>
      <c r="B4890" t="s">
        <v>397</v>
      </c>
      <c r="C4890">
        <v>0</v>
      </c>
      <c r="D4890">
        <f t="shared" si="154"/>
        <v>210</v>
      </c>
      <c r="E4890" t="str">
        <f t="shared" si="155"/>
        <v>210. Macao SAR, China</v>
      </c>
    </row>
    <row r="4891" spans="1:5" x14ac:dyDescent="0.25">
      <c r="A4891" t="s">
        <v>154</v>
      </c>
      <c r="B4891" t="s">
        <v>397</v>
      </c>
      <c r="C4891">
        <v>0</v>
      </c>
      <c r="D4891">
        <f t="shared" si="154"/>
        <v>211</v>
      </c>
      <c r="E4891" t="str">
        <f t="shared" si="155"/>
        <v>211. Nauru</v>
      </c>
    </row>
    <row r="4892" spans="1:5" x14ac:dyDescent="0.25">
      <c r="A4892" t="s">
        <v>190</v>
      </c>
      <c r="B4892" t="s">
        <v>397</v>
      </c>
      <c r="C4892">
        <v>0</v>
      </c>
      <c r="D4892">
        <f t="shared" si="154"/>
        <v>212</v>
      </c>
      <c r="E4892" t="str">
        <f t="shared" si="155"/>
        <v>212. Sint Maarten (Dutch part)</v>
      </c>
    </row>
    <row r="4893" spans="1:5" x14ac:dyDescent="0.25">
      <c r="A4893" t="s">
        <v>204</v>
      </c>
      <c r="B4893" t="s">
        <v>397</v>
      </c>
      <c r="C4893">
        <v>0</v>
      </c>
      <c r="D4893">
        <f t="shared" si="154"/>
        <v>213</v>
      </c>
      <c r="E4893" t="str">
        <f t="shared" si="155"/>
        <v>213. Tuvalu</v>
      </c>
    </row>
    <row r="4894" spans="1:5" x14ac:dyDescent="0.25">
      <c r="A4894" t="s">
        <v>189</v>
      </c>
      <c r="B4894" t="s">
        <v>347</v>
      </c>
      <c r="C4894">
        <v>34.4</v>
      </c>
      <c r="D4894">
        <f t="shared" si="154"/>
        <v>1</v>
      </c>
      <c r="E4894" t="str">
        <f t="shared" si="155"/>
        <v>1. Eswatini</v>
      </c>
    </row>
    <row r="4895" spans="1:5" x14ac:dyDescent="0.25">
      <c r="A4895" t="s">
        <v>218</v>
      </c>
      <c r="B4895" t="s">
        <v>347</v>
      </c>
      <c r="C4895">
        <v>33.200000000000003</v>
      </c>
      <c r="D4895">
        <f t="shared" si="154"/>
        <v>2</v>
      </c>
      <c r="E4895" t="str">
        <f t="shared" si="155"/>
        <v>2. South Africa</v>
      </c>
    </row>
    <row r="4896" spans="1:5" x14ac:dyDescent="0.25">
      <c r="A4896" t="s">
        <v>61</v>
      </c>
      <c r="B4896" t="s">
        <v>347</v>
      </c>
      <c r="C4896">
        <v>25.9</v>
      </c>
      <c r="D4896">
        <f t="shared" si="154"/>
        <v>3</v>
      </c>
      <c r="E4896" t="str">
        <f t="shared" si="155"/>
        <v>3. Djibouti</v>
      </c>
    </row>
    <row r="4897" spans="1:5" x14ac:dyDescent="0.25">
      <c r="A4897" t="s">
        <v>40</v>
      </c>
      <c r="B4897" t="s">
        <v>347</v>
      </c>
      <c r="C4897">
        <v>23.1</v>
      </c>
      <c r="D4897">
        <f t="shared" si="154"/>
        <v>4</v>
      </c>
      <c r="E4897" t="str">
        <f t="shared" si="155"/>
        <v>4. Botswana</v>
      </c>
    </row>
    <row r="4898" spans="1:5" x14ac:dyDescent="0.25">
      <c r="A4898" t="s">
        <v>76</v>
      </c>
      <c r="B4898" t="s">
        <v>347</v>
      </c>
      <c r="C4898">
        <v>20.100000000000001</v>
      </c>
      <c r="D4898">
        <f t="shared" si="154"/>
        <v>5</v>
      </c>
      <c r="E4898" t="str">
        <f t="shared" si="155"/>
        <v>5. Gabon</v>
      </c>
    </row>
    <row r="4899" spans="1:5" x14ac:dyDescent="0.25">
      <c r="A4899" t="s">
        <v>50</v>
      </c>
      <c r="B4899" t="s">
        <v>347</v>
      </c>
      <c r="C4899">
        <v>19.7</v>
      </c>
      <c r="D4899">
        <f t="shared" si="154"/>
        <v>6</v>
      </c>
      <c r="E4899" t="str">
        <f t="shared" si="155"/>
        <v>6. Congo, Rep.</v>
      </c>
    </row>
    <row r="4900" spans="1:5" x14ac:dyDescent="0.25">
      <c r="A4900" t="s">
        <v>146</v>
      </c>
      <c r="B4900" t="s">
        <v>347</v>
      </c>
      <c r="C4900">
        <v>19.100000000000001</v>
      </c>
      <c r="D4900">
        <f t="shared" si="154"/>
        <v>7</v>
      </c>
      <c r="E4900" t="str">
        <f t="shared" si="155"/>
        <v>7. Namibia</v>
      </c>
    </row>
    <row r="4901" spans="1:5" x14ac:dyDescent="0.25">
      <c r="A4901" t="s">
        <v>222</v>
      </c>
      <c r="B4901" t="s">
        <v>347</v>
      </c>
      <c r="C4901">
        <v>18.899999999999999</v>
      </c>
      <c r="D4901">
        <f t="shared" si="154"/>
        <v>8</v>
      </c>
      <c r="E4901" t="str">
        <f t="shared" si="155"/>
        <v>8. Somalia, Fed. Rep.</v>
      </c>
    </row>
    <row r="4902" spans="1:5" x14ac:dyDescent="0.25">
      <c r="A4902" t="s">
        <v>118</v>
      </c>
      <c r="B4902" t="s">
        <v>347</v>
      </c>
      <c r="C4902">
        <v>18.600000000000001</v>
      </c>
      <c r="D4902">
        <f t="shared" si="154"/>
        <v>9</v>
      </c>
      <c r="E4902" t="str">
        <f t="shared" si="155"/>
        <v>9. Libya</v>
      </c>
    </row>
    <row r="4903" spans="1:5" x14ac:dyDescent="0.25">
      <c r="A4903" t="s">
        <v>211</v>
      </c>
      <c r="B4903" t="s">
        <v>347</v>
      </c>
      <c r="C4903">
        <v>18.100000000000001</v>
      </c>
      <c r="D4903">
        <f t="shared" si="154"/>
        <v>10</v>
      </c>
      <c r="E4903" t="str">
        <f t="shared" si="155"/>
        <v>10. St. Vincent and the Grenadines</v>
      </c>
    </row>
    <row r="4904" spans="1:5" x14ac:dyDescent="0.25">
      <c r="A4904" t="s">
        <v>105</v>
      </c>
      <c r="B4904" t="s">
        <v>347</v>
      </c>
      <c r="C4904">
        <v>18</v>
      </c>
      <c r="D4904">
        <f t="shared" si="154"/>
        <v>11</v>
      </c>
      <c r="E4904" t="str">
        <f t="shared" si="155"/>
        <v>11. Jordan</v>
      </c>
    </row>
    <row r="4905" spans="1:5" x14ac:dyDescent="0.25">
      <c r="A4905" t="s">
        <v>217</v>
      </c>
      <c r="B4905" t="s">
        <v>347</v>
      </c>
      <c r="C4905">
        <v>17.100000000000001</v>
      </c>
      <c r="D4905">
        <f t="shared" si="154"/>
        <v>12</v>
      </c>
      <c r="E4905" t="str">
        <f t="shared" si="155"/>
        <v>12. Yemen, Rep.</v>
      </c>
    </row>
    <row r="4906" spans="1:5" x14ac:dyDescent="0.25">
      <c r="A4906" t="s">
        <v>202</v>
      </c>
      <c r="B4906" t="s">
        <v>347</v>
      </c>
      <c r="C4906">
        <v>16.2</v>
      </c>
      <c r="D4906">
        <f t="shared" si="154"/>
        <v>13</v>
      </c>
      <c r="E4906" t="str">
        <f t="shared" si="155"/>
        <v>13. Tunisia</v>
      </c>
    </row>
    <row r="4907" spans="1:5" x14ac:dyDescent="0.25">
      <c r="A4907" t="s">
        <v>122</v>
      </c>
      <c r="B4907" t="s">
        <v>347</v>
      </c>
      <c r="C4907">
        <v>16.100000000000001</v>
      </c>
      <c r="D4907">
        <f t="shared" si="154"/>
        <v>14</v>
      </c>
      <c r="E4907" t="str">
        <f t="shared" si="155"/>
        <v>14. Lesotho</v>
      </c>
    </row>
    <row r="4908" spans="1:5" x14ac:dyDescent="0.25">
      <c r="A4908" t="s">
        <v>100</v>
      </c>
      <c r="B4908" t="s">
        <v>347</v>
      </c>
      <c r="C4908">
        <v>15.5</v>
      </c>
      <c r="D4908">
        <f t="shared" si="154"/>
        <v>15</v>
      </c>
      <c r="E4908" t="str">
        <f t="shared" si="155"/>
        <v>15. Iraq</v>
      </c>
    </row>
    <row r="4909" spans="1:5" x14ac:dyDescent="0.25">
      <c r="A4909" t="s">
        <v>93</v>
      </c>
      <c r="B4909" t="s">
        <v>347</v>
      </c>
      <c r="C4909">
        <v>15.1</v>
      </c>
      <c r="D4909">
        <f t="shared" si="154"/>
        <v>16</v>
      </c>
      <c r="E4909" t="str">
        <f t="shared" si="155"/>
        <v>16. Haiti</v>
      </c>
    </row>
    <row r="4910" spans="1:5" x14ac:dyDescent="0.25">
      <c r="A4910" t="s">
        <v>12</v>
      </c>
      <c r="B4910" t="s">
        <v>347</v>
      </c>
      <c r="C4910">
        <v>14.5</v>
      </c>
      <c r="D4910">
        <f t="shared" si="154"/>
        <v>17</v>
      </c>
      <c r="E4910" t="str">
        <f t="shared" si="155"/>
        <v>17. Angola</v>
      </c>
    </row>
    <row r="4911" spans="1:5" x14ac:dyDescent="0.25">
      <c r="A4911" t="s">
        <v>138</v>
      </c>
      <c r="B4911" t="s">
        <v>347</v>
      </c>
      <c r="C4911">
        <v>14.1</v>
      </c>
      <c r="D4911">
        <f t="shared" si="154"/>
        <v>18</v>
      </c>
      <c r="E4911" t="str">
        <f t="shared" si="155"/>
        <v>18. Montenegro</v>
      </c>
    </row>
    <row r="4912" spans="1:5" x14ac:dyDescent="0.25">
      <c r="A4912" t="s">
        <v>134</v>
      </c>
      <c r="B4912" t="s">
        <v>347</v>
      </c>
      <c r="C4912">
        <v>13.4</v>
      </c>
      <c r="D4912">
        <f t="shared" si="154"/>
        <v>19</v>
      </c>
      <c r="E4912" t="str">
        <f t="shared" si="155"/>
        <v>19. North Macedonia</v>
      </c>
    </row>
    <row r="4913" spans="1:5" x14ac:dyDescent="0.25">
      <c r="A4913" t="s">
        <v>11</v>
      </c>
      <c r="B4913" t="s">
        <v>347</v>
      </c>
      <c r="C4913">
        <v>13.3</v>
      </c>
      <c r="D4913">
        <f t="shared" si="154"/>
        <v>20</v>
      </c>
      <c r="E4913" t="str">
        <f t="shared" si="155"/>
        <v>20. Afghanistan</v>
      </c>
    </row>
    <row r="4914" spans="1:5" x14ac:dyDescent="0.25">
      <c r="A4914" t="s">
        <v>17</v>
      </c>
      <c r="B4914" t="s">
        <v>347</v>
      </c>
      <c r="C4914">
        <v>13.3</v>
      </c>
      <c r="D4914">
        <f t="shared" si="154"/>
        <v>21</v>
      </c>
      <c r="E4914" t="str">
        <f t="shared" si="155"/>
        <v>21. Armenia</v>
      </c>
    </row>
    <row r="4915" spans="1:5" x14ac:dyDescent="0.25">
      <c r="A4915" t="s">
        <v>192</v>
      </c>
      <c r="B4915" t="s">
        <v>347</v>
      </c>
      <c r="C4915">
        <v>13</v>
      </c>
      <c r="D4915">
        <f t="shared" si="154"/>
        <v>22</v>
      </c>
      <c r="E4915" t="str">
        <f t="shared" si="155"/>
        <v>22. Syrian Arab Republic</v>
      </c>
    </row>
    <row r="4916" spans="1:5" x14ac:dyDescent="0.25">
      <c r="A4916" t="s">
        <v>172</v>
      </c>
      <c r="B4916" t="s">
        <v>347</v>
      </c>
      <c r="C4916">
        <v>12</v>
      </c>
      <c r="D4916">
        <f t="shared" si="154"/>
        <v>23</v>
      </c>
      <c r="E4916" t="str">
        <f t="shared" si="155"/>
        <v>23. Rwanda</v>
      </c>
    </row>
    <row r="4917" spans="1:5" x14ac:dyDescent="0.25">
      <c r="A4917" t="s">
        <v>212</v>
      </c>
      <c r="B4917" t="s">
        <v>347</v>
      </c>
      <c r="C4917">
        <v>12</v>
      </c>
      <c r="D4917">
        <f t="shared" si="154"/>
        <v>24</v>
      </c>
      <c r="E4917" t="str">
        <f t="shared" si="155"/>
        <v>24. Virgin Islands (U.S.)</v>
      </c>
    </row>
    <row r="4918" spans="1:5" x14ac:dyDescent="0.25">
      <c r="A4918" t="s">
        <v>53</v>
      </c>
      <c r="B4918" t="s">
        <v>347</v>
      </c>
      <c r="C4918">
        <v>11.9</v>
      </c>
      <c r="D4918">
        <f t="shared" si="154"/>
        <v>25</v>
      </c>
      <c r="E4918" t="str">
        <f t="shared" si="155"/>
        <v>25. Cabo Verde</v>
      </c>
    </row>
    <row r="4919" spans="1:5" x14ac:dyDescent="0.25">
      <c r="A4919" t="s">
        <v>168</v>
      </c>
      <c r="B4919" t="s">
        <v>347</v>
      </c>
      <c r="C4919">
        <v>11.8</v>
      </c>
      <c r="D4919">
        <f t="shared" si="154"/>
        <v>26</v>
      </c>
      <c r="E4919" t="str">
        <f t="shared" si="155"/>
        <v>26. French Polynesia</v>
      </c>
    </row>
    <row r="4920" spans="1:5" x14ac:dyDescent="0.25">
      <c r="A4920" t="s">
        <v>197</v>
      </c>
      <c r="B4920" t="s">
        <v>347</v>
      </c>
      <c r="C4920">
        <v>11.6</v>
      </c>
      <c r="D4920">
        <f t="shared" si="154"/>
        <v>27</v>
      </c>
      <c r="E4920" t="str">
        <f t="shared" si="155"/>
        <v>27. Tajikistan</v>
      </c>
    </row>
    <row r="4921" spans="1:5" x14ac:dyDescent="0.25">
      <c r="A4921" t="s">
        <v>78</v>
      </c>
      <c r="B4921" t="s">
        <v>347</v>
      </c>
      <c r="C4921">
        <v>11.5</v>
      </c>
      <c r="D4921">
        <f t="shared" si="154"/>
        <v>28</v>
      </c>
      <c r="E4921" t="str">
        <f t="shared" si="155"/>
        <v>28. Georgia</v>
      </c>
    </row>
    <row r="4922" spans="1:5" x14ac:dyDescent="0.25">
      <c r="A4922" t="s">
        <v>65</v>
      </c>
      <c r="B4922" t="s">
        <v>347</v>
      </c>
      <c r="C4922">
        <v>11.4</v>
      </c>
      <c r="D4922">
        <f t="shared" si="154"/>
        <v>29</v>
      </c>
      <c r="E4922" t="str">
        <f t="shared" si="155"/>
        <v>29. Algeria</v>
      </c>
    </row>
    <row r="4923" spans="1:5" x14ac:dyDescent="0.25">
      <c r="A4923" t="s">
        <v>68</v>
      </c>
      <c r="B4923" t="s">
        <v>347</v>
      </c>
      <c r="C4923">
        <v>11.4</v>
      </c>
      <c r="D4923">
        <f t="shared" si="154"/>
        <v>30</v>
      </c>
      <c r="E4923" t="str">
        <f t="shared" si="155"/>
        <v>30. Spain</v>
      </c>
    </row>
    <row r="4924" spans="1:5" x14ac:dyDescent="0.25">
      <c r="A4924" t="s">
        <v>147</v>
      </c>
      <c r="B4924" t="s">
        <v>347</v>
      </c>
      <c r="C4924">
        <v>11.2</v>
      </c>
      <c r="D4924">
        <f t="shared" si="154"/>
        <v>31</v>
      </c>
      <c r="E4924" t="str">
        <f t="shared" si="155"/>
        <v>31. New Caledonia</v>
      </c>
    </row>
    <row r="4925" spans="1:5" x14ac:dyDescent="0.25">
      <c r="A4925" t="s">
        <v>119</v>
      </c>
      <c r="B4925" t="s">
        <v>347</v>
      </c>
      <c r="C4925">
        <v>10.9</v>
      </c>
      <c r="D4925">
        <f t="shared" si="154"/>
        <v>32</v>
      </c>
      <c r="E4925" t="str">
        <f t="shared" si="155"/>
        <v>32. St. Lucia</v>
      </c>
    </row>
    <row r="4926" spans="1:5" x14ac:dyDescent="0.25">
      <c r="A4926" t="s">
        <v>31</v>
      </c>
      <c r="B4926" t="s">
        <v>347</v>
      </c>
      <c r="C4926">
        <v>10.7</v>
      </c>
      <c r="D4926">
        <f t="shared" si="154"/>
        <v>33</v>
      </c>
      <c r="E4926" t="str">
        <f t="shared" si="155"/>
        <v>33. Bosnia and Herzegovina</v>
      </c>
    </row>
    <row r="4927" spans="1:5" x14ac:dyDescent="0.25">
      <c r="A4927" t="s">
        <v>153</v>
      </c>
      <c r="B4927" t="s">
        <v>347</v>
      </c>
      <c r="C4927">
        <v>10.7</v>
      </c>
      <c r="D4927">
        <f t="shared" si="154"/>
        <v>34</v>
      </c>
      <c r="E4927" t="str">
        <f t="shared" si="155"/>
        <v>34. Nepal</v>
      </c>
    </row>
    <row r="4928" spans="1:5" x14ac:dyDescent="0.25">
      <c r="A4928" t="s">
        <v>142</v>
      </c>
      <c r="B4928" t="s">
        <v>347</v>
      </c>
      <c r="C4928">
        <v>10.4</v>
      </c>
      <c r="D4928">
        <f t="shared" si="154"/>
        <v>35</v>
      </c>
      <c r="E4928" t="str">
        <f t="shared" si="155"/>
        <v>35. Mauritania</v>
      </c>
    </row>
    <row r="4929" spans="1:5" x14ac:dyDescent="0.25">
      <c r="A4929" t="s">
        <v>13</v>
      </c>
      <c r="B4929" t="s">
        <v>347</v>
      </c>
      <c r="C4929">
        <v>10.3</v>
      </c>
      <c r="D4929">
        <f t="shared" si="154"/>
        <v>36</v>
      </c>
      <c r="E4929" t="str">
        <f t="shared" si="155"/>
        <v>36. Albania</v>
      </c>
    </row>
    <row r="4930" spans="1:5" x14ac:dyDescent="0.25">
      <c r="A4930" t="s">
        <v>89</v>
      </c>
      <c r="B4930" t="s">
        <v>347</v>
      </c>
      <c r="C4930">
        <v>10.199999999999999</v>
      </c>
      <c r="D4930">
        <f t="shared" si="154"/>
        <v>37</v>
      </c>
      <c r="E4930" t="str">
        <f t="shared" si="155"/>
        <v>37. Guyana</v>
      </c>
    </row>
    <row r="4931" spans="1:5" x14ac:dyDescent="0.25">
      <c r="A4931" t="s">
        <v>84</v>
      </c>
      <c r="B4931" t="s">
        <v>347</v>
      </c>
      <c r="C4931">
        <v>10.1</v>
      </c>
      <c r="D4931">
        <f t="shared" si="154"/>
        <v>38</v>
      </c>
      <c r="E4931" t="str">
        <f t="shared" si="155"/>
        <v>38. Greece</v>
      </c>
    </row>
    <row r="4932" spans="1:5" x14ac:dyDescent="0.25">
      <c r="A4932" t="s">
        <v>51</v>
      </c>
      <c r="B4932" t="s">
        <v>347</v>
      </c>
      <c r="C4932">
        <v>9.6</v>
      </c>
      <c r="D4932">
        <f t="shared" ref="D4932:D4995" si="156">IF(ROW() = 2, 1, IF(B4932 = B4931, D4931 + 1, 1))</f>
        <v>39</v>
      </c>
      <c r="E4932" t="str">
        <f t="shared" ref="E4932:E4995" si="157">_xlfn.CONCAT(D4932, ". ", A4932)</f>
        <v>39. Colombia</v>
      </c>
    </row>
    <row r="4933" spans="1:5" x14ac:dyDescent="0.25">
      <c r="A4933" t="s">
        <v>99</v>
      </c>
      <c r="B4933" t="s">
        <v>347</v>
      </c>
      <c r="C4933">
        <v>9.1999999999999993</v>
      </c>
      <c r="D4933">
        <f t="shared" si="156"/>
        <v>40</v>
      </c>
      <c r="E4933" t="str">
        <f t="shared" si="157"/>
        <v>40. Iran, Islamic Rep.</v>
      </c>
    </row>
    <row r="4934" spans="1:5" x14ac:dyDescent="0.25">
      <c r="A4934" t="s">
        <v>184</v>
      </c>
      <c r="B4934" t="s">
        <v>347</v>
      </c>
      <c r="C4934">
        <v>9.1999999999999993</v>
      </c>
      <c r="D4934">
        <f t="shared" si="156"/>
        <v>41</v>
      </c>
      <c r="E4934" t="str">
        <f t="shared" si="157"/>
        <v>41. Sao Tome and Principe</v>
      </c>
    </row>
    <row r="4935" spans="1:5" x14ac:dyDescent="0.25">
      <c r="A4935" t="s">
        <v>45</v>
      </c>
      <c r="B4935" t="s">
        <v>347</v>
      </c>
      <c r="C4935">
        <v>9.1</v>
      </c>
      <c r="D4935">
        <f t="shared" si="156"/>
        <v>42</v>
      </c>
      <c r="E4935" t="str">
        <f t="shared" si="157"/>
        <v>42. Chile</v>
      </c>
    </row>
    <row r="4936" spans="1:5" x14ac:dyDescent="0.25">
      <c r="A4936" t="s">
        <v>127</v>
      </c>
      <c r="B4936" t="s">
        <v>347</v>
      </c>
      <c r="C4936">
        <v>8.9</v>
      </c>
      <c r="D4936">
        <f t="shared" si="156"/>
        <v>43</v>
      </c>
      <c r="E4936" t="str">
        <f t="shared" si="157"/>
        <v>43. Morocco</v>
      </c>
    </row>
    <row r="4937" spans="1:5" x14ac:dyDescent="0.25">
      <c r="A4937" t="s">
        <v>220</v>
      </c>
      <c r="B4937" t="s">
        <v>347</v>
      </c>
      <c r="C4937">
        <v>8.6</v>
      </c>
      <c r="D4937">
        <f t="shared" si="156"/>
        <v>44</v>
      </c>
      <c r="E4937" t="str">
        <f t="shared" si="157"/>
        <v>44. Zimbabwe</v>
      </c>
    </row>
    <row r="4938" spans="1:5" x14ac:dyDescent="0.25">
      <c r="A4938" t="s">
        <v>30</v>
      </c>
      <c r="B4938" t="s">
        <v>347</v>
      </c>
      <c r="C4938">
        <v>8.5</v>
      </c>
      <c r="D4938">
        <f t="shared" si="156"/>
        <v>45</v>
      </c>
      <c r="E4938" t="str">
        <f t="shared" si="157"/>
        <v>45. Bahamas, The</v>
      </c>
    </row>
    <row r="4939" spans="1:5" x14ac:dyDescent="0.25">
      <c r="A4939" t="s">
        <v>188</v>
      </c>
      <c r="B4939" t="s">
        <v>347</v>
      </c>
      <c r="C4939">
        <v>8.5</v>
      </c>
      <c r="D4939">
        <f t="shared" si="156"/>
        <v>46</v>
      </c>
      <c r="E4939" t="str">
        <f t="shared" si="157"/>
        <v>46. Sweden</v>
      </c>
    </row>
    <row r="4940" spans="1:5" x14ac:dyDescent="0.25">
      <c r="A4940" t="s">
        <v>203</v>
      </c>
      <c r="B4940" t="s">
        <v>347</v>
      </c>
      <c r="C4940">
        <v>8.4</v>
      </c>
      <c r="D4940">
        <f t="shared" si="156"/>
        <v>47</v>
      </c>
      <c r="E4940" t="str">
        <f t="shared" si="157"/>
        <v>47. Turkiye</v>
      </c>
    </row>
    <row r="4941" spans="1:5" x14ac:dyDescent="0.25">
      <c r="A4941" t="s">
        <v>208</v>
      </c>
      <c r="B4941" t="s">
        <v>347</v>
      </c>
      <c r="C4941">
        <v>8.4</v>
      </c>
      <c r="D4941">
        <f t="shared" si="156"/>
        <v>48</v>
      </c>
      <c r="E4941" t="str">
        <f t="shared" si="157"/>
        <v>48. Uruguay</v>
      </c>
    </row>
    <row r="4942" spans="1:5" x14ac:dyDescent="0.25">
      <c r="A4942" t="s">
        <v>71</v>
      </c>
      <c r="B4942" t="s">
        <v>347</v>
      </c>
      <c r="C4942">
        <v>8.3000000000000007</v>
      </c>
      <c r="D4942">
        <f t="shared" si="156"/>
        <v>49</v>
      </c>
      <c r="E4942" t="str">
        <f t="shared" si="157"/>
        <v>49. Finland</v>
      </c>
    </row>
    <row r="4943" spans="1:5" x14ac:dyDescent="0.25">
      <c r="A4943" t="s">
        <v>16</v>
      </c>
      <c r="B4943" t="s">
        <v>347</v>
      </c>
      <c r="C4943">
        <v>7.9</v>
      </c>
      <c r="D4943">
        <f t="shared" si="156"/>
        <v>50</v>
      </c>
      <c r="E4943" t="str">
        <f t="shared" si="157"/>
        <v>50. Argentina</v>
      </c>
    </row>
    <row r="4944" spans="1:5" x14ac:dyDescent="0.25">
      <c r="A4944" t="s">
        <v>54</v>
      </c>
      <c r="B4944" t="s">
        <v>347</v>
      </c>
      <c r="C4944">
        <v>7.8</v>
      </c>
      <c r="D4944">
        <f t="shared" si="156"/>
        <v>51</v>
      </c>
      <c r="E4944" t="str">
        <f t="shared" si="157"/>
        <v>51. Costa Rica</v>
      </c>
    </row>
    <row r="4945" spans="1:5" x14ac:dyDescent="0.25">
      <c r="A4945" t="s">
        <v>83</v>
      </c>
      <c r="B4945" t="s">
        <v>347</v>
      </c>
      <c r="C4945">
        <v>7.8</v>
      </c>
      <c r="D4945">
        <f t="shared" si="156"/>
        <v>52</v>
      </c>
      <c r="E4945" t="str">
        <f t="shared" si="157"/>
        <v>52. Equatorial Guinea</v>
      </c>
    </row>
    <row r="4946" spans="1:5" x14ac:dyDescent="0.25">
      <c r="A4946" t="s">
        <v>69</v>
      </c>
      <c r="B4946" t="s">
        <v>347</v>
      </c>
      <c r="C4946">
        <v>7.8</v>
      </c>
      <c r="D4946">
        <f t="shared" si="156"/>
        <v>53</v>
      </c>
      <c r="E4946" t="str">
        <f t="shared" si="157"/>
        <v>53. Estonia</v>
      </c>
    </row>
    <row r="4947" spans="1:5" x14ac:dyDescent="0.25">
      <c r="A4947" t="s">
        <v>36</v>
      </c>
      <c r="B4947" t="s">
        <v>347</v>
      </c>
      <c r="C4947">
        <v>7.6</v>
      </c>
      <c r="D4947">
        <f t="shared" si="156"/>
        <v>54</v>
      </c>
      <c r="E4947" t="str">
        <f t="shared" si="157"/>
        <v>54. Brazil</v>
      </c>
    </row>
    <row r="4948" spans="1:5" x14ac:dyDescent="0.25">
      <c r="A4948" t="s">
        <v>37</v>
      </c>
      <c r="B4948" t="s">
        <v>347</v>
      </c>
      <c r="C4948">
        <v>7.5</v>
      </c>
      <c r="D4948">
        <f t="shared" si="156"/>
        <v>55</v>
      </c>
      <c r="E4948" t="str">
        <f t="shared" si="157"/>
        <v>55. Barbados</v>
      </c>
    </row>
    <row r="4949" spans="1:5" x14ac:dyDescent="0.25">
      <c r="A4949" t="s">
        <v>123</v>
      </c>
      <c r="B4949" t="s">
        <v>347</v>
      </c>
      <c r="C4949">
        <v>7.5</v>
      </c>
      <c r="D4949">
        <f t="shared" si="156"/>
        <v>56</v>
      </c>
      <c r="E4949" t="str">
        <f t="shared" si="157"/>
        <v>56. Lithuania</v>
      </c>
    </row>
    <row r="4950" spans="1:5" x14ac:dyDescent="0.25">
      <c r="A4950" t="s">
        <v>73</v>
      </c>
      <c r="B4950" t="s">
        <v>347</v>
      </c>
      <c r="C4950">
        <v>7.4</v>
      </c>
      <c r="D4950">
        <f t="shared" si="156"/>
        <v>57</v>
      </c>
      <c r="E4950" t="str">
        <f t="shared" si="157"/>
        <v>57. France</v>
      </c>
    </row>
    <row r="4951" spans="1:5" x14ac:dyDescent="0.25">
      <c r="A4951" t="s">
        <v>182</v>
      </c>
      <c r="B4951" t="s">
        <v>347</v>
      </c>
      <c r="C4951">
        <v>7.4</v>
      </c>
      <c r="D4951">
        <f t="shared" si="156"/>
        <v>58</v>
      </c>
      <c r="E4951" t="str">
        <f t="shared" si="157"/>
        <v>58. Serbia</v>
      </c>
    </row>
    <row r="4952" spans="1:5" x14ac:dyDescent="0.25">
      <c r="A4952" t="s">
        <v>185</v>
      </c>
      <c r="B4952" t="s">
        <v>347</v>
      </c>
      <c r="C4952">
        <v>7.3</v>
      </c>
      <c r="D4952">
        <f t="shared" si="156"/>
        <v>59</v>
      </c>
      <c r="E4952" t="str">
        <f t="shared" si="157"/>
        <v>59. Suriname</v>
      </c>
    </row>
    <row r="4953" spans="1:5" x14ac:dyDescent="0.25">
      <c r="A4953" t="s">
        <v>67</v>
      </c>
      <c r="B4953" t="s">
        <v>347</v>
      </c>
      <c r="C4953">
        <v>7.2</v>
      </c>
      <c r="D4953">
        <f t="shared" si="156"/>
        <v>60</v>
      </c>
      <c r="E4953" t="str">
        <f t="shared" si="157"/>
        <v>60. Egypt, Arab Rep.</v>
      </c>
    </row>
    <row r="4954" spans="1:5" x14ac:dyDescent="0.25">
      <c r="A4954" t="s">
        <v>33</v>
      </c>
      <c r="B4954" t="s">
        <v>347</v>
      </c>
      <c r="C4954">
        <v>7</v>
      </c>
      <c r="D4954">
        <f t="shared" si="156"/>
        <v>61</v>
      </c>
      <c r="E4954" t="str">
        <f t="shared" si="157"/>
        <v>61. Belize</v>
      </c>
    </row>
    <row r="4955" spans="1:5" x14ac:dyDescent="0.25">
      <c r="A4955" t="s">
        <v>103</v>
      </c>
      <c r="B4955" t="s">
        <v>347</v>
      </c>
      <c r="C4955">
        <v>6.8</v>
      </c>
      <c r="D4955">
        <f t="shared" si="156"/>
        <v>62</v>
      </c>
      <c r="E4955" t="str">
        <f t="shared" si="157"/>
        <v>62. Italy</v>
      </c>
    </row>
    <row r="4956" spans="1:5" x14ac:dyDescent="0.25">
      <c r="A4956" t="s">
        <v>125</v>
      </c>
      <c r="B4956" t="s">
        <v>347</v>
      </c>
      <c r="C4956">
        <v>6.7</v>
      </c>
      <c r="D4956">
        <f t="shared" si="156"/>
        <v>63</v>
      </c>
      <c r="E4956" t="str">
        <f t="shared" si="157"/>
        <v>63. Latvia</v>
      </c>
    </row>
    <row r="4957" spans="1:5" x14ac:dyDescent="0.25">
      <c r="A4957" t="s">
        <v>42</v>
      </c>
      <c r="B4957" t="s">
        <v>347</v>
      </c>
      <c r="C4957">
        <v>6.5</v>
      </c>
      <c r="D4957">
        <f t="shared" si="156"/>
        <v>64</v>
      </c>
      <c r="E4957" t="str">
        <f t="shared" si="157"/>
        <v>64. Canada</v>
      </c>
    </row>
    <row r="4958" spans="1:5" x14ac:dyDescent="0.25">
      <c r="A4958" t="s">
        <v>81</v>
      </c>
      <c r="B4958" t="s">
        <v>347</v>
      </c>
      <c r="C4958">
        <v>6.5</v>
      </c>
      <c r="D4958">
        <f t="shared" si="156"/>
        <v>65</v>
      </c>
      <c r="E4958" t="str">
        <f t="shared" si="157"/>
        <v>65. Gambia, The</v>
      </c>
    </row>
    <row r="4959" spans="1:5" x14ac:dyDescent="0.25">
      <c r="A4959" t="s">
        <v>158</v>
      </c>
      <c r="B4959" t="s">
        <v>347</v>
      </c>
      <c r="C4959">
        <v>6.5</v>
      </c>
      <c r="D4959">
        <f t="shared" si="156"/>
        <v>66</v>
      </c>
      <c r="E4959" t="str">
        <f t="shared" si="157"/>
        <v>66. Panama</v>
      </c>
    </row>
    <row r="4960" spans="1:5" x14ac:dyDescent="0.25">
      <c r="A4960" t="s">
        <v>165</v>
      </c>
      <c r="B4960" t="s">
        <v>347</v>
      </c>
      <c r="C4960">
        <v>6.4</v>
      </c>
      <c r="D4960">
        <f t="shared" si="156"/>
        <v>67</v>
      </c>
      <c r="E4960" t="str">
        <f t="shared" si="157"/>
        <v>67. Portugal</v>
      </c>
    </row>
    <row r="4961" spans="1:5" x14ac:dyDescent="0.25">
      <c r="A4961" t="s">
        <v>44</v>
      </c>
      <c r="B4961" t="s">
        <v>347</v>
      </c>
      <c r="C4961">
        <v>6.3</v>
      </c>
      <c r="D4961">
        <f t="shared" si="156"/>
        <v>68</v>
      </c>
      <c r="E4961" t="str">
        <f t="shared" si="157"/>
        <v>68. Channel Islands</v>
      </c>
    </row>
    <row r="4962" spans="1:5" x14ac:dyDescent="0.25">
      <c r="A4962" t="s">
        <v>91</v>
      </c>
      <c r="B4962" t="s">
        <v>347</v>
      </c>
      <c r="C4962">
        <v>6.1</v>
      </c>
      <c r="D4962">
        <f t="shared" si="156"/>
        <v>69</v>
      </c>
      <c r="E4962" t="str">
        <f t="shared" si="157"/>
        <v>69. Honduras</v>
      </c>
    </row>
    <row r="4963" spans="1:5" x14ac:dyDescent="0.25">
      <c r="A4963" t="s">
        <v>166</v>
      </c>
      <c r="B4963" t="s">
        <v>347</v>
      </c>
      <c r="C4963">
        <v>6.1</v>
      </c>
      <c r="D4963">
        <f t="shared" si="156"/>
        <v>70</v>
      </c>
      <c r="E4963" t="str">
        <f t="shared" si="157"/>
        <v>70. Paraguay</v>
      </c>
    </row>
    <row r="4964" spans="1:5" x14ac:dyDescent="0.25">
      <c r="A4964" t="s">
        <v>219</v>
      </c>
      <c r="B4964" t="s">
        <v>347</v>
      </c>
      <c r="C4964">
        <v>6</v>
      </c>
      <c r="D4964">
        <f t="shared" si="156"/>
        <v>71</v>
      </c>
      <c r="E4964" t="str">
        <f t="shared" si="157"/>
        <v>71. Zambia</v>
      </c>
    </row>
    <row r="4965" spans="1:5" x14ac:dyDescent="0.25">
      <c r="A4965" t="s">
        <v>41</v>
      </c>
      <c r="B4965" t="s">
        <v>347</v>
      </c>
      <c r="C4965">
        <v>5.9</v>
      </c>
      <c r="D4965">
        <f t="shared" si="156"/>
        <v>72</v>
      </c>
      <c r="E4965" t="str">
        <f t="shared" si="157"/>
        <v>72. Central African Republic</v>
      </c>
    </row>
    <row r="4966" spans="1:5" x14ac:dyDescent="0.25">
      <c r="A4966" t="s">
        <v>124</v>
      </c>
      <c r="B4966" t="s">
        <v>347</v>
      </c>
      <c r="C4966">
        <v>5.9</v>
      </c>
      <c r="D4966">
        <f t="shared" si="156"/>
        <v>73</v>
      </c>
      <c r="E4966" t="str">
        <f t="shared" si="157"/>
        <v>73. Luxembourg</v>
      </c>
    </row>
    <row r="4967" spans="1:5" x14ac:dyDescent="0.25">
      <c r="A4967" t="s">
        <v>22</v>
      </c>
      <c r="B4967" t="s">
        <v>347</v>
      </c>
      <c r="C4967">
        <v>5.6</v>
      </c>
      <c r="D4967">
        <f t="shared" si="156"/>
        <v>74</v>
      </c>
      <c r="E4967" t="str">
        <f t="shared" si="157"/>
        <v>74. Azerbaijan</v>
      </c>
    </row>
    <row r="4968" spans="1:5" x14ac:dyDescent="0.25">
      <c r="A4968" t="s">
        <v>58</v>
      </c>
      <c r="B4968" t="s">
        <v>347</v>
      </c>
      <c r="C4968">
        <v>5.6</v>
      </c>
      <c r="D4968">
        <f t="shared" si="156"/>
        <v>75</v>
      </c>
      <c r="E4968" t="str">
        <f t="shared" si="157"/>
        <v>75. Cyprus</v>
      </c>
    </row>
    <row r="4969" spans="1:5" x14ac:dyDescent="0.25">
      <c r="A4969" t="s">
        <v>63</v>
      </c>
      <c r="B4969" t="s">
        <v>347</v>
      </c>
      <c r="C4969">
        <v>5.6</v>
      </c>
      <c r="D4969">
        <f t="shared" si="156"/>
        <v>76</v>
      </c>
      <c r="E4969" t="str">
        <f t="shared" si="157"/>
        <v>76. Denmark</v>
      </c>
    </row>
    <row r="4970" spans="1:5" x14ac:dyDescent="0.25">
      <c r="A4970" t="s">
        <v>224</v>
      </c>
      <c r="B4970" t="s">
        <v>347</v>
      </c>
      <c r="C4970">
        <v>5.6</v>
      </c>
      <c r="D4970">
        <f t="shared" si="156"/>
        <v>77</v>
      </c>
      <c r="E4970" t="str">
        <f t="shared" si="157"/>
        <v>77. Eritrea</v>
      </c>
    </row>
    <row r="4971" spans="1:5" x14ac:dyDescent="0.25">
      <c r="A4971" t="s">
        <v>88</v>
      </c>
      <c r="B4971" t="s">
        <v>347</v>
      </c>
      <c r="C4971">
        <v>5.6</v>
      </c>
      <c r="D4971">
        <f t="shared" si="156"/>
        <v>78</v>
      </c>
      <c r="E4971" t="str">
        <f t="shared" si="157"/>
        <v>78. Guam</v>
      </c>
    </row>
    <row r="4972" spans="1:5" x14ac:dyDescent="0.25">
      <c r="A4972" t="s">
        <v>24</v>
      </c>
      <c r="B4972" t="s">
        <v>347</v>
      </c>
      <c r="C4972">
        <v>5.5</v>
      </c>
      <c r="D4972">
        <f t="shared" si="156"/>
        <v>79</v>
      </c>
      <c r="E4972" t="str">
        <f t="shared" si="157"/>
        <v>79. Belgium</v>
      </c>
    </row>
    <row r="4973" spans="1:5" x14ac:dyDescent="0.25">
      <c r="A4973" t="s">
        <v>64</v>
      </c>
      <c r="B4973" t="s">
        <v>347</v>
      </c>
      <c r="C4973">
        <v>5.5</v>
      </c>
      <c r="D4973">
        <f t="shared" si="156"/>
        <v>80</v>
      </c>
      <c r="E4973" t="str">
        <f t="shared" si="157"/>
        <v>80. Dominican Republic</v>
      </c>
    </row>
    <row r="4974" spans="1:5" x14ac:dyDescent="0.25">
      <c r="A4974" t="s">
        <v>143</v>
      </c>
      <c r="B4974" t="s">
        <v>347</v>
      </c>
      <c r="C4974">
        <v>5.5</v>
      </c>
      <c r="D4974">
        <f t="shared" si="156"/>
        <v>81</v>
      </c>
      <c r="E4974" t="str">
        <f t="shared" si="157"/>
        <v>81. Mauritius</v>
      </c>
    </row>
    <row r="4975" spans="1:5" x14ac:dyDescent="0.25">
      <c r="A4975" t="s">
        <v>157</v>
      </c>
      <c r="B4975" t="s">
        <v>347</v>
      </c>
      <c r="C4975">
        <v>5.5</v>
      </c>
      <c r="D4975">
        <f t="shared" si="156"/>
        <v>82</v>
      </c>
      <c r="E4975" t="str">
        <f t="shared" si="157"/>
        <v>82. Pakistan</v>
      </c>
    </row>
    <row r="4976" spans="1:5" x14ac:dyDescent="0.25">
      <c r="A4976" t="s">
        <v>164</v>
      </c>
      <c r="B4976" t="s">
        <v>347</v>
      </c>
      <c r="C4976">
        <v>5.5</v>
      </c>
      <c r="D4976">
        <f t="shared" si="156"/>
        <v>83</v>
      </c>
      <c r="E4976" t="str">
        <f t="shared" si="157"/>
        <v>83. Puerto Rico (US)</v>
      </c>
    </row>
    <row r="4977" spans="1:5" x14ac:dyDescent="0.25">
      <c r="A4977" t="s">
        <v>223</v>
      </c>
      <c r="B4977" t="s">
        <v>347</v>
      </c>
      <c r="C4977">
        <v>5.5</v>
      </c>
      <c r="D4977">
        <f t="shared" si="156"/>
        <v>84</v>
      </c>
      <c r="E4977" t="str">
        <f t="shared" si="157"/>
        <v>84. Venezuela, RB</v>
      </c>
    </row>
    <row r="4978" spans="1:5" x14ac:dyDescent="0.25">
      <c r="A4978" t="s">
        <v>21</v>
      </c>
      <c r="B4978" t="s">
        <v>347</v>
      </c>
      <c r="C4978">
        <v>5.4</v>
      </c>
      <c r="D4978">
        <f t="shared" si="156"/>
        <v>85</v>
      </c>
      <c r="E4978" t="str">
        <f t="shared" si="157"/>
        <v>85. Austria</v>
      </c>
    </row>
    <row r="4979" spans="1:5" x14ac:dyDescent="0.25">
      <c r="A4979" t="s">
        <v>108</v>
      </c>
      <c r="B4979" t="s">
        <v>347</v>
      </c>
      <c r="C4979">
        <v>5.4</v>
      </c>
      <c r="D4979">
        <f t="shared" si="156"/>
        <v>86</v>
      </c>
      <c r="E4979" t="str">
        <f t="shared" si="157"/>
        <v>86. Kenya</v>
      </c>
    </row>
    <row r="4980" spans="1:5" x14ac:dyDescent="0.25">
      <c r="A4980" t="s">
        <v>139</v>
      </c>
      <c r="B4980" t="s">
        <v>347</v>
      </c>
      <c r="C4980">
        <v>5.4</v>
      </c>
      <c r="D4980">
        <f t="shared" si="156"/>
        <v>87</v>
      </c>
      <c r="E4980" t="str">
        <f t="shared" si="157"/>
        <v>87. Mongolia</v>
      </c>
    </row>
    <row r="4981" spans="1:5" x14ac:dyDescent="0.25">
      <c r="A4981" t="s">
        <v>170</v>
      </c>
      <c r="B4981" t="s">
        <v>347</v>
      </c>
      <c r="C4981">
        <v>5.4</v>
      </c>
      <c r="D4981">
        <f t="shared" si="156"/>
        <v>88</v>
      </c>
      <c r="E4981" t="str">
        <f t="shared" si="157"/>
        <v>88. Romania</v>
      </c>
    </row>
    <row r="4982" spans="1:5" x14ac:dyDescent="0.25">
      <c r="A4982" t="s">
        <v>26</v>
      </c>
      <c r="B4982" t="s">
        <v>347</v>
      </c>
      <c r="C4982">
        <v>5.2</v>
      </c>
      <c r="D4982">
        <f t="shared" si="156"/>
        <v>89</v>
      </c>
      <c r="E4982" t="str">
        <f t="shared" si="157"/>
        <v>89. Burkina Faso</v>
      </c>
    </row>
    <row r="4983" spans="1:5" x14ac:dyDescent="0.25">
      <c r="A4983" t="s">
        <v>92</v>
      </c>
      <c r="B4983" t="s">
        <v>347</v>
      </c>
      <c r="C4983">
        <v>5.2</v>
      </c>
      <c r="D4983">
        <f t="shared" si="156"/>
        <v>90</v>
      </c>
      <c r="E4983" t="str">
        <f t="shared" si="157"/>
        <v>90. Croatia</v>
      </c>
    </row>
    <row r="4984" spans="1:5" x14ac:dyDescent="0.25">
      <c r="A4984" t="s">
        <v>80</v>
      </c>
      <c r="B4984" t="s">
        <v>347</v>
      </c>
      <c r="C4984">
        <v>5.2</v>
      </c>
      <c r="D4984">
        <f t="shared" si="156"/>
        <v>91</v>
      </c>
      <c r="E4984" t="str">
        <f t="shared" si="157"/>
        <v>91. Guinea</v>
      </c>
    </row>
    <row r="4985" spans="1:5" x14ac:dyDescent="0.25">
      <c r="A4985" t="s">
        <v>186</v>
      </c>
      <c r="B4985" t="s">
        <v>347</v>
      </c>
      <c r="C4985">
        <v>5.2</v>
      </c>
      <c r="D4985">
        <f t="shared" si="156"/>
        <v>92</v>
      </c>
      <c r="E4985" t="str">
        <f t="shared" si="157"/>
        <v>92. Slovak Republic</v>
      </c>
    </row>
    <row r="4986" spans="1:5" x14ac:dyDescent="0.25">
      <c r="A4986" t="s">
        <v>38</v>
      </c>
      <c r="B4986" t="s">
        <v>347</v>
      </c>
      <c r="C4986">
        <v>5.0999999999999996</v>
      </c>
      <c r="D4986">
        <f t="shared" si="156"/>
        <v>93</v>
      </c>
      <c r="E4986" t="str">
        <f t="shared" si="157"/>
        <v>93. Brunei Darussalam</v>
      </c>
    </row>
    <row r="4987" spans="1:5" x14ac:dyDescent="0.25">
      <c r="A4987" t="s">
        <v>214</v>
      </c>
      <c r="B4987" t="s">
        <v>347</v>
      </c>
      <c r="C4987">
        <v>5.0999999999999996</v>
      </c>
      <c r="D4987">
        <f t="shared" si="156"/>
        <v>94</v>
      </c>
      <c r="E4987" t="str">
        <f t="shared" si="157"/>
        <v>94. Vanuatu</v>
      </c>
    </row>
    <row r="4988" spans="1:5" x14ac:dyDescent="0.25">
      <c r="A4988" t="s">
        <v>144</v>
      </c>
      <c r="B4988" t="s">
        <v>347</v>
      </c>
      <c r="C4988">
        <v>5</v>
      </c>
      <c r="D4988">
        <f t="shared" si="156"/>
        <v>95</v>
      </c>
      <c r="E4988" t="str">
        <f t="shared" si="157"/>
        <v>95. Malawi</v>
      </c>
    </row>
    <row r="4989" spans="1:5" x14ac:dyDescent="0.25">
      <c r="A4989" t="s">
        <v>121</v>
      </c>
      <c r="B4989" t="s">
        <v>347</v>
      </c>
      <c r="C4989">
        <v>5</v>
      </c>
      <c r="D4989">
        <f t="shared" si="156"/>
        <v>96</v>
      </c>
      <c r="E4989" t="str">
        <f t="shared" si="157"/>
        <v>96. Sri Lanka</v>
      </c>
    </row>
    <row r="4990" spans="1:5" x14ac:dyDescent="0.25">
      <c r="A4990" t="s">
        <v>104</v>
      </c>
      <c r="B4990" t="s">
        <v>347</v>
      </c>
      <c r="C4990">
        <v>4.9000000000000004</v>
      </c>
      <c r="D4990">
        <f t="shared" si="156"/>
        <v>97</v>
      </c>
      <c r="E4990" t="str">
        <f t="shared" si="157"/>
        <v>97. Jamaica</v>
      </c>
    </row>
    <row r="4991" spans="1:5" x14ac:dyDescent="0.25">
      <c r="A4991" t="s">
        <v>155</v>
      </c>
      <c r="B4991" t="s">
        <v>347</v>
      </c>
      <c r="C4991">
        <v>4.9000000000000004</v>
      </c>
      <c r="D4991">
        <f t="shared" si="156"/>
        <v>98</v>
      </c>
      <c r="E4991" t="str">
        <f t="shared" si="157"/>
        <v>98. New Zealand</v>
      </c>
    </row>
    <row r="4992" spans="1:5" x14ac:dyDescent="0.25">
      <c r="A4992" t="s">
        <v>66</v>
      </c>
      <c r="B4992" t="s">
        <v>347</v>
      </c>
      <c r="C4992">
        <v>4.8</v>
      </c>
      <c r="D4992">
        <f t="shared" si="156"/>
        <v>99</v>
      </c>
      <c r="E4992" t="str">
        <f t="shared" si="157"/>
        <v>99. Ecuador</v>
      </c>
    </row>
    <row r="4993" spans="1:5" x14ac:dyDescent="0.25">
      <c r="A4993" t="s">
        <v>107</v>
      </c>
      <c r="B4993" t="s">
        <v>347</v>
      </c>
      <c r="C4993">
        <v>4.8</v>
      </c>
      <c r="D4993">
        <f t="shared" si="156"/>
        <v>100</v>
      </c>
      <c r="E4993" t="str">
        <f t="shared" si="157"/>
        <v>100. Kazakhstan</v>
      </c>
    </row>
    <row r="4994" spans="1:5" x14ac:dyDescent="0.25">
      <c r="A4994" t="s">
        <v>159</v>
      </c>
      <c r="B4994" t="s">
        <v>347</v>
      </c>
      <c r="C4994">
        <v>4.8</v>
      </c>
      <c r="D4994">
        <f t="shared" si="156"/>
        <v>101</v>
      </c>
      <c r="E4994" t="str">
        <f t="shared" si="157"/>
        <v>101. Peru</v>
      </c>
    </row>
    <row r="4995" spans="1:5" x14ac:dyDescent="0.25">
      <c r="A4995" t="s">
        <v>27</v>
      </c>
      <c r="B4995" t="s">
        <v>347</v>
      </c>
      <c r="C4995">
        <v>4.7</v>
      </c>
      <c r="D4995">
        <f t="shared" si="156"/>
        <v>102</v>
      </c>
      <c r="E4995" t="str">
        <f t="shared" si="157"/>
        <v>102. Bangladesh</v>
      </c>
    </row>
    <row r="4996" spans="1:5" x14ac:dyDescent="0.25">
      <c r="A4996" t="s">
        <v>46</v>
      </c>
      <c r="B4996" t="s">
        <v>347</v>
      </c>
      <c r="C4996">
        <v>4.5999999999999996</v>
      </c>
      <c r="D4996">
        <f t="shared" ref="D4996:D5059" si="158">IF(ROW() = 2, 1, IF(B4996 = B4995, D4995 + 1, 1))</f>
        <v>103</v>
      </c>
      <c r="E4996" t="str">
        <f t="shared" ref="E4996:E5059" si="159">_xlfn.CONCAT(D4996, ". ", A4996)</f>
        <v>103. China</v>
      </c>
    </row>
    <row r="4997" spans="1:5" x14ac:dyDescent="0.25">
      <c r="A4997" t="s">
        <v>49</v>
      </c>
      <c r="B4997" t="s">
        <v>347</v>
      </c>
      <c r="C4997">
        <v>4.5999999999999996</v>
      </c>
      <c r="D4997">
        <f t="shared" si="158"/>
        <v>104</v>
      </c>
      <c r="E4997" t="str">
        <f t="shared" si="159"/>
        <v>104. Congo, Dem. Rep.</v>
      </c>
    </row>
    <row r="4998" spans="1:5" x14ac:dyDescent="0.25">
      <c r="A4998" t="s">
        <v>131</v>
      </c>
      <c r="B4998" t="s">
        <v>347</v>
      </c>
      <c r="C4998">
        <v>4.5999999999999996</v>
      </c>
      <c r="D4998">
        <f t="shared" si="158"/>
        <v>105</v>
      </c>
      <c r="E4998" t="str">
        <f t="shared" si="159"/>
        <v>105. Maldives</v>
      </c>
    </row>
    <row r="4999" spans="1:5" x14ac:dyDescent="0.25">
      <c r="A4999" t="s">
        <v>150</v>
      </c>
      <c r="B4999" t="s">
        <v>347</v>
      </c>
      <c r="C4999">
        <v>4.5999999999999996</v>
      </c>
      <c r="D4999">
        <f t="shared" si="158"/>
        <v>106</v>
      </c>
      <c r="E4999" t="str">
        <f t="shared" si="159"/>
        <v>106. Nicaragua</v>
      </c>
    </row>
    <row r="5000" spans="1:5" x14ac:dyDescent="0.25">
      <c r="A5000" t="s">
        <v>215</v>
      </c>
      <c r="B5000" t="s">
        <v>347</v>
      </c>
      <c r="C5000">
        <v>4.5999999999999996</v>
      </c>
      <c r="D5000">
        <f t="shared" si="158"/>
        <v>107</v>
      </c>
      <c r="E5000" t="str">
        <f t="shared" si="159"/>
        <v>107. Samoa</v>
      </c>
    </row>
    <row r="5001" spans="1:5" x14ac:dyDescent="0.25">
      <c r="A5001" t="s">
        <v>201</v>
      </c>
      <c r="B5001" t="s">
        <v>347</v>
      </c>
      <c r="C5001">
        <v>4.5</v>
      </c>
      <c r="D5001">
        <f t="shared" si="158"/>
        <v>108</v>
      </c>
      <c r="E5001" t="str">
        <f t="shared" si="159"/>
        <v>108. Trinidad and Tobago</v>
      </c>
    </row>
    <row r="5002" spans="1:5" x14ac:dyDescent="0.25">
      <c r="A5002" t="s">
        <v>210</v>
      </c>
      <c r="B5002" t="s">
        <v>347</v>
      </c>
      <c r="C5002">
        <v>4.5</v>
      </c>
      <c r="D5002">
        <f t="shared" si="158"/>
        <v>109</v>
      </c>
      <c r="E5002" t="str">
        <f t="shared" si="159"/>
        <v>109. Uzbekistan</v>
      </c>
    </row>
    <row r="5003" spans="1:5" x14ac:dyDescent="0.25">
      <c r="A5003" t="s">
        <v>94</v>
      </c>
      <c r="B5003" t="s">
        <v>347</v>
      </c>
      <c r="C5003">
        <v>4.4000000000000004</v>
      </c>
      <c r="D5003">
        <f t="shared" si="158"/>
        <v>110</v>
      </c>
      <c r="E5003" t="str">
        <f t="shared" si="159"/>
        <v>110. Hungary</v>
      </c>
    </row>
    <row r="5004" spans="1:5" x14ac:dyDescent="0.25">
      <c r="A5004" t="s">
        <v>98</v>
      </c>
      <c r="B5004" t="s">
        <v>347</v>
      </c>
      <c r="C5004">
        <v>4.4000000000000004</v>
      </c>
      <c r="D5004">
        <f t="shared" si="158"/>
        <v>111</v>
      </c>
      <c r="E5004" t="str">
        <f t="shared" si="159"/>
        <v>111. Ireland</v>
      </c>
    </row>
    <row r="5005" spans="1:5" x14ac:dyDescent="0.25">
      <c r="A5005" t="s">
        <v>72</v>
      </c>
      <c r="B5005" t="s">
        <v>347</v>
      </c>
      <c r="C5005">
        <v>4.3</v>
      </c>
      <c r="D5005">
        <f t="shared" si="158"/>
        <v>112</v>
      </c>
      <c r="E5005" t="str">
        <f t="shared" si="159"/>
        <v>112. Fiji</v>
      </c>
    </row>
    <row r="5006" spans="1:5" x14ac:dyDescent="0.25">
      <c r="A5006" t="s">
        <v>198</v>
      </c>
      <c r="B5006" t="s">
        <v>347</v>
      </c>
      <c r="C5006">
        <v>4.3</v>
      </c>
      <c r="D5006">
        <f t="shared" si="158"/>
        <v>113</v>
      </c>
      <c r="E5006" t="str">
        <f t="shared" si="159"/>
        <v>113. Turkmenistan</v>
      </c>
    </row>
    <row r="5007" spans="1:5" x14ac:dyDescent="0.25">
      <c r="A5007" t="s">
        <v>97</v>
      </c>
      <c r="B5007" t="s">
        <v>347</v>
      </c>
      <c r="C5007">
        <v>4.2</v>
      </c>
      <c r="D5007">
        <f t="shared" si="158"/>
        <v>114</v>
      </c>
      <c r="E5007" t="str">
        <f t="shared" si="159"/>
        <v>114. India</v>
      </c>
    </row>
    <row r="5008" spans="1:5" x14ac:dyDescent="0.25">
      <c r="A5008" t="s">
        <v>20</v>
      </c>
      <c r="B5008" t="s">
        <v>347</v>
      </c>
      <c r="C5008">
        <v>4.0999999999999996</v>
      </c>
      <c r="D5008">
        <f t="shared" si="158"/>
        <v>115</v>
      </c>
      <c r="E5008" t="str">
        <f t="shared" si="159"/>
        <v>115. Australia</v>
      </c>
    </row>
    <row r="5009" spans="1:5" x14ac:dyDescent="0.25">
      <c r="A5009" t="s">
        <v>28</v>
      </c>
      <c r="B5009" t="s">
        <v>347</v>
      </c>
      <c r="C5009">
        <v>4.0999999999999996</v>
      </c>
      <c r="D5009">
        <f t="shared" si="158"/>
        <v>116</v>
      </c>
      <c r="E5009" t="str">
        <f t="shared" si="159"/>
        <v>116. Bulgaria</v>
      </c>
    </row>
    <row r="5010" spans="1:5" x14ac:dyDescent="0.25">
      <c r="A5010" t="s">
        <v>43</v>
      </c>
      <c r="B5010" t="s">
        <v>347</v>
      </c>
      <c r="C5010">
        <v>4.0999999999999996</v>
      </c>
      <c r="D5010">
        <f t="shared" si="158"/>
        <v>117</v>
      </c>
      <c r="E5010" t="str">
        <f t="shared" si="159"/>
        <v>117. Switzerland</v>
      </c>
    </row>
    <row r="5011" spans="1:5" x14ac:dyDescent="0.25">
      <c r="A5011" t="s">
        <v>77</v>
      </c>
      <c r="B5011" t="s">
        <v>347</v>
      </c>
      <c r="C5011">
        <v>4.0999999999999996</v>
      </c>
      <c r="D5011">
        <f t="shared" si="158"/>
        <v>118</v>
      </c>
      <c r="E5011" t="str">
        <f t="shared" si="159"/>
        <v>118. United Kingdom</v>
      </c>
    </row>
    <row r="5012" spans="1:5" x14ac:dyDescent="0.25">
      <c r="A5012" t="s">
        <v>209</v>
      </c>
      <c r="B5012" t="s">
        <v>347</v>
      </c>
      <c r="C5012">
        <v>4.0999999999999996</v>
      </c>
      <c r="D5012">
        <f t="shared" si="158"/>
        <v>119</v>
      </c>
      <c r="E5012" t="str">
        <f t="shared" si="159"/>
        <v>119. United States</v>
      </c>
    </row>
    <row r="5013" spans="1:5" x14ac:dyDescent="0.25">
      <c r="A5013" t="s">
        <v>152</v>
      </c>
      <c r="B5013" t="s">
        <v>347</v>
      </c>
      <c r="C5013">
        <v>4</v>
      </c>
      <c r="D5013">
        <f t="shared" si="158"/>
        <v>120</v>
      </c>
      <c r="E5013" t="str">
        <f t="shared" si="159"/>
        <v>120. Norway</v>
      </c>
    </row>
    <row r="5014" spans="1:5" x14ac:dyDescent="0.25">
      <c r="A5014" t="s">
        <v>52</v>
      </c>
      <c r="B5014" t="s">
        <v>347</v>
      </c>
      <c r="C5014">
        <v>3.9</v>
      </c>
      <c r="D5014">
        <f t="shared" si="158"/>
        <v>121</v>
      </c>
      <c r="E5014" t="str">
        <f t="shared" si="159"/>
        <v>121. Comoros</v>
      </c>
    </row>
    <row r="5015" spans="1:5" x14ac:dyDescent="0.25">
      <c r="A5015" t="s">
        <v>173</v>
      </c>
      <c r="B5015" t="s">
        <v>347</v>
      </c>
      <c r="C5015">
        <v>3.9</v>
      </c>
      <c r="D5015">
        <f t="shared" si="158"/>
        <v>122</v>
      </c>
      <c r="E5015" t="str">
        <f t="shared" si="159"/>
        <v>122. Saudi Arabia</v>
      </c>
    </row>
    <row r="5016" spans="1:5" x14ac:dyDescent="0.25">
      <c r="A5016" t="s">
        <v>145</v>
      </c>
      <c r="B5016" t="s">
        <v>347</v>
      </c>
      <c r="C5016">
        <v>3.8</v>
      </c>
      <c r="D5016">
        <f t="shared" si="158"/>
        <v>123</v>
      </c>
      <c r="E5016" t="str">
        <f t="shared" si="159"/>
        <v>123. Malaysia</v>
      </c>
    </row>
    <row r="5017" spans="1:5" x14ac:dyDescent="0.25">
      <c r="A5017" t="s">
        <v>151</v>
      </c>
      <c r="B5017" t="s">
        <v>347</v>
      </c>
      <c r="C5017">
        <v>3.6</v>
      </c>
      <c r="D5017">
        <f t="shared" si="158"/>
        <v>124</v>
      </c>
      <c r="E5017" t="str">
        <f t="shared" si="159"/>
        <v>124. Netherlands</v>
      </c>
    </row>
    <row r="5018" spans="1:5" x14ac:dyDescent="0.25">
      <c r="A5018" t="s">
        <v>48</v>
      </c>
      <c r="B5018" t="s">
        <v>347</v>
      </c>
      <c r="C5018">
        <v>3.5</v>
      </c>
      <c r="D5018">
        <f t="shared" si="158"/>
        <v>125</v>
      </c>
      <c r="E5018" t="str">
        <f t="shared" si="159"/>
        <v>125. Cameroon</v>
      </c>
    </row>
    <row r="5019" spans="1:5" x14ac:dyDescent="0.25">
      <c r="A5019" t="s">
        <v>141</v>
      </c>
      <c r="B5019" t="s">
        <v>347</v>
      </c>
      <c r="C5019">
        <v>3.5</v>
      </c>
      <c r="D5019">
        <f t="shared" si="158"/>
        <v>126</v>
      </c>
      <c r="E5019" t="str">
        <f t="shared" si="159"/>
        <v>126. Mozambique</v>
      </c>
    </row>
    <row r="5020" spans="1:5" x14ac:dyDescent="0.25">
      <c r="A5020" t="s">
        <v>32</v>
      </c>
      <c r="B5020" t="s">
        <v>347</v>
      </c>
      <c r="C5020">
        <v>3.4</v>
      </c>
      <c r="D5020">
        <f t="shared" si="158"/>
        <v>127</v>
      </c>
      <c r="E5020" t="str">
        <f t="shared" si="159"/>
        <v>127. Belarus</v>
      </c>
    </row>
    <row r="5021" spans="1:5" x14ac:dyDescent="0.25">
      <c r="A5021" t="s">
        <v>70</v>
      </c>
      <c r="B5021" t="s">
        <v>347</v>
      </c>
      <c r="C5021">
        <v>3.4</v>
      </c>
      <c r="D5021">
        <f t="shared" si="158"/>
        <v>128</v>
      </c>
      <c r="E5021" t="str">
        <f t="shared" si="159"/>
        <v>128. Ethiopia</v>
      </c>
    </row>
    <row r="5022" spans="1:5" x14ac:dyDescent="0.25">
      <c r="A5022" t="s">
        <v>60</v>
      </c>
      <c r="B5022" t="s">
        <v>347</v>
      </c>
      <c r="C5022">
        <v>3.4</v>
      </c>
      <c r="D5022">
        <f t="shared" si="158"/>
        <v>129</v>
      </c>
      <c r="E5022" t="str">
        <f t="shared" si="159"/>
        <v>129. Germany</v>
      </c>
    </row>
    <row r="5023" spans="1:5" x14ac:dyDescent="0.25">
      <c r="A5023" t="s">
        <v>187</v>
      </c>
      <c r="B5023" t="s">
        <v>347</v>
      </c>
      <c r="C5023">
        <v>3.4</v>
      </c>
      <c r="D5023">
        <f t="shared" si="158"/>
        <v>130</v>
      </c>
      <c r="E5023" t="str">
        <f t="shared" si="159"/>
        <v>130. Slovenia</v>
      </c>
    </row>
    <row r="5024" spans="1:5" x14ac:dyDescent="0.25">
      <c r="A5024" t="s">
        <v>95</v>
      </c>
      <c r="B5024" t="s">
        <v>347</v>
      </c>
      <c r="C5024">
        <v>3.3</v>
      </c>
      <c r="D5024">
        <f t="shared" si="158"/>
        <v>131</v>
      </c>
      <c r="E5024" t="str">
        <f t="shared" si="159"/>
        <v>131. Indonesia</v>
      </c>
    </row>
    <row r="5025" spans="1:5" x14ac:dyDescent="0.25">
      <c r="A5025" t="s">
        <v>109</v>
      </c>
      <c r="B5025" t="s">
        <v>347</v>
      </c>
      <c r="C5025">
        <v>3.3</v>
      </c>
      <c r="D5025">
        <f t="shared" si="158"/>
        <v>132</v>
      </c>
      <c r="E5025" t="str">
        <f t="shared" si="159"/>
        <v>132. Kyrgyz Republic</v>
      </c>
    </row>
    <row r="5026" spans="1:5" x14ac:dyDescent="0.25">
      <c r="A5026" t="s">
        <v>102</v>
      </c>
      <c r="B5026" t="s">
        <v>347</v>
      </c>
      <c r="C5026">
        <v>3.2</v>
      </c>
      <c r="D5026">
        <f t="shared" si="158"/>
        <v>133</v>
      </c>
      <c r="E5026" t="str">
        <f t="shared" si="159"/>
        <v>133. Israel</v>
      </c>
    </row>
    <row r="5027" spans="1:5" x14ac:dyDescent="0.25">
      <c r="A5027" t="s">
        <v>156</v>
      </c>
      <c r="B5027" t="s">
        <v>347</v>
      </c>
      <c r="C5027">
        <v>3.2</v>
      </c>
      <c r="D5027">
        <f t="shared" si="158"/>
        <v>134</v>
      </c>
      <c r="E5027" t="str">
        <f t="shared" si="159"/>
        <v>134. Oman</v>
      </c>
    </row>
    <row r="5028" spans="1:5" x14ac:dyDescent="0.25">
      <c r="A5028" t="s">
        <v>176</v>
      </c>
      <c r="B5028" t="s">
        <v>347</v>
      </c>
      <c r="C5028">
        <v>3.2</v>
      </c>
      <c r="D5028">
        <f t="shared" si="158"/>
        <v>135</v>
      </c>
      <c r="E5028" t="str">
        <f t="shared" si="159"/>
        <v>135. Singapore</v>
      </c>
    </row>
    <row r="5029" spans="1:5" x14ac:dyDescent="0.25">
      <c r="A5029" t="s">
        <v>35</v>
      </c>
      <c r="B5029" t="s">
        <v>347</v>
      </c>
      <c r="C5029">
        <v>3.1</v>
      </c>
      <c r="D5029">
        <f t="shared" si="158"/>
        <v>136</v>
      </c>
      <c r="E5029" t="str">
        <f t="shared" si="159"/>
        <v>136. Bolivia</v>
      </c>
    </row>
    <row r="5030" spans="1:5" x14ac:dyDescent="0.25">
      <c r="A5030" t="s">
        <v>101</v>
      </c>
      <c r="B5030" t="s">
        <v>347</v>
      </c>
      <c r="C5030">
        <v>3.1</v>
      </c>
      <c r="D5030">
        <f t="shared" si="158"/>
        <v>137</v>
      </c>
      <c r="E5030" t="str">
        <f t="shared" si="159"/>
        <v>137. Iceland</v>
      </c>
    </row>
    <row r="5031" spans="1:5" x14ac:dyDescent="0.25">
      <c r="A5031" t="s">
        <v>135</v>
      </c>
      <c r="B5031" t="s">
        <v>347</v>
      </c>
      <c r="C5031">
        <v>3.1</v>
      </c>
      <c r="D5031">
        <f t="shared" si="158"/>
        <v>138</v>
      </c>
      <c r="E5031" t="str">
        <f t="shared" si="159"/>
        <v>138. Mali</v>
      </c>
    </row>
    <row r="5032" spans="1:5" x14ac:dyDescent="0.25">
      <c r="A5032" t="s">
        <v>178</v>
      </c>
      <c r="B5032" t="s">
        <v>347</v>
      </c>
      <c r="C5032">
        <v>3.1</v>
      </c>
      <c r="D5032">
        <f t="shared" si="158"/>
        <v>139</v>
      </c>
      <c r="E5032" t="str">
        <f t="shared" si="159"/>
        <v>139. Sierra Leone</v>
      </c>
    </row>
    <row r="5033" spans="1:5" x14ac:dyDescent="0.25">
      <c r="A5033" t="s">
        <v>79</v>
      </c>
      <c r="B5033" t="s">
        <v>347</v>
      </c>
      <c r="C5033">
        <v>3</v>
      </c>
      <c r="D5033">
        <f t="shared" si="158"/>
        <v>140</v>
      </c>
      <c r="E5033" t="str">
        <f t="shared" si="159"/>
        <v>140. Ghana</v>
      </c>
    </row>
    <row r="5034" spans="1:5" x14ac:dyDescent="0.25">
      <c r="A5034" t="s">
        <v>130</v>
      </c>
      <c r="B5034" t="s">
        <v>347</v>
      </c>
      <c r="C5034">
        <v>3</v>
      </c>
      <c r="D5034">
        <f t="shared" si="158"/>
        <v>141</v>
      </c>
      <c r="E5034" t="str">
        <f t="shared" si="159"/>
        <v>141. Madagascar</v>
      </c>
    </row>
    <row r="5035" spans="1:5" x14ac:dyDescent="0.25">
      <c r="A5035" t="s">
        <v>137</v>
      </c>
      <c r="B5035" t="s">
        <v>347</v>
      </c>
      <c r="C5035">
        <v>3</v>
      </c>
      <c r="D5035">
        <f t="shared" si="158"/>
        <v>142</v>
      </c>
      <c r="E5035" t="str">
        <f t="shared" si="159"/>
        <v>142. Myanmar</v>
      </c>
    </row>
    <row r="5036" spans="1:5" x14ac:dyDescent="0.25">
      <c r="A5036" t="s">
        <v>149</v>
      </c>
      <c r="B5036" t="s">
        <v>347</v>
      </c>
      <c r="C5036">
        <v>3</v>
      </c>
      <c r="D5036">
        <f t="shared" si="158"/>
        <v>143</v>
      </c>
      <c r="E5036" t="str">
        <f t="shared" si="159"/>
        <v>143. Nigeria</v>
      </c>
    </row>
    <row r="5037" spans="1:5" x14ac:dyDescent="0.25">
      <c r="A5037" t="s">
        <v>175</v>
      </c>
      <c r="B5037" t="s">
        <v>347</v>
      </c>
      <c r="C5037">
        <v>3</v>
      </c>
      <c r="D5037">
        <f t="shared" si="158"/>
        <v>144</v>
      </c>
      <c r="E5037" t="str">
        <f t="shared" si="159"/>
        <v>144. Senegal</v>
      </c>
    </row>
    <row r="5038" spans="1:5" x14ac:dyDescent="0.25">
      <c r="A5038" t="s">
        <v>39</v>
      </c>
      <c r="B5038" t="s">
        <v>347</v>
      </c>
      <c r="C5038">
        <v>2.9</v>
      </c>
      <c r="D5038">
        <f t="shared" si="158"/>
        <v>145</v>
      </c>
      <c r="E5038" t="str">
        <f t="shared" si="159"/>
        <v>145. Bhutan</v>
      </c>
    </row>
    <row r="5039" spans="1:5" x14ac:dyDescent="0.25">
      <c r="A5039" t="s">
        <v>117</v>
      </c>
      <c r="B5039" t="s">
        <v>347</v>
      </c>
      <c r="C5039">
        <v>2.9</v>
      </c>
      <c r="D5039">
        <f t="shared" si="158"/>
        <v>146</v>
      </c>
      <c r="E5039" t="str">
        <f t="shared" si="159"/>
        <v>146. Liberia</v>
      </c>
    </row>
    <row r="5040" spans="1:5" x14ac:dyDescent="0.25">
      <c r="A5040" t="s">
        <v>206</v>
      </c>
      <c r="B5040" t="s">
        <v>347</v>
      </c>
      <c r="C5040">
        <v>2.9</v>
      </c>
      <c r="D5040">
        <f t="shared" si="158"/>
        <v>147</v>
      </c>
      <c r="E5040" t="str">
        <f t="shared" si="159"/>
        <v>147. Uganda</v>
      </c>
    </row>
    <row r="5041" spans="1:5" x14ac:dyDescent="0.25">
      <c r="A5041" t="s">
        <v>179</v>
      </c>
      <c r="B5041" t="s">
        <v>347</v>
      </c>
      <c r="C5041">
        <v>2.8</v>
      </c>
      <c r="D5041">
        <f t="shared" si="158"/>
        <v>148</v>
      </c>
      <c r="E5041" t="str">
        <f t="shared" si="159"/>
        <v>148. El Salvador</v>
      </c>
    </row>
    <row r="5042" spans="1:5" x14ac:dyDescent="0.25">
      <c r="A5042" t="s">
        <v>90</v>
      </c>
      <c r="B5042" t="s">
        <v>347</v>
      </c>
      <c r="C5042">
        <v>2.8</v>
      </c>
      <c r="D5042">
        <f t="shared" si="158"/>
        <v>149</v>
      </c>
      <c r="E5042" t="str">
        <f t="shared" si="159"/>
        <v>149. Hong Kong SAR, China</v>
      </c>
    </row>
    <row r="5043" spans="1:5" x14ac:dyDescent="0.25">
      <c r="A5043" t="s">
        <v>136</v>
      </c>
      <c r="B5043" t="s">
        <v>347</v>
      </c>
      <c r="C5043">
        <v>2.7</v>
      </c>
      <c r="D5043">
        <f t="shared" si="158"/>
        <v>150</v>
      </c>
      <c r="E5043" t="str">
        <f t="shared" si="159"/>
        <v>150. Malta</v>
      </c>
    </row>
    <row r="5044" spans="1:5" x14ac:dyDescent="0.25">
      <c r="A5044" t="s">
        <v>132</v>
      </c>
      <c r="B5044" t="s">
        <v>347</v>
      </c>
      <c r="C5044">
        <v>2.7</v>
      </c>
      <c r="D5044">
        <f t="shared" si="158"/>
        <v>151</v>
      </c>
      <c r="E5044" t="str">
        <f t="shared" si="159"/>
        <v>151. Mexico</v>
      </c>
    </row>
    <row r="5045" spans="1:5" x14ac:dyDescent="0.25">
      <c r="A5045" t="s">
        <v>162</v>
      </c>
      <c r="B5045" t="s">
        <v>347</v>
      </c>
      <c r="C5045">
        <v>2.7</v>
      </c>
      <c r="D5045">
        <f t="shared" si="158"/>
        <v>152</v>
      </c>
      <c r="E5045" t="str">
        <f t="shared" si="159"/>
        <v>152. Papua New Guinea</v>
      </c>
    </row>
    <row r="5046" spans="1:5" x14ac:dyDescent="0.25">
      <c r="A5046" t="s">
        <v>82</v>
      </c>
      <c r="B5046" t="s">
        <v>347</v>
      </c>
      <c r="C5046">
        <v>2.6</v>
      </c>
      <c r="D5046">
        <f t="shared" si="158"/>
        <v>153</v>
      </c>
      <c r="E5046" t="str">
        <f t="shared" si="159"/>
        <v>153. Guinea-Bissau</v>
      </c>
    </row>
    <row r="5047" spans="1:5" x14ac:dyDescent="0.25">
      <c r="A5047" t="s">
        <v>106</v>
      </c>
      <c r="B5047" t="s">
        <v>347</v>
      </c>
      <c r="C5047">
        <v>2.6</v>
      </c>
      <c r="D5047">
        <f t="shared" si="158"/>
        <v>154</v>
      </c>
      <c r="E5047" t="str">
        <f t="shared" si="159"/>
        <v>154. Japan</v>
      </c>
    </row>
    <row r="5048" spans="1:5" x14ac:dyDescent="0.25">
      <c r="A5048" t="s">
        <v>113</v>
      </c>
      <c r="B5048" t="s">
        <v>347</v>
      </c>
      <c r="C5048">
        <v>2.6</v>
      </c>
      <c r="D5048">
        <f t="shared" si="158"/>
        <v>155</v>
      </c>
      <c r="E5048" t="str">
        <f t="shared" si="159"/>
        <v>155. Korea, Rep.</v>
      </c>
    </row>
    <row r="5049" spans="1:5" x14ac:dyDescent="0.25">
      <c r="A5049" t="s">
        <v>205</v>
      </c>
      <c r="B5049" t="s">
        <v>347</v>
      </c>
      <c r="C5049">
        <v>2.6</v>
      </c>
      <c r="D5049">
        <f t="shared" si="158"/>
        <v>156</v>
      </c>
      <c r="E5049" t="str">
        <f t="shared" si="159"/>
        <v>156. Tanzania</v>
      </c>
    </row>
    <row r="5050" spans="1:5" x14ac:dyDescent="0.25">
      <c r="A5050" t="s">
        <v>59</v>
      </c>
      <c r="B5050" t="s">
        <v>347</v>
      </c>
      <c r="C5050">
        <v>2.5</v>
      </c>
      <c r="D5050">
        <f t="shared" si="158"/>
        <v>157</v>
      </c>
      <c r="E5050" t="str">
        <f t="shared" si="159"/>
        <v>157. Czechia</v>
      </c>
    </row>
    <row r="5051" spans="1:5" x14ac:dyDescent="0.25">
      <c r="A5051" t="s">
        <v>163</v>
      </c>
      <c r="B5051" t="s">
        <v>347</v>
      </c>
      <c r="C5051">
        <v>2.5</v>
      </c>
      <c r="D5051">
        <f t="shared" si="158"/>
        <v>158</v>
      </c>
      <c r="E5051" t="str">
        <f t="shared" si="159"/>
        <v>158. Poland</v>
      </c>
    </row>
    <row r="5052" spans="1:5" x14ac:dyDescent="0.25">
      <c r="A5052" t="s">
        <v>171</v>
      </c>
      <c r="B5052" t="s">
        <v>347</v>
      </c>
      <c r="C5052">
        <v>2.5</v>
      </c>
      <c r="D5052">
        <f t="shared" si="158"/>
        <v>159</v>
      </c>
      <c r="E5052" t="str">
        <f t="shared" si="159"/>
        <v>159. Russian Federation</v>
      </c>
    </row>
    <row r="5053" spans="1:5" x14ac:dyDescent="0.25">
      <c r="A5053" t="s">
        <v>126</v>
      </c>
      <c r="B5053" t="s">
        <v>347</v>
      </c>
      <c r="C5053">
        <v>2.4</v>
      </c>
      <c r="D5053">
        <f t="shared" si="158"/>
        <v>160</v>
      </c>
      <c r="E5053" t="str">
        <f t="shared" si="159"/>
        <v>160. Macao SAR, China</v>
      </c>
    </row>
    <row r="5054" spans="1:5" x14ac:dyDescent="0.25">
      <c r="A5054" t="s">
        <v>47</v>
      </c>
      <c r="B5054" t="s">
        <v>347</v>
      </c>
      <c r="C5054">
        <v>2.2999999999999998</v>
      </c>
      <c r="D5054">
        <f t="shared" si="158"/>
        <v>161</v>
      </c>
      <c r="E5054" t="str">
        <f t="shared" si="159"/>
        <v>161. Cote d'Ivoire</v>
      </c>
    </row>
    <row r="5055" spans="1:5" x14ac:dyDescent="0.25">
      <c r="A5055" t="s">
        <v>87</v>
      </c>
      <c r="B5055" t="s">
        <v>347</v>
      </c>
      <c r="C5055">
        <v>2.2000000000000002</v>
      </c>
      <c r="D5055">
        <f t="shared" si="158"/>
        <v>162</v>
      </c>
      <c r="E5055" t="str">
        <f t="shared" si="159"/>
        <v>162. Guatemala</v>
      </c>
    </row>
    <row r="5056" spans="1:5" x14ac:dyDescent="0.25">
      <c r="A5056" t="s">
        <v>160</v>
      </c>
      <c r="B5056" t="s">
        <v>347</v>
      </c>
      <c r="C5056">
        <v>2.2000000000000002</v>
      </c>
      <c r="D5056">
        <f t="shared" si="158"/>
        <v>163</v>
      </c>
      <c r="E5056" t="str">
        <f t="shared" si="159"/>
        <v>163. Philippines</v>
      </c>
    </row>
    <row r="5057" spans="1:5" x14ac:dyDescent="0.25">
      <c r="A5057" t="s">
        <v>200</v>
      </c>
      <c r="B5057" t="s">
        <v>347</v>
      </c>
      <c r="C5057">
        <v>2.2000000000000002</v>
      </c>
      <c r="D5057">
        <f t="shared" si="158"/>
        <v>164</v>
      </c>
      <c r="E5057" t="str">
        <f t="shared" si="159"/>
        <v>164. Tonga</v>
      </c>
    </row>
    <row r="5058" spans="1:5" x14ac:dyDescent="0.25">
      <c r="A5058" t="s">
        <v>114</v>
      </c>
      <c r="B5058" t="s">
        <v>347</v>
      </c>
      <c r="C5058">
        <v>2.1</v>
      </c>
      <c r="D5058">
        <f t="shared" si="158"/>
        <v>165</v>
      </c>
      <c r="E5058" t="str">
        <f t="shared" si="159"/>
        <v>165. Kuwait</v>
      </c>
    </row>
    <row r="5059" spans="1:5" x14ac:dyDescent="0.25">
      <c r="A5059" t="s">
        <v>15</v>
      </c>
      <c r="B5059" t="s">
        <v>347</v>
      </c>
      <c r="C5059">
        <v>2.1</v>
      </c>
      <c r="D5059">
        <f t="shared" si="158"/>
        <v>166</v>
      </c>
      <c r="E5059" t="str">
        <f t="shared" si="159"/>
        <v>166. United Arab Emirates</v>
      </c>
    </row>
    <row r="5060" spans="1:5" x14ac:dyDescent="0.25">
      <c r="A5060" t="s">
        <v>195</v>
      </c>
      <c r="B5060" t="s">
        <v>347</v>
      </c>
      <c r="C5060">
        <v>1.9</v>
      </c>
      <c r="D5060">
        <f t="shared" ref="D5060:D5123" si="160">IF(ROW() = 2, 1, IF(B5060 = B5059, D5059 + 1, 1))</f>
        <v>167</v>
      </c>
      <c r="E5060" t="str">
        <f t="shared" ref="E5060:E5123" si="161">_xlfn.CONCAT(D5060, ". ", A5060)</f>
        <v>167. Togo</v>
      </c>
    </row>
    <row r="5061" spans="1:5" x14ac:dyDescent="0.25">
      <c r="A5061" t="s">
        <v>25</v>
      </c>
      <c r="B5061" t="s">
        <v>347</v>
      </c>
      <c r="C5061">
        <v>1.7</v>
      </c>
      <c r="D5061">
        <f t="shared" si="160"/>
        <v>168</v>
      </c>
      <c r="E5061" t="str">
        <f t="shared" si="161"/>
        <v>168. Benin</v>
      </c>
    </row>
    <row r="5062" spans="1:5" x14ac:dyDescent="0.25">
      <c r="A5062" t="s">
        <v>199</v>
      </c>
      <c r="B5062" t="s">
        <v>347</v>
      </c>
      <c r="C5062">
        <v>1.6</v>
      </c>
      <c r="D5062">
        <f t="shared" si="160"/>
        <v>169</v>
      </c>
      <c r="E5062" t="str">
        <f t="shared" si="161"/>
        <v>169. Timor-Leste</v>
      </c>
    </row>
    <row r="5063" spans="1:5" x14ac:dyDescent="0.25">
      <c r="A5063" t="s">
        <v>55</v>
      </c>
      <c r="B5063" t="s">
        <v>347</v>
      </c>
      <c r="C5063">
        <v>1.5</v>
      </c>
      <c r="D5063">
        <f t="shared" si="160"/>
        <v>170</v>
      </c>
      <c r="E5063" t="str">
        <f t="shared" si="161"/>
        <v>170. Cuba</v>
      </c>
    </row>
    <row r="5064" spans="1:5" x14ac:dyDescent="0.25">
      <c r="A5064" t="s">
        <v>177</v>
      </c>
      <c r="B5064" t="s">
        <v>347</v>
      </c>
      <c r="C5064">
        <v>1.5</v>
      </c>
      <c r="D5064">
        <f t="shared" si="160"/>
        <v>171</v>
      </c>
      <c r="E5064" t="str">
        <f t="shared" si="161"/>
        <v>171. Solomon Islands</v>
      </c>
    </row>
    <row r="5065" spans="1:5" x14ac:dyDescent="0.25">
      <c r="A5065" t="s">
        <v>129</v>
      </c>
      <c r="B5065" t="s">
        <v>347</v>
      </c>
      <c r="C5065">
        <v>1.4</v>
      </c>
      <c r="D5065">
        <f t="shared" si="160"/>
        <v>172</v>
      </c>
      <c r="E5065" t="str">
        <f t="shared" si="161"/>
        <v>172. Moldova</v>
      </c>
    </row>
    <row r="5066" spans="1:5" x14ac:dyDescent="0.25">
      <c r="A5066" t="s">
        <v>213</v>
      </c>
      <c r="B5066" t="s">
        <v>347</v>
      </c>
      <c r="C5066">
        <v>1.4</v>
      </c>
      <c r="D5066">
        <f t="shared" si="160"/>
        <v>173</v>
      </c>
      <c r="E5066" t="str">
        <f t="shared" si="161"/>
        <v>173. Viet Nam</v>
      </c>
    </row>
    <row r="5067" spans="1:5" x14ac:dyDescent="0.25">
      <c r="A5067" t="s">
        <v>115</v>
      </c>
      <c r="B5067" t="s">
        <v>347</v>
      </c>
      <c r="C5067">
        <v>1.2</v>
      </c>
      <c r="D5067">
        <f t="shared" si="160"/>
        <v>174</v>
      </c>
      <c r="E5067" t="str">
        <f t="shared" si="161"/>
        <v>174. Lao PDR</v>
      </c>
    </row>
    <row r="5068" spans="1:5" x14ac:dyDescent="0.25">
      <c r="A5068" t="s">
        <v>29</v>
      </c>
      <c r="B5068" t="s">
        <v>347</v>
      </c>
      <c r="C5068">
        <v>1.1000000000000001</v>
      </c>
      <c r="D5068">
        <f t="shared" si="160"/>
        <v>175</v>
      </c>
      <c r="E5068" t="str">
        <f t="shared" si="161"/>
        <v>175. Bahrain</v>
      </c>
    </row>
    <row r="5069" spans="1:5" x14ac:dyDescent="0.25">
      <c r="A5069" t="s">
        <v>194</v>
      </c>
      <c r="B5069" t="s">
        <v>347</v>
      </c>
      <c r="C5069">
        <v>1.1000000000000001</v>
      </c>
      <c r="D5069">
        <f t="shared" si="160"/>
        <v>176</v>
      </c>
      <c r="E5069" t="str">
        <f t="shared" si="161"/>
        <v>176. Chad</v>
      </c>
    </row>
    <row r="5070" spans="1:5" x14ac:dyDescent="0.25">
      <c r="A5070" t="s">
        <v>23</v>
      </c>
      <c r="B5070" t="s">
        <v>347</v>
      </c>
      <c r="C5070">
        <v>0.9</v>
      </c>
      <c r="D5070">
        <f t="shared" si="160"/>
        <v>177</v>
      </c>
      <c r="E5070" t="str">
        <f t="shared" si="161"/>
        <v>177. Burundi</v>
      </c>
    </row>
    <row r="5071" spans="1:5" x14ac:dyDescent="0.25">
      <c r="A5071" t="s">
        <v>196</v>
      </c>
      <c r="B5071" t="s">
        <v>347</v>
      </c>
      <c r="C5071">
        <v>0.7</v>
      </c>
      <c r="D5071">
        <f t="shared" si="160"/>
        <v>178</v>
      </c>
      <c r="E5071" t="str">
        <f t="shared" si="161"/>
        <v>178. Thailand</v>
      </c>
    </row>
    <row r="5072" spans="1:5" x14ac:dyDescent="0.25">
      <c r="A5072" t="s">
        <v>148</v>
      </c>
      <c r="B5072" t="s">
        <v>347</v>
      </c>
      <c r="C5072">
        <v>0.4</v>
      </c>
      <c r="D5072">
        <f t="shared" si="160"/>
        <v>179</v>
      </c>
      <c r="E5072" t="str">
        <f t="shared" si="161"/>
        <v>179. Niger</v>
      </c>
    </row>
    <row r="5073" spans="1:5" x14ac:dyDescent="0.25">
      <c r="A5073" t="s">
        <v>110</v>
      </c>
      <c r="B5073" t="s">
        <v>347</v>
      </c>
      <c r="C5073">
        <v>0.3</v>
      </c>
      <c r="D5073">
        <f t="shared" si="160"/>
        <v>180</v>
      </c>
      <c r="E5073" t="str">
        <f t="shared" si="161"/>
        <v>180. Cambodia</v>
      </c>
    </row>
    <row r="5074" spans="1:5" x14ac:dyDescent="0.25">
      <c r="A5074" t="s">
        <v>169</v>
      </c>
      <c r="B5074" t="s">
        <v>347</v>
      </c>
      <c r="C5074">
        <v>0.1</v>
      </c>
      <c r="D5074">
        <f t="shared" si="160"/>
        <v>181</v>
      </c>
      <c r="E5074" t="str">
        <f t="shared" si="161"/>
        <v>181. Qatar</v>
      </c>
    </row>
    <row r="5075" spans="1:5" x14ac:dyDescent="0.25">
      <c r="A5075" t="s">
        <v>34</v>
      </c>
      <c r="B5075" t="s">
        <v>373</v>
      </c>
      <c r="C5075">
        <v>100</v>
      </c>
      <c r="D5075">
        <f t="shared" si="160"/>
        <v>1</v>
      </c>
      <c r="E5075" t="str">
        <f t="shared" si="161"/>
        <v>1. Bermuda</v>
      </c>
    </row>
    <row r="5076" spans="1:5" x14ac:dyDescent="0.25">
      <c r="A5076" t="s">
        <v>57</v>
      </c>
      <c r="B5076" t="s">
        <v>373</v>
      </c>
      <c r="C5076">
        <v>100</v>
      </c>
      <c r="D5076">
        <f t="shared" si="160"/>
        <v>2</v>
      </c>
      <c r="E5076" t="str">
        <f t="shared" si="161"/>
        <v>2. Cayman Islands</v>
      </c>
    </row>
    <row r="5077" spans="1:5" x14ac:dyDescent="0.25">
      <c r="A5077" t="s">
        <v>90</v>
      </c>
      <c r="B5077" t="s">
        <v>373</v>
      </c>
      <c r="C5077">
        <v>100</v>
      </c>
      <c r="D5077">
        <f t="shared" si="160"/>
        <v>3</v>
      </c>
      <c r="E5077" t="str">
        <f t="shared" si="161"/>
        <v>3. Hong Kong SAR, China</v>
      </c>
    </row>
    <row r="5078" spans="1:5" x14ac:dyDescent="0.25">
      <c r="A5078" t="s">
        <v>114</v>
      </c>
      <c r="B5078" t="s">
        <v>373</v>
      </c>
      <c r="C5078">
        <v>100</v>
      </c>
      <c r="D5078">
        <f t="shared" si="160"/>
        <v>4</v>
      </c>
      <c r="E5078" t="str">
        <f t="shared" si="161"/>
        <v>4. Kuwait</v>
      </c>
    </row>
    <row r="5079" spans="1:5" x14ac:dyDescent="0.25">
      <c r="A5079" t="s">
        <v>126</v>
      </c>
      <c r="B5079" t="s">
        <v>373</v>
      </c>
      <c r="C5079">
        <v>100</v>
      </c>
      <c r="D5079">
        <f t="shared" si="160"/>
        <v>5</v>
      </c>
      <c r="E5079" t="str">
        <f t="shared" si="161"/>
        <v>5. Macao SAR, China</v>
      </c>
    </row>
    <row r="5080" spans="1:5" x14ac:dyDescent="0.25">
      <c r="A5080" t="s">
        <v>128</v>
      </c>
      <c r="B5080" t="s">
        <v>373</v>
      </c>
      <c r="C5080">
        <v>100</v>
      </c>
      <c r="D5080">
        <f t="shared" si="160"/>
        <v>6</v>
      </c>
      <c r="E5080" t="str">
        <f t="shared" si="161"/>
        <v>6. Monaco</v>
      </c>
    </row>
    <row r="5081" spans="1:5" x14ac:dyDescent="0.25">
      <c r="A5081" t="s">
        <v>154</v>
      </c>
      <c r="B5081" t="s">
        <v>373</v>
      </c>
      <c r="C5081">
        <v>100</v>
      </c>
      <c r="D5081">
        <f t="shared" si="160"/>
        <v>7</v>
      </c>
      <c r="E5081" t="str">
        <f t="shared" si="161"/>
        <v>7. Nauru</v>
      </c>
    </row>
    <row r="5082" spans="1:5" x14ac:dyDescent="0.25">
      <c r="A5082" t="s">
        <v>176</v>
      </c>
      <c r="B5082" t="s">
        <v>373</v>
      </c>
      <c r="C5082">
        <v>100</v>
      </c>
      <c r="D5082">
        <f t="shared" si="160"/>
        <v>8</v>
      </c>
      <c r="E5082" t="str">
        <f t="shared" si="161"/>
        <v>8. Singapore</v>
      </c>
    </row>
    <row r="5083" spans="1:5" x14ac:dyDescent="0.25">
      <c r="A5083" t="s">
        <v>190</v>
      </c>
      <c r="B5083" t="s">
        <v>373</v>
      </c>
      <c r="C5083">
        <v>100</v>
      </c>
      <c r="D5083">
        <f t="shared" si="160"/>
        <v>9</v>
      </c>
      <c r="E5083" t="str">
        <f t="shared" si="161"/>
        <v>9. Sint Maarten (Dutch part)</v>
      </c>
    </row>
    <row r="5084" spans="1:5" x14ac:dyDescent="0.25">
      <c r="A5084" t="s">
        <v>169</v>
      </c>
      <c r="B5084" t="s">
        <v>373</v>
      </c>
      <c r="C5084">
        <v>99.4</v>
      </c>
      <c r="D5084">
        <f t="shared" si="160"/>
        <v>10</v>
      </c>
      <c r="E5084" t="str">
        <f t="shared" si="161"/>
        <v>10. Qatar</v>
      </c>
    </row>
    <row r="5085" spans="1:5" x14ac:dyDescent="0.25">
      <c r="A5085" t="s">
        <v>24</v>
      </c>
      <c r="B5085" t="s">
        <v>373</v>
      </c>
      <c r="C5085">
        <v>98.2</v>
      </c>
      <c r="D5085">
        <f t="shared" si="160"/>
        <v>11</v>
      </c>
      <c r="E5085" t="str">
        <f t="shared" si="161"/>
        <v>11. Belgium</v>
      </c>
    </row>
    <row r="5086" spans="1:5" x14ac:dyDescent="0.25">
      <c r="A5086" t="s">
        <v>180</v>
      </c>
      <c r="B5086" t="s">
        <v>373</v>
      </c>
      <c r="C5086">
        <v>97.9</v>
      </c>
      <c r="D5086">
        <f t="shared" si="160"/>
        <v>12</v>
      </c>
      <c r="E5086" t="str">
        <f t="shared" si="161"/>
        <v>12. San Marino</v>
      </c>
    </row>
    <row r="5087" spans="1:5" x14ac:dyDescent="0.25">
      <c r="A5087" t="s">
        <v>212</v>
      </c>
      <c r="B5087" t="s">
        <v>373</v>
      </c>
      <c r="C5087">
        <v>96.3</v>
      </c>
      <c r="D5087">
        <f t="shared" si="160"/>
        <v>13</v>
      </c>
      <c r="E5087" t="str">
        <f t="shared" si="161"/>
        <v>13. Virgin Islands (U.S.)</v>
      </c>
    </row>
    <row r="5088" spans="1:5" x14ac:dyDescent="0.25">
      <c r="A5088" t="s">
        <v>208</v>
      </c>
      <c r="B5088" t="s">
        <v>373</v>
      </c>
      <c r="C5088">
        <v>95.9</v>
      </c>
      <c r="D5088">
        <f t="shared" si="160"/>
        <v>14</v>
      </c>
      <c r="E5088" t="str">
        <f t="shared" si="161"/>
        <v>14. Uruguay</v>
      </c>
    </row>
    <row r="5089" spans="1:5" x14ac:dyDescent="0.25">
      <c r="A5089" t="s">
        <v>88</v>
      </c>
      <c r="B5089" t="s">
        <v>373</v>
      </c>
      <c r="C5089">
        <v>95.2</v>
      </c>
      <c r="D5089">
        <f t="shared" si="160"/>
        <v>15</v>
      </c>
      <c r="E5089" t="str">
        <f t="shared" si="161"/>
        <v>15. Guam</v>
      </c>
    </row>
    <row r="5090" spans="1:5" x14ac:dyDescent="0.25">
      <c r="A5090" t="s">
        <v>136</v>
      </c>
      <c r="B5090" t="s">
        <v>373</v>
      </c>
      <c r="C5090">
        <v>95</v>
      </c>
      <c r="D5090">
        <f t="shared" si="160"/>
        <v>16</v>
      </c>
      <c r="E5090" t="str">
        <f t="shared" si="161"/>
        <v>16. Malta</v>
      </c>
    </row>
    <row r="5091" spans="1:5" x14ac:dyDescent="0.25">
      <c r="A5091" t="s">
        <v>193</v>
      </c>
      <c r="B5091" t="s">
        <v>373</v>
      </c>
      <c r="C5091">
        <v>94.4</v>
      </c>
      <c r="D5091">
        <f t="shared" si="160"/>
        <v>17</v>
      </c>
      <c r="E5091" t="str">
        <f t="shared" si="161"/>
        <v>17. Turks and Caicos Islands</v>
      </c>
    </row>
    <row r="5092" spans="1:5" x14ac:dyDescent="0.25">
      <c r="A5092" t="s">
        <v>101</v>
      </c>
      <c r="B5092" t="s">
        <v>373</v>
      </c>
      <c r="C5092">
        <v>94.1</v>
      </c>
      <c r="D5092">
        <f t="shared" si="160"/>
        <v>18</v>
      </c>
      <c r="E5092" t="str">
        <f t="shared" si="161"/>
        <v>18. Iceland</v>
      </c>
    </row>
    <row r="5093" spans="1:5" x14ac:dyDescent="0.25">
      <c r="A5093" t="s">
        <v>164</v>
      </c>
      <c r="B5093" t="s">
        <v>373</v>
      </c>
      <c r="C5093">
        <v>93.7</v>
      </c>
      <c r="D5093">
        <f t="shared" si="160"/>
        <v>19</v>
      </c>
      <c r="E5093" t="str">
        <f t="shared" si="161"/>
        <v>19. Puerto Rico (US)</v>
      </c>
    </row>
    <row r="5094" spans="1:5" x14ac:dyDescent="0.25">
      <c r="A5094" t="s">
        <v>151</v>
      </c>
      <c r="B5094" t="s">
        <v>373</v>
      </c>
      <c r="C5094">
        <v>93.5</v>
      </c>
      <c r="D5094">
        <f t="shared" si="160"/>
        <v>20</v>
      </c>
      <c r="E5094" t="str">
        <f t="shared" si="161"/>
        <v>20. Netherlands</v>
      </c>
    </row>
    <row r="5095" spans="1:5" x14ac:dyDescent="0.25">
      <c r="A5095" t="s">
        <v>102</v>
      </c>
      <c r="B5095" t="s">
        <v>373</v>
      </c>
      <c r="C5095">
        <v>92.9</v>
      </c>
      <c r="D5095">
        <f t="shared" si="160"/>
        <v>21</v>
      </c>
      <c r="E5095" t="str">
        <f t="shared" si="161"/>
        <v>21. Israel</v>
      </c>
    </row>
    <row r="5096" spans="1:5" x14ac:dyDescent="0.25">
      <c r="A5096" t="s">
        <v>16</v>
      </c>
      <c r="B5096" t="s">
        <v>373</v>
      </c>
      <c r="C5096">
        <v>92.6</v>
      </c>
      <c r="D5096">
        <f t="shared" si="160"/>
        <v>22</v>
      </c>
      <c r="E5096" t="str">
        <f t="shared" si="161"/>
        <v>22. Argentina</v>
      </c>
    </row>
    <row r="5097" spans="1:5" x14ac:dyDescent="0.25">
      <c r="A5097" t="s">
        <v>124</v>
      </c>
      <c r="B5097" t="s">
        <v>373</v>
      </c>
      <c r="C5097">
        <v>92.3</v>
      </c>
      <c r="D5097">
        <f t="shared" si="160"/>
        <v>23</v>
      </c>
      <c r="E5097" t="str">
        <f t="shared" si="161"/>
        <v>23. Luxembourg</v>
      </c>
    </row>
    <row r="5098" spans="1:5" x14ac:dyDescent="0.25">
      <c r="A5098" t="s">
        <v>105</v>
      </c>
      <c r="B5098" t="s">
        <v>373</v>
      </c>
      <c r="C5098">
        <v>92.2</v>
      </c>
      <c r="D5098">
        <f t="shared" si="160"/>
        <v>24</v>
      </c>
      <c r="E5098" t="str">
        <f t="shared" si="161"/>
        <v>24. Jordan</v>
      </c>
    </row>
    <row r="5099" spans="1:5" x14ac:dyDescent="0.25">
      <c r="A5099" t="s">
        <v>140</v>
      </c>
      <c r="B5099" t="s">
        <v>373</v>
      </c>
      <c r="C5099">
        <v>92.2</v>
      </c>
      <c r="D5099">
        <f t="shared" si="160"/>
        <v>25</v>
      </c>
      <c r="E5099" t="str">
        <f t="shared" si="161"/>
        <v>25. Northern Mariana Islands</v>
      </c>
    </row>
    <row r="5100" spans="1:5" x14ac:dyDescent="0.25">
      <c r="A5100" t="s">
        <v>106</v>
      </c>
      <c r="B5100" t="s">
        <v>373</v>
      </c>
      <c r="C5100">
        <v>92.1</v>
      </c>
      <c r="D5100">
        <f t="shared" si="160"/>
        <v>26</v>
      </c>
      <c r="E5100" t="str">
        <f t="shared" si="161"/>
        <v>26. Japan</v>
      </c>
    </row>
    <row r="5101" spans="1:5" x14ac:dyDescent="0.25">
      <c r="A5101" t="s">
        <v>76</v>
      </c>
      <c r="B5101" t="s">
        <v>373</v>
      </c>
      <c r="C5101">
        <v>91.3</v>
      </c>
      <c r="D5101">
        <f t="shared" si="160"/>
        <v>27</v>
      </c>
      <c r="E5101" t="str">
        <f t="shared" si="161"/>
        <v>27. Gabon</v>
      </c>
    </row>
    <row r="5102" spans="1:5" x14ac:dyDescent="0.25">
      <c r="A5102" t="s">
        <v>29</v>
      </c>
      <c r="B5102" t="s">
        <v>373</v>
      </c>
      <c r="C5102">
        <v>90</v>
      </c>
      <c r="D5102">
        <f t="shared" si="160"/>
        <v>28</v>
      </c>
      <c r="E5102" t="str">
        <f t="shared" si="161"/>
        <v>28. Bahrain</v>
      </c>
    </row>
    <row r="5103" spans="1:5" x14ac:dyDescent="0.25">
      <c r="A5103" t="s">
        <v>116</v>
      </c>
      <c r="B5103" t="s">
        <v>373</v>
      </c>
      <c r="C5103">
        <v>89.6</v>
      </c>
      <c r="D5103">
        <f t="shared" si="160"/>
        <v>29</v>
      </c>
      <c r="E5103" t="str">
        <f t="shared" si="161"/>
        <v>29. Lebanon</v>
      </c>
    </row>
    <row r="5104" spans="1:5" x14ac:dyDescent="0.25">
      <c r="A5104" t="s">
        <v>56</v>
      </c>
      <c r="B5104" t="s">
        <v>373</v>
      </c>
      <c r="C5104">
        <v>89</v>
      </c>
      <c r="D5104">
        <f t="shared" si="160"/>
        <v>30</v>
      </c>
      <c r="E5104" t="str">
        <f t="shared" si="161"/>
        <v>30. Curacao</v>
      </c>
    </row>
    <row r="5105" spans="1:5" x14ac:dyDescent="0.25">
      <c r="A5105" t="s">
        <v>156</v>
      </c>
      <c r="B5105" t="s">
        <v>373</v>
      </c>
      <c r="C5105">
        <v>89</v>
      </c>
      <c r="D5105">
        <f t="shared" si="160"/>
        <v>31</v>
      </c>
      <c r="E5105" t="str">
        <f t="shared" si="161"/>
        <v>31. Oman</v>
      </c>
    </row>
    <row r="5106" spans="1:5" x14ac:dyDescent="0.25">
      <c r="A5106" t="s">
        <v>188</v>
      </c>
      <c r="B5106" t="s">
        <v>373</v>
      </c>
      <c r="C5106">
        <v>89</v>
      </c>
      <c r="D5106">
        <f t="shared" si="160"/>
        <v>32</v>
      </c>
      <c r="E5106" t="str">
        <f t="shared" si="161"/>
        <v>32. Sweden</v>
      </c>
    </row>
    <row r="5107" spans="1:5" x14ac:dyDescent="0.25">
      <c r="A5107" t="s">
        <v>63</v>
      </c>
      <c r="B5107" t="s">
        <v>373</v>
      </c>
      <c r="C5107">
        <v>88.6</v>
      </c>
      <c r="D5107">
        <f t="shared" si="160"/>
        <v>33</v>
      </c>
      <c r="E5107" t="str">
        <f t="shared" si="161"/>
        <v>33. Denmark</v>
      </c>
    </row>
    <row r="5108" spans="1:5" x14ac:dyDescent="0.25">
      <c r="A5108" t="s">
        <v>223</v>
      </c>
      <c r="B5108" t="s">
        <v>373</v>
      </c>
      <c r="C5108">
        <v>88.5</v>
      </c>
      <c r="D5108">
        <f t="shared" si="160"/>
        <v>34</v>
      </c>
      <c r="E5108" t="str">
        <f t="shared" si="161"/>
        <v>34. Venezuela, RB</v>
      </c>
    </row>
    <row r="5109" spans="1:5" x14ac:dyDescent="0.25">
      <c r="A5109" t="s">
        <v>45</v>
      </c>
      <c r="B5109" t="s">
        <v>373</v>
      </c>
      <c r="C5109">
        <v>88.1</v>
      </c>
      <c r="D5109">
        <f t="shared" si="160"/>
        <v>35</v>
      </c>
      <c r="E5109" t="str">
        <f t="shared" si="161"/>
        <v>35. Chile</v>
      </c>
    </row>
    <row r="5110" spans="1:5" x14ac:dyDescent="0.25">
      <c r="A5110" t="s">
        <v>86</v>
      </c>
      <c r="B5110" t="s">
        <v>373</v>
      </c>
      <c r="C5110">
        <v>88.1</v>
      </c>
      <c r="D5110">
        <f t="shared" si="160"/>
        <v>36</v>
      </c>
      <c r="E5110" t="str">
        <f t="shared" si="161"/>
        <v>36. Greenland</v>
      </c>
    </row>
    <row r="5111" spans="1:5" x14ac:dyDescent="0.25">
      <c r="A5111" t="s">
        <v>36</v>
      </c>
      <c r="B5111" t="s">
        <v>373</v>
      </c>
      <c r="C5111">
        <v>88</v>
      </c>
      <c r="D5111">
        <f t="shared" si="160"/>
        <v>37</v>
      </c>
      <c r="E5111" t="str">
        <f t="shared" si="161"/>
        <v>37. Brazil</v>
      </c>
    </row>
    <row r="5112" spans="1:5" x14ac:dyDescent="0.25">
      <c r="A5112" t="s">
        <v>15</v>
      </c>
      <c r="B5112" t="s">
        <v>373</v>
      </c>
      <c r="C5112">
        <v>88</v>
      </c>
      <c r="D5112">
        <f t="shared" si="160"/>
        <v>38</v>
      </c>
      <c r="E5112" t="str">
        <f t="shared" si="161"/>
        <v>38. United Arab Emirates</v>
      </c>
    </row>
    <row r="5113" spans="1:5" x14ac:dyDescent="0.25">
      <c r="A5113" t="s">
        <v>14</v>
      </c>
      <c r="B5113" t="s">
        <v>373</v>
      </c>
      <c r="C5113">
        <v>87.7</v>
      </c>
      <c r="D5113">
        <f t="shared" si="160"/>
        <v>39</v>
      </c>
      <c r="E5113" t="str">
        <f t="shared" si="161"/>
        <v>39. Andorra</v>
      </c>
    </row>
    <row r="5114" spans="1:5" x14ac:dyDescent="0.25">
      <c r="A5114" t="s">
        <v>18</v>
      </c>
      <c r="B5114" t="s">
        <v>373</v>
      </c>
      <c r="C5114">
        <v>87.3</v>
      </c>
      <c r="D5114">
        <f t="shared" si="160"/>
        <v>40</v>
      </c>
      <c r="E5114" t="str">
        <f t="shared" si="161"/>
        <v>40. American Samoa</v>
      </c>
    </row>
    <row r="5115" spans="1:5" x14ac:dyDescent="0.25">
      <c r="A5115" t="s">
        <v>155</v>
      </c>
      <c r="B5115" t="s">
        <v>373</v>
      </c>
      <c r="C5115">
        <v>87.1</v>
      </c>
      <c r="D5115">
        <f t="shared" si="160"/>
        <v>41</v>
      </c>
      <c r="E5115" t="str">
        <f t="shared" si="161"/>
        <v>41. New Zealand</v>
      </c>
    </row>
    <row r="5116" spans="1:5" x14ac:dyDescent="0.25">
      <c r="A5116" t="s">
        <v>20</v>
      </c>
      <c r="B5116" t="s">
        <v>373</v>
      </c>
      <c r="C5116">
        <v>86.8</v>
      </c>
      <c r="D5116">
        <f t="shared" si="160"/>
        <v>42</v>
      </c>
      <c r="E5116" t="str">
        <f t="shared" si="161"/>
        <v>42. Australia</v>
      </c>
    </row>
    <row r="5117" spans="1:5" x14ac:dyDescent="0.25">
      <c r="A5117" t="s">
        <v>71</v>
      </c>
      <c r="B5117" t="s">
        <v>373</v>
      </c>
      <c r="C5117">
        <v>85.9</v>
      </c>
      <c r="D5117">
        <f t="shared" si="160"/>
        <v>43</v>
      </c>
      <c r="E5117" t="str">
        <f t="shared" si="161"/>
        <v>43. Finland</v>
      </c>
    </row>
    <row r="5118" spans="1:5" x14ac:dyDescent="0.25">
      <c r="A5118" t="s">
        <v>173</v>
      </c>
      <c r="B5118" t="s">
        <v>373</v>
      </c>
      <c r="C5118">
        <v>85.2</v>
      </c>
      <c r="D5118">
        <f t="shared" si="160"/>
        <v>44</v>
      </c>
      <c r="E5118" t="str">
        <f t="shared" si="161"/>
        <v>44. Saudi Arabia</v>
      </c>
    </row>
    <row r="5119" spans="1:5" x14ac:dyDescent="0.25">
      <c r="A5119" t="s">
        <v>64</v>
      </c>
      <c r="B5119" t="s">
        <v>373</v>
      </c>
      <c r="C5119">
        <v>85</v>
      </c>
      <c r="D5119">
        <f t="shared" si="160"/>
        <v>45</v>
      </c>
      <c r="E5119" t="str">
        <f t="shared" si="161"/>
        <v>45. Dominican Republic</v>
      </c>
    </row>
    <row r="5120" spans="1:5" x14ac:dyDescent="0.25">
      <c r="A5120" t="s">
        <v>77</v>
      </c>
      <c r="B5120" t="s">
        <v>373</v>
      </c>
      <c r="C5120">
        <v>84.9</v>
      </c>
      <c r="D5120">
        <f t="shared" si="160"/>
        <v>46</v>
      </c>
      <c r="E5120" t="str">
        <f t="shared" si="161"/>
        <v>46. United Kingdom</v>
      </c>
    </row>
    <row r="5121" spans="1:5" x14ac:dyDescent="0.25">
      <c r="A5121" t="s">
        <v>152</v>
      </c>
      <c r="B5121" t="s">
        <v>373</v>
      </c>
      <c r="C5121">
        <v>84.3</v>
      </c>
      <c r="D5121">
        <f t="shared" si="160"/>
        <v>47</v>
      </c>
      <c r="E5121" t="str">
        <f t="shared" si="161"/>
        <v>47. Norway</v>
      </c>
    </row>
    <row r="5122" spans="1:5" x14ac:dyDescent="0.25">
      <c r="A5122" t="s">
        <v>30</v>
      </c>
      <c r="B5122" t="s">
        <v>373</v>
      </c>
      <c r="C5122">
        <v>83.8</v>
      </c>
      <c r="D5122">
        <f t="shared" si="160"/>
        <v>48</v>
      </c>
      <c r="E5122" t="str">
        <f t="shared" si="161"/>
        <v>48. Bahamas, The</v>
      </c>
    </row>
    <row r="5123" spans="1:5" x14ac:dyDescent="0.25">
      <c r="A5123" t="s">
        <v>209</v>
      </c>
      <c r="B5123" t="s">
        <v>373</v>
      </c>
      <c r="C5123">
        <v>83.5</v>
      </c>
      <c r="D5123">
        <f t="shared" si="160"/>
        <v>49</v>
      </c>
      <c r="E5123" t="str">
        <f t="shared" si="161"/>
        <v>49. United States</v>
      </c>
    </row>
    <row r="5124" spans="1:5" x14ac:dyDescent="0.25">
      <c r="A5124" t="s">
        <v>54</v>
      </c>
      <c r="B5124" t="s">
        <v>373</v>
      </c>
      <c r="C5124">
        <v>83.2</v>
      </c>
      <c r="D5124">
        <f t="shared" ref="D5124:D5187" si="162">IF(ROW() = 2, 1, IF(B5124 = B5123, D5123 + 1, 1))</f>
        <v>50</v>
      </c>
      <c r="E5124" t="str">
        <f t="shared" ref="E5124:E5187" si="163">_xlfn.CONCAT(D5124, ". ", A5124)</f>
        <v>50. Costa Rica</v>
      </c>
    </row>
    <row r="5125" spans="1:5" x14ac:dyDescent="0.25">
      <c r="A5125" t="s">
        <v>161</v>
      </c>
      <c r="B5125" t="s">
        <v>373</v>
      </c>
      <c r="C5125">
        <v>82.8</v>
      </c>
      <c r="D5125">
        <f t="shared" si="162"/>
        <v>51</v>
      </c>
      <c r="E5125" t="str">
        <f t="shared" si="163"/>
        <v>51. Palau</v>
      </c>
    </row>
    <row r="5126" spans="1:5" x14ac:dyDescent="0.25">
      <c r="A5126" t="s">
        <v>51</v>
      </c>
      <c r="B5126" t="s">
        <v>373</v>
      </c>
      <c r="C5126">
        <v>82.7</v>
      </c>
      <c r="D5126">
        <f t="shared" si="162"/>
        <v>52</v>
      </c>
      <c r="E5126" t="str">
        <f t="shared" si="163"/>
        <v>52. Colombia</v>
      </c>
    </row>
    <row r="5127" spans="1:5" x14ac:dyDescent="0.25">
      <c r="A5127" t="s">
        <v>42</v>
      </c>
      <c r="B5127" t="s">
        <v>373</v>
      </c>
      <c r="C5127">
        <v>82</v>
      </c>
      <c r="D5127">
        <f t="shared" si="162"/>
        <v>53</v>
      </c>
      <c r="E5127" t="str">
        <f t="shared" si="163"/>
        <v>53. Canada</v>
      </c>
    </row>
    <row r="5128" spans="1:5" x14ac:dyDescent="0.25">
      <c r="A5128" t="s">
        <v>73</v>
      </c>
      <c r="B5128" t="s">
        <v>373</v>
      </c>
      <c r="C5128">
        <v>82</v>
      </c>
      <c r="D5128">
        <f t="shared" si="162"/>
        <v>54</v>
      </c>
      <c r="E5128" t="str">
        <f t="shared" si="163"/>
        <v>54. France</v>
      </c>
    </row>
    <row r="5129" spans="1:5" x14ac:dyDescent="0.25">
      <c r="A5129" t="s">
        <v>118</v>
      </c>
      <c r="B5129" t="s">
        <v>373</v>
      </c>
      <c r="C5129">
        <v>81.900000000000006</v>
      </c>
      <c r="D5129">
        <f t="shared" si="162"/>
        <v>55</v>
      </c>
      <c r="E5129" t="str">
        <f t="shared" si="163"/>
        <v>55. Libya</v>
      </c>
    </row>
    <row r="5130" spans="1:5" x14ac:dyDescent="0.25">
      <c r="A5130" t="s">
        <v>132</v>
      </c>
      <c r="B5130" t="s">
        <v>373</v>
      </c>
      <c r="C5130">
        <v>81.900000000000006</v>
      </c>
      <c r="D5130">
        <f t="shared" si="162"/>
        <v>56</v>
      </c>
      <c r="E5130" t="str">
        <f t="shared" si="163"/>
        <v>56. Mexico</v>
      </c>
    </row>
    <row r="5131" spans="1:5" x14ac:dyDescent="0.25">
      <c r="A5131" t="s">
        <v>68</v>
      </c>
      <c r="B5131" t="s">
        <v>373</v>
      </c>
      <c r="C5131">
        <v>81.8</v>
      </c>
      <c r="D5131">
        <f t="shared" si="162"/>
        <v>57</v>
      </c>
      <c r="E5131" t="str">
        <f t="shared" si="163"/>
        <v>57. Spain</v>
      </c>
    </row>
    <row r="5132" spans="1:5" x14ac:dyDescent="0.25">
      <c r="A5132" t="s">
        <v>113</v>
      </c>
      <c r="B5132" t="s">
        <v>373</v>
      </c>
      <c r="C5132">
        <v>81.5</v>
      </c>
      <c r="D5132">
        <f t="shared" si="162"/>
        <v>58</v>
      </c>
      <c r="E5132" t="str">
        <f t="shared" si="163"/>
        <v>58. Korea, Rep.</v>
      </c>
    </row>
    <row r="5133" spans="1:5" x14ac:dyDescent="0.25">
      <c r="A5133" t="s">
        <v>32</v>
      </c>
      <c r="B5133" t="s">
        <v>373</v>
      </c>
      <c r="C5133">
        <v>81.099999999999994</v>
      </c>
      <c r="D5133">
        <f t="shared" si="162"/>
        <v>59</v>
      </c>
      <c r="E5133" t="str">
        <f t="shared" si="163"/>
        <v>59. Belarus</v>
      </c>
    </row>
    <row r="5134" spans="1:5" x14ac:dyDescent="0.25">
      <c r="A5134" t="s">
        <v>84</v>
      </c>
      <c r="B5134" t="s">
        <v>373</v>
      </c>
      <c r="C5134">
        <v>81</v>
      </c>
      <c r="D5134">
        <f t="shared" si="162"/>
        <v>60</v>
      </c>
      <c r="E5134" t="str">
        <f t="shared" si="163"/>
        <v>60. Greece</v>
      </c>
    </row>
    <row r="5135" spans="1:5" x14ac:dyDescent="0.25">
      <c r="A5135" t="s">
        <v>38</v>
      </c>
      <c r="B5135" t="s">
        <v>373</v>
      </c>
      <c r="C5135">
        <v>79.400000000000006</v>
      </c>
      <c r="D5135">
        <f t="shared" si="162"/>
        <v>61</v>
      </c>
      <c r="E5135" t="str">
        <f t="shared" si="163"/>
        <v>61. Brunei Darussalam</v>
      </c>
    </row>
    <row r="5136" spans="1:5" x14ac:dyDescent="0.25">
      <c r="A5136" t="s">
        <v>145</v>
      </c>
      <c r="B5136" t="s">
        <v>373</v>
      </c>
      <c r="C5136">
        <v>79.2</v>
      </c>
      <c r="D5136">
        <f t="shared" si="162"/>
        <v>62</v>
      </c>
      <c r="E5136" t="str">
        <f t="shared" si="163"/>
        <v>62. Malaysia</v>
      </c>
    </row>
    <row r="5137" spans="1:5" x14ac:dyDescent="0.25">
      <c r="A5137" t="s">
        <v>133</v>
      </c>
      <c r="B5137" t="s">
        <v>373</v>
      </c>
      <c r="C5137">
        <v>79.2</v>
      </c>
      <c r="D5137">
        <f t="shared" si="162"/>
        <v>63</v>
      </c>
      <c r="E5137" t="str">
        <f t="shared" si="163"/>
        <v>63. Marshall Islands</v>
      </c>
    </row>
    <row r="5138" spans="1:5" x14ac:dyDescent="0.25">
      <c r="A5138" t="s">
        <v>159</v>
      </c>
      <c r="B5138" t="s">
        <v>373</v>
      </c>
      <c r="C5138">
        <v>79.099999999999994</v>
      </c>
      <c r="D5138">
        <f t="shared" si="162"/>
        <v>64</v>
      </c>
      <c r="E5138" t="str">
        <f t="shared" si="163"/>
        <v>64. Peru</v>
      </c>
    </row>
    <row r="5139" spans="1:5" x14ac:dyDescent="0.25">
      <c r="A5139" t="s">
        <v>61</v>
      </c>
      <c r="B5139" t="s">
        <v>373</v>
      </c>
      <c r="C5139">
        <v>78.7</v>
      </c>
      <c r="D5139">
        <f t="shared" si="162"/>
        <v>65</v>
      </c>
      <c r="E5139" t="str">
        <f t="shared" si="163"/>
        <v>65. Djibouti</v>
      </c>
    </row>
    <row r="5140" spans="1:5" x14ac:dyDescent="0.25">
      <c r="A5140" t="s">
        <v>60</v>
      </c>
      <c r="B5140" t="s">
        <v>373</v>
      </c>
      <c r="C5140">
        <v>77.900000000000006</v>
      </c>
      <c r="D5140">
        <f t="shared" si="162"/>
        <v>66</v>
      </c>
      <c r="E5140" t="str">
        <f t="shared" si="163"/>
        <v>66. Germany</v>
      </c>
    </row>
    <row r="5141" spans="1:5" x14ac:dyDescent="0.25">
      <c r="A5141" t="s">
        <v>203</v>
      </c>
      <c r="B5141" t="s">
        <v>373</v>
      </c>
      <c r="C5141">
        <v>77.900000000000006</v>
      </c>
      <c r="D5141">
        <f t="shared" si="162"/>
        <v>67</v>
      </c>
      <c r="E5141" t="str">
        <f t="shared" si="163"/>
        <v>67. Turkiye</v>
      </c>
    </row>
    <row r="5142" spans="1:5" x14ac:dyDescent="0.25">
      <c r="A5142" t="s">
        <v>167</v>
      </c>
      <c r="B5142" t="s">
        <v>373</v>
      </c>
      <c r="C5142">
        <v>77.900000000000006</v>
      </c>
      <c r="D5142">
        <f t="shared" si="162"/>
        <v>68</v>
      </c>
      <c r="E5142" t="str">
        <f t="shared" si="163"/>
        <v>68. West Bank and Gaza</v>
      </c>
    </row>
    <row r="5143" spans="1:5" x14ac:dyDescent="0.25">
      <c r="A5143" t="s">
        <v>55</v>
      </c>
      <c r="B5143" t="s">
        <v>373</v>
      </c>
      <c r="C5143">
        <v>77.7</v>
      </c>
      <c r="D5143">
        <f t="shared" si="162"/>
        <v>69</v>
      </c>
      <c r="E5143" t="str">
        <f t="shared" si="163"/>
        <v>69. Cuba</v>
      </c>
    </row>
    <row r="5144" spans="1:5" x14ac:dyDescent="0.25">
      <c r="A5144" t="s">
        <v>99</v>
      </c>
      <c r="B5144" t="s">
        <v>373</v>
      </c>
      <c r="C5144">
        <v>77.7</v>
      </c>
      <c r="D5144">
        <f t="shared" si="162"/>
        <v>70</v>
      </c>
      <c r="E5144" t="str">
        <f t="shared" si="163"/>
        <v>70. Iran, Islamic Rep.</v>
      </c>
    </row>
    <row r="5145" spans="1:5" x14ac:dyDescent="0.25">
      <c r="A5145" t="s">
        <v>28</v>
      </c>
      <c r="B5145" t="s">
        <v>373</v>
      </c>
      <c r="C5145">
        <v>77</v>
      </c>
      <c r="D5145">
        <f t="shared" si="162"/>
        <v>71</v>
      </c>
      <c r="E5145" t="str">
        <f t="shared" si="163"/>
        <v>71. Bulgaria</v>
      </c>
    </row>
    <row r="5146" spans="1:5" x14ac:dyDescent="0.25">
      <c r="A5146" t="s">
        <v>184</v>
      </c>
      <c r="B5146" t="s">
        <v>373</v>
      </c>
      <c r="C5146">
        <v>77</v>
      </c>
      <c r="D5146">
        <f t="shared" si="162"/>
        <v>72</v>
      </c>
      <c r="E5146" t="str">
        <f t="shared" si="163"/>
        <v>72. Sao Tome and Principe</v>
      </c>
    </row>
    <row r="5147" spans="1:5" x14ac:dyDescent="0.25">
      <c r="A5147" t="s">
        <v>179</v>
      </c>
      <c r="B5147" t="s">
        <v>373</v>
      </c>
      <c r="C5147">
        <v>76</v>
      </c>
      <c r="D5147">
        <f t="shared" si="162"/>
        <v>73</v>
      </c>
      <c r="E5147" t="str">
        <f t="shared" si="163"/>
        <v>73. El Salvador</v>
      </c>
    </row>
    <row r="5148" spans="1:5" x14ac:dyDescent="0.25">
      <c r="A5148" t="s">
        <v>65</v>
      </c>
      <c r="B5148" t="s">
        <v>373</v>
      </c>
      <c r="C5148">
        <v>75.7</v>
      </c>
      <c r="D5148">
        <f t="shared" si="162"/>
        <v>74</v>
      </c>
      <c r="E5148" t="str">
        <f t="shared" si="163"/>
        <v>74. Algeria</v>
      </c>
    </row>
    <row r="5149" spans="1:5" x14ac:dyDescent="0.25">
      <c r="A5149" t="s">
        <v>171</v>
      </c>
      <c r="B5149" t="s">
        <v>373</v>
      </c>
      <c r="C5149">
        <v>75.5</v>
      </c>
      <c r="D5149">
        <f t="shared" si="162"/>
        <v>75</v>
      </c>
      <c r="E5149" t="str">
        <f t="shared" si="163"/>
        <v>75. Russian Federation</v>
      </c>
    </row>
    <row r="5150" spans="1:5" x14ac:dyDescent="0.25">
      <c r="A5150" t="s">
        <v>83</v>
      </c>
      <c r="B5150" t="s">
        <v>373</v>
      </c>
      <c r="C5150">
        <v>74.900000000000006</v>
      </c>
      <c r="D5150">
        <f t="shared" si="162"/>
        <v>76</v>
      </c>
      <c r="E5150" t="str">
        <f t="shared" si="163"/>
        <v>76. Equatorial Guinea</v>
      </c>
    </row>
    <row r="5151" spans="1:5" x14ac:dyDescent="0.25">
      <c r="A5151" t="s">
        <v>59</v>
      </c>
      <c r="B5151" t="s">
        <v>373</v>
      </c>
      <c r="C5151">
        <v>74.7</v>
      </c>
      <c r="D5151">
        <f t="shared" si="162"/>
        <v>77</v>
      </c>
      <c r="E5151" t="str">
        <f t="shared" si="163"/>
        <v>77. Czechia</v>
      </c>
    </row>
    <row r="5152" spans="1:5" x14ac:dyDescent="0.25">
      <c r="A5152" t="s">
        <v>43</v>
      </c>
      <c r="B5152" t="s">
        <v>373</v>
      </c>
      <c r="C5152">
        <v>74.3</v>
      </c>
      <c r="D5152">
        <f t="shared" si="162"/>
        <v>78</v>
      </c>
      <c r="E5152" t="str">
        <f t="shared" si="163"/>
        <v>78. Switzerland</v>
      </c>
    </row>
    <row r="5153" spans="1:5" x14ac:dyDescent="0.25">
      <c r="A5153" t="s">
        <v>40</v>
      </c>
      <c r="B5153" t="s">
        <v>373</v>
      </c>
      <c r="C5153">
        <v>73.5</v>
      </c>
      <c r="D5153">
        <f t="shared" si="162"/>
        <v>79</v>
      </c>
      <c r="E5153" t="str">
        <f t="shared" si="163"/>
        <v>79. Botswana</v>
      </c>
    </row>
    <row r="5154" spans="1:5" x14ac:dyDescent="0.25">
      <c r="A5154" t="s">
        <v>94</v>
      </c>
      <c r="B5154" t="s">
        <v>373</v>
      </c>
      <c r="C5154">
        <v>73.2</v>
      </c>
      <c r="D5154">
        <f t="shared" si="162"/>
        <v>80</v>
      </c>
      <c r="E5154" t="str">
        <f t="shared" si="163"/>
        <v>80. Hungary</v>
      </c>
    </row>
    <row r="5155" spans="1:5" x14ac:dyDescent="0.25">
      <c r="A5155" t="s">
        <v>147</v>
      </c>
      <c r="B5155" t="s">
        <v>373</v>
      </c>
      <c r="C5155">
        <v>73.099999999999994</v>
      </c>
      <c r="D5155">
        <f t="shared" si="162"/>
        <v>81</v>
      </c>
      <c r="E5155" t="str">
        <f t="shared" si="163"/>
        <v>81. New Caledonia</v>
      </c>
    </row>
    <row r="5156" spans="1:5" x14ac:dyDescent="0.25">
      <c r="A5156" t="s">
        <v>62</v>
      </c>
      <c r="B5156" t="s">
        <v>373</v>
      </c>
      <c r="C5156">
        <v>72.3</v>
      </c>
      <c r="D5156">
        <f t="shared" si="162"/>
        <v>82</v>
      </c>
      <c r="E5156" t="str">
        <f t="shared" si="163"/>
        <v>82. Dominica</v>
      </c>
    </row>
    <row r="5157" spans="1:5" x14ac:dyDescent="0.25">
      <c r="A5157" t="s">
        <v>103</v>
      </c>
      <c r="B5157" t="s">
        <v>373</v>
      </c>
      <c r="C5157">
        <v>72.3</v>
      </c>
      <c r="D5157">
        <f t="shared" si="162"/>
        <v>83</v>
      </c>
      <c r="E5157" t="str">
        <f t="shared" si="163"/>
        <v>83. Italy</v>
      </c>
    </row>
    <row r="5158" spans="1:5" x14ac:dyDescent="0.25">
      <c r="A5158" t="s">
        <v>100</v>
      </c>
      <c r="B5158" t="s">
        <v>373</v>
      </c>
      <c r="C5158">
        <v>71.900000000000006</v>
      </c>
      <c r="D5158">
        <f t="shared" si="162"/>
        <v>84</v>
      </c>
      <c r="E5158" t="str">
        <f t="shared" si="163"/>
        <v>84. Iraq</v>
      </c>
    </row>
    <row r="5159" spans="1:5" x14ac:dyDescent="0.25">
      <c r="A5159" t="s">
        <v>35</v>
      </c>
      <c r="B5159" t="s">
        <v>373</v>
      </c>
      <c r="C5159">
        <v>71.5</v>
      </c>
      <c r="D5159">
        <f t="shared" si="162"/>
        <v>85</v>
      </c>
      <c r="E5159" t="str">
        <f t="shared" si="163"/>
        <v>85. Bolivia</v>
      </c>
    </row>
    <row r="5160" spans="1:5" x14ac:dyDescent="0.25">
      <c r="A5160" t="s">
        <v>202</v>
      </c>
      <c r="B5160" t="s">
        <v>373</v>
      </c>
      <c r="C5160">
        <v>70.900000000000006</v>
      </c>
      <c r="D5160">
        <f t="shared" si="162"/>
        <v>86</v>
      </c>
      <c r="E5160" t="str">
        <f t="shared" si="163"/>
        <v>86. Tunisia</v>
      </c>
    </row>
    <row r="5161" spans="1:5" x14ac:dyDescent="0.25">
      <c r="A5161" t="s">
        <v>207</v>
      </c>
      <c r="B5161" t="s">
        <v>373</v>
      </c>
      <c r="C5161">
        <v>70.3</v>
      </c>
      <c r="D5161">
        <f t="shared" si="162"/>
        <v>87</v>
      </c>
      <c r="E5161" t="str">
        <f t="shared" si="163"/>
        <v>87. Ukraine</v>
      </c>
    </row>
    <row r="5162" spans="1:5" x14ac:dyDescent="0.25">
      <c r="A5162" t="s">
        <v>69</v>
      </c>
      <c r="B5162" t="s">
        <v>373</v>
      </c>
      <c r="C5162">
        <v>70</v>
      </c>
      <c r="D5162">
        <f t="shared" si="162"/>
        <v>88</v>
      </c>
      <c r="E5162" t="str">
        <f t="shared" si="163"/>
        <v>88. Estonia</v>
      </c>
    </row>
    <row r="5163" spans="1:5" x14ac:dyDescent="0.25">
      <c r="A5163" t="s">
        <v>158</v>
      </c>
      <c r="B5163" t="s">
        <v>373</v>
      </c>
      <c r="C5163">
        <v>69.900000000000006</v>
      </c>
      <c r="D5163">
        <f t="shared" si="162"/>
        <v>89</v>
      </c>
      <c r="E5163" t="str">
        <f t="shared" si="163"/>
        <v>89. Panama</v>
      </c>
    </row>
    <row r="5164" spans="1:5" x14ac:dyDescent="0.25">
      <c r="A5164" t="s">
        <v>50</v>
      </c>
      <c r="B5164" t="s">
        <v>373</v>
      </c>
      <c r="C5164">
        <v>69.599999999999994</v>
      </c>
      <c r="D5164">
        <f t="shared" si="162"/>
        <v>90</v>
      </c>
      <c r="E5164" t="str">
        <f t="shared" si="163"/>
        <v>90. Congo, Rep.</v>
      </c>
    </row>
    <row r="5165" spans="1:5" x14ac:dyDescent="0.25">
      <c r="A5165" t="s">
        <v>12</v>
      </c>
      <c r="B5165" t="s">
        <v>373</v>
      </c>
      <c r="C5165">
        <v>69.3</v>
      </c>
      <c r="D5165">
        <f t="shared" si="162"/>
        <v>91</v>
      </c>
      <c r="E5165" t="str">
        <f t="shared" si="163"/>
        <v>91. Angola</v>
      </c>
    </row>
    <row r="5166" spans="1:5" x14ac:dyDescent="0.25">
      <c r="A5166" t="s">
        <v>139</v>
      </c>
      <c r="B5166" t="s">
        <v>373</v>
      </c>
      <c r="C5166">
        <v>69.3</v>
      </c>
      <c r="D5166">
        <f t="shared" si="162"/>
        <v>92</v>
      </c>
      <c r="E5166" t="str">
        <f t="shared" si="163"/>
        <v>92. Mongolia</v>
      </c>
    </row>
    <row r="5167" spans="1:5" x14ac:dyDescent="0.25">
      <c r="A5167" t="s">
        <v>218</v>
      </c>
      <c r="B5167" t="s">
        <v>373</v>
      </c>
      <c r="C5167">
        <v>69.3</v>
      </c>
      <c r="D5167">
        <f t="shared" si="162"/>
        <v>93</v>
      </c>
      <c r="E5167" t="str">
        <f t="shared" si="163"/>
        <v>93. South Africa</v>
      </c>
    </row>
    <row r="5168" spans="1:5" x14ac:dyDescent="0.25">
      <c r="A5168" t="s">
        <v>123</v>
      </c>
      <c r="B5168" t="s">
        <v>373</v>
      </c>
      <c r="C5168">
        <v>68.900000000000006</v>
      </c>
      <c r="D5168">
        <f t="shared" si="162"/>
        <v>94</v>
      </c>
      <c r="E5168" t="str">
        <f t="shared" si="163"/>
        <v>94. Lithuania</v>
      </c>
    </row>
    <row r="5169" spans="1:5" x14ac:dyDescent="0.25">
      <c r="A5169" t="s">
        <v>125</v>
      </c>
      <c r="B5169" t="s">
        <v>373</v>
      </c>
      <c r="C5169">
        <v>68.8</v>
      </c>
      <c r="D5169">
        <f t="shared" si="162"/>
        <v>95</v>
      </c>
      <c r="E5169" t="str">
        <f t="shared" si="163"/>
        <v>95. Latvia</v>
      </c>
    </row>
    <row r="5170" spans="1:5" x14ac:dyDescent="0.25">
      <c r="A5170" t="s">
        <v>138</v>
      </c>
      <c r="B5170" t="s">
        <v>373</v>
      </c>
      <c r="C5170">
        <v>68.8</v>
      </c>
      <c r="D5170">
        <f t="shared" si="162"/>
        <v>96</v>
      </c>
      <c r="E5170" t="str">
        <f t="shared" si="163"/>
        <v>96. Montenegro</v>
      </c>
    </row>
    <row r="5171" spans="1:5" x14ac:dyDescent="0.25">
      <c r="A5171" t="s">
        <v>53</v>
      </c>
      <c r="B5171" t="s">
        <v>373</v>
      </c>
      <c r="C5171">
        <v>68.400000000000006</v>
      </c>
      <c r="D5171">
        <f t="shared" si="162"/>
        <v>97</v>
      </c>
      <c r="E5171" t="str">
        <f t="shared" si="163"/>
        <v>97. Cabo Verde</v>
      </c>
    </row>
    <row r="5172" spans="1:5" x14ac:dyDescent="0.25">
      <c r="A5172" t="s">
        <v>165</v>
      </c>
      <c r="B5172" t="s">
        <v>373</v>
      </c>
      <c r="C5172">
        <v>68.400000000000006</v>
      </c>
      <c r="D5172">
        <f t="shared" si="162"/>
        <v>98</v>
      </c>
      <c r="E5172" t="str">
        <f t="shared" si="163"/>
        <v>98. Portugal</v>
      </c>
    </row>
    <row r="5173" spans="1:5" x14ac:dyDescent="0.25">
      <c r="A5173" t="s">
        <v>58</v>
      </c>
      <c r="B5173" t="s">
        <v>373</v>
      </c>
      <c r="C5173">
        <v>67.099999999999994</v>
      </c>
      <c r="D5173">
        <f t="shared" si="162"/>
        <v>99</v>
      </c>
      <c r="E5173" t="str">
        <f t="shared" si="163"/>
        <v>99. Cyprus</v>
      </c>
    </row>
    <row r="5174" spans="1:5" x14ac:dyDescent="0.25">
      <c r="A5174" t="s">
        <v>204</v>
      </c>
      <c r="B5174" t="s">
        <v>373</v>
      </c>
      <c r="C5174">
        <v>66.900000000000006</v>
      </c>
      <c r="D5174">
        <f t="shared" si="162"/>
        <v>100</v>
      </c>
      <c r="E5174" t="str">
        <f t="shared" si="163"/>
        <v>100. Tuvalu</v>
      </c>
    </row>
    <row r="5175" spans="1:5" x14ac:dyDescent="0.25">
      <c r="A5175" t="s">
        <v>185</v>
      </c>
      <c r="B5175" t="s">
        <v>373</v>
      </c>
      <c r="C5175">
        <v>66.5</v>
      </c>
      <c r="D5175">
        <f t="shared" si="162"/>
        <v>101</v>
      </c>
      <c r="E5175" t="str">
        <f t="shared" si="163"/>
        <v>101. Suriname</v>
      </c>
    </row>
    <row r="5176" spans="1:5" x14ac:dyDescent="0.25">
      <c r="A5176" t="s">
        <v>127</v>
      </c>
      <c r="B5176" t="s">
        <v>373</v>
      </c>
      <c r="C5176">
        <v>65.599999999999994</v>
      </c>
      <c r="D5176">
        <f t="shared" si="162"/>
        <v>102</v>
      </c>
      <c r="E5176" t="str">
        <f t="shared" si="163"/>
        <v>102. Morocco</v>
      </c>
    </row>
    <row r="5177" spans="1:5" x14ac:dyDescent="0.25">
      <c r="A5177" t="s">
        <v>46</v>
      </c>
      <c r="B5177" t="s">
        <v>373</v>
      </c>
      <c r="C5177">
        <v>65.5</v>
      </c>
      <c r="D5177">
        <f t="shared" si="162"/>
        <v>103</v>
      </c>
      <c r="E5177" t="str">
        <f t="shared" si="163"/>
        <v>103. China</v>
      </c>
    </row>
    <row r="5178" spans="1:5" x14ac:dyDescent="0.25">
      <c r="A5178" t="s">
        <v>13</v>
      </c>
      <c r="B5178" t="s">
        <v>373</v>
      </c>
      <c r="C5178">
        <v>65.400000000000006</v>
      </c>
      <c r="D5178">
        <f t="shared" si="162"/>
        <v>104</v>
      </c>
      <c r="E5178" t="str">
        <f t="shared" si="163"/>
        <v>104. Albania</v>
      </c>
    </row>
    <row r="5179" spans="1:5" x14ac:dyDescent="0.25">
      <c r="A5179" t="s">
        <v>81</v>
      </c>
      <c r="B5179" t="s">
        <v>373</v>
      </c>
      <c r="C5179">
        <v>65.099999999999994</v>
      </c>
      <c r="D5179">
        <f t="shared" si="162"/>
        <v>105</v>
      </c>
      <c r="E5179" t="str">
        <f t="shared" si="163"/>
        <v>105. Gambia, The</v>
      </c>
    </row>
    <row r="5180" spans="1:5" x14ac:dyDescent="0.25">
      <c r="A5180" t="s">
        <v>66</v>
      </c>
      <c r="B5180" t="s">
        <v>373</v>
      </c>
      <c r="C5180">
        <v>65</v>
      </c>
      <c r="D5180">
        <f t="shared" si="162"/>
        <v>106</v>
      </c>
      <c r="E5180" t="str">
        <f t="shared" si="163"/>
        <v>106. Ecuador</v>
      </c>
    </row>
    <row r="5181" spans="1:5" x14ac:dyDescent="0.25">
      <c r="A5181" t="s">
        <v>98</v>
      </c>
      <c r="B5181" t="s">
        <v>373</v>
      </c>
      <c r="C5181">
        <v>64.8</v>
      </c>
      <c r="D5181">
        <f t="shared" si="162"/>
        <v>107</v>
      </c>
      <c r="E5181" t="str">
        <f t="shared" si="163"/>
        <v>107. Ireland</v>
      </c>
    </row>
    <row r="5182" spans="1:5" x14ac:dyDescent="0.25">
      <c r="A5182" t="s">
        <v>17</v>
      </c>
      <c r="B5182" t="s">
        <v>373</v>
      </c>
      <c r="C5182">
        <v>63.9</v>
      </c>
      <c r="D5182">
        <f t="shared" si="162"/>
        <v>108</v>
      </c>
      <c r="E5182" t="str">
        <f t="shared" si="163"/>
        <v>108. Armenia</v>
      </c>
    </row>
    <row r="5183" spans="1:5" x14ac:dyDescent="0.25">
      <c r="A5183" t="s">
        <v>166</v>
      </c>
      <c r="B5183" t="s">
        <v>373</v>
      </c>
      <c r="C5183">
        <v>63.5</v>
      </c>
      <c r="D5183">
        <f t="shared" si="162"/>
        <v>109</v>
      </c>
      <c r="E5183" t="str">
        <f t="shared" si="163"/>
        <v>109. Paraguay</v>
      </c>
    </row>
    <row r="5184" spans="1:5" x14ac:dyDescent="0.25">
      <c r="A5184" t="s">
        <v>168</v>
      </c>
      <c r="B5184" t="s">
        <v>373</v>
      </c>
      <c r="C5184">
        <v>62.4</v>
      </c>
      <c r="D5184">
        <f t="shared" si="162"/>
        <v>110</v>
      </c>
      <c r="E5184" t="str">
        <f t="shared" si="163"/>
        <v>110. French Polynesia</v>
      </c>
    </row>
    <row r="5185" spans="1:5" x14ac:dyDescent="0.25">
      <c r="A5185" t="s">
        <v>78</v>
      </c>
      <c r="B5185" t="s">
        <v>373</v>
      </c>
      <c r="C5185">
        <v>61.2</v>
      </c>
      <c r="D5185">
        <f t="shared" si="162"/>
        <v>111</v>
      </c>
      <c r="E5185" t="str">
        <f t="shared" si="163"/>
        <v>111. Georgia</v>
      </c>
    </row>
    <row r="5186" spans="1:5" x14ac:dyDescent="0.25">
      <c r="A5186" t="s">
        <v>91</v>
      </c>
      <c r="B5186" t="s">
        <v>373</v>
      </c>
      <c r="C5186">
        <v>60.8</v>
      </c>
      <c r="D5186">
        <f t="shared" si="162"/>
        <v>112</v>
      </c>
      <c r="E5186" t="str">
        <f t="shared" si="163"/>
        <v>112. Honduras</v>
      </c>
    </row>
    <row r="5187" spans="1:5" x14ac:dyDescent="0.25">
      <c r="A5187" t="s">
        <v>93</v>
      </c>
      <c r="B5187" t="s">
        <v>373</v>
      </c>
      <c r="C5187">
        <v>60.5</v>
      </c>
      <c r="D5187">
        <f t="shared" si="162"/>
        <v>113</v>
      </c>
      <c r="E5187" t="str">
        <f t="shared" si="163"/>
        <v>113. Haiti</v>
      </c>
    </row>
    <row r="5188" spans="1:5" x14ac:dyDescent="0.25">
      <c r="A5188" t="s">
        <v>163</v>
      </c>
      <c r="B5188" t="s">
        <v>373</v>
      </c>
      <c r="C5188">
        <v>60.3</v>
      </c>
      <c r="D5188">
        <f t="shared" ref="D5188:D5251" si="164">IF(ROW() = 2, 1, IF(B5188 = B5187, D5187 + 1, 1))</f>
        <v>114</v>
      </c>
      <c r="E5188" t="str">
        <f t="shared" ref="E5188:E5251" si="165">_xlfn.CONCAT(D5188, ". ", A5188)</f>
        <v>114. Poland</v>
      </c>
    </row>
    <row r="5189" spans="1:5" x14ac:dyDescent="0.25">
      <c r="A5189" t="s">
        <v>150</v>
      </c>
      <c r="B5189" t="s">
        <v>373</v>
      </c>
      <c r="C5189">
        <v>60.2</v>
      </c>
      <c r="D5189">
        <f t="shared" si="164"/>
        <v>115</v>
      </c>
      <c r="E5189" t="str">
        <f t="shared" si="165"/>
        <v>115. Nicaragua</v>
      </c>
    </row>
    <row r="5190" spans="1:5" x14ac:dyDescent="0.25">
      <c r="A5190" t="s">
        <v>48</v>
      </c>
      <c r="B5190" t="s">
        <v>373</v>
      </c>
      <c r="C5190">
        <v>59.9</v>
      </c>
      <c r="D5190">
        <f t="shared" si="164"/>
        <v>116</v>
      </c>
      <c r="E5190" t="str">
        <f t="shared" si="165"/>
        <v>116. Cameroon</v>
      </c>
    </row>
    <row r="5191" spans="1:5" x14ac:dyDescent="0.25">
      <c r="A5191" t="s">
        <v>79</v>
      </c>
      <c r="B5191" t="s">
        <v>373</v>
      </c>
      <c r="C5191">
        <v>59.9</v>
      </c>
      <c r="D5191">
        <f t="shared" si="164"/>
        <v>117</v>
      </c>
      <c r="E5191" t="str">
        <f t="shared" si="165"/>
        <v>117. Ghana</v>
      </c>
    </row>
    <row r="5192" spans="1:5" x14ac:dyDescent="0.25">
      <c r="A5192" t="s">
        <v>134</v>
      </c>
      <c r="B5192" t="s">
        <v>373</v>
      </c>
      <c r="C5192">
        <v>59.9</v>
      </c>
      <c r="D5192">
        <f t="shared" si="164"/>
        <v>118</v>
      </c>
      <c r="E5192" t="str">
        <f t="shared" si="165"/>
        <v>118. North Macedonia</v>
      </c>
    </row>
    <row r="5193" spans="1:5" x14ac:dyDescent="0.25">
      <c r="A5193" t="s">
        <v>21</v>
      </c>
      <c r="B5193" t="s">
        <v>373</v>
      </c>
      <c r="C5193">
        <v>59.8</v>
      </c>
      <c r="D5193">
        <f t="shared" si="164"/>
        <v>119</v>
      </c>
      <c r="E5193" t="str">
        <f t="shared" si="165"/>
        <v>119. Austria</v>
      </c>
    </row>
    <row r="5194" spans="1:5" x14ac:dyDescent="0.25">
      <c r="A5194" t="s">
        <v>72</v>
      </c>
      <c r="B5194" t="s">
        <v>373</v>
      </c>
      <c r="C5194">
        <v>59.2</v>
      </c>
      <c r="D5194">
        <f t="shared" si="164"/>
        <v>120</v>
      </c>
      <c r="E5194" t="str">
        <f t="shared" si="165"/>
        <v>120. Fiji</v>
      </c>
    </row>
    <row r="5195" spans="1:5" x14ac:dyDescent="0.25">
      <c r="A5195" t="s">
        <v>95</v>
      </c>
      <c r="B5195" t="s">
        <v>373</v>
      </c>
      <c r="C5195">
        <v>59.2</v>
      </c>
      <c r="D5195">
        <f t="shared" si="164"/>
        <v>121</v>
      </c>
      <c r="E5195" t="str">
        <f t="shared" si="165"/>
        <v>121. Indonesia</v>
      </c>
    </row>
    <row r="5196" spans="1:5" x14ac:dyDescent="0.25">
      <c r="A5196" t="s">
        <v>191</v>
      </c>
      <c r="B5196" t="s">
        <v>373</v>
      </c>
      <c r="C5196">
        <v>59.2</v>
      </c>
      <c r="D5196">
        <f t="shared" si="164"/>
        <v>122</v>
      </c>
      <c r="E5196" t="str">
        <f t="shared" si="165"/>
        <v>122. Seychelles</v>
      </c>
    </row>
    <row r="5197" spans="1:5" x14ac:dyDescent="0.25">
      <c r="A5197" t="s">
        <v>92</v>
      </c>
      <c r="B5197" t="s">
        <v>373</v>
      </c>
      <c r="C5197">
        <v>58.9</v>
      </c>
      <c r="D5197">
        <f t="shared" si="164"/>
        <v>123</v>
      </c>
      <c r="E5197" t="str">
        <f t="shared" si="165"/>
        <v>123. Croatia</v>
      </c>
    </row>
    <row r="5198" spans="1:5" x14ac:dyDescent="0.25">
      <c r="A5198" t="s">
        <v>142</v>
      </c>
      <c r="B5198" t="s">
        <v>373</v>
      </c>
      <c r="C5198">
        <v>58.5</v>
      </c>
      <c r="D5198">
        <f t="shared" si="164"/>
        <v>124</v>
      </c>
      <c r="E5198" t="str">
        <f t="shared" si="165"/>
        <v>124. Mauritania</v>
      </c>
    </row>
    <row r="5199" spans="1:5" x14ac:dyDescent="0.25">
      <c r="A5199" t="s">
        <v>107</v>
      </c>
      <c r="B5199" t="s">
        <v>373</v>
      </c>
      <c r="C5199">
        <v>58.4</v>
      </c>
      <c r="D5199">
        <f t="shared" si="164"/>
        <v>125</v>
      </c>
      <c r="E5199" t="str">
        <f t="shared" si="165"/>
        <v>125. Kazakhstan</v>
      </c>
    </row>
    <row r="5200" spans="1:5" x14ac:dyDescent="0.25">
      <c r="A5200" t="s">
        <v>111</v>
      </c>
      <c r="B5200" t="s">
        <v>373</v>
      </c>
      <c r="C5200">
        <v>58.4</v>
      </c>
      <c r="D5200">
        <f t="shared" si="164"/>
        <v>126</v>
      </c>
      <c r="E5200" t="str">
        <f t="shared" si="165"/>
        <v>126. Kiribati</v>
      </c>
    </row>
    <row r="5201" spans="1:5" x14ac:dyDescent="0.25">
      <c r="A5201" t="s">
        <v>22</v>
      </c>
      <c r="B5201" t="s">
        <v>373</v>
      </c>
      <c r="C5201">
        <v>58</v>
      </c>
      <c r="D5201">
        <f t="shared" si="164"/>
        <v>127</v>
      </c>
      <c r="E5201" t="str">
        <f t="shared" si="165"/>
        <v>127. Azerbaijan</v>
      </c>
    </row>
    <row r="5202" spans="1:5" x14ac:dyDescent="0.25">
      <c r="A5202" t="s">
        <v>192</v>
      </c>
      <c r="B5202" t="s">
        <v>373</v>
      </c>
      <c r="C5202">
        <v>58</v>
      </c>
      <c r="D5202">
        <f t="shared" si="164"/>
        <v>128</v>
      </c>
      <c r="E5202" t="str">
        <f t="shared" si="165"/>
        <v>128. Syrian Arab Republic</v>
      </c>
    </row>
    <row r="5203" spans="1:5" x14ac:dyDescent="0.25">
      <c r="A5203" t="s">
        <v>104</v>
      </c>
      <c r="B5203" t="s">
        <v>373</v>
      </c>
      <c r="C5203">
        <v>57.8</v>
      </c>
      <c r="D5203">
        <f t="shared" si="164"/>
        <v>129</v>
      </c>
      <c r="E5203" t="str">
        <f t="shared" si="165"/>
        <v>129. Jamaica</v>
      </c>
    </row>
    <row r="5204" spans="1:5" x14ac:dyDescent="0.25">
      <c r="A5204" t="s">
        <v>182</v>
      </c>
      <c r="B5204" t="s">
        <v>373</v>
      </c>
      <c r="C5204">
        <v>57.4</v>
      </c>
      <c r="D5204">
        <f t="shared" si="164"/>
        <v>130</v>
      </c>
      <c r="E5204" t="str">
        <f t="shared" si="165"/>
        <v>130. Serbia</v>
      </c>
    </row>
    <row r="5205" spans="1:5" x14ac:dyDescent="0.25">
      <c r="A5205" t="s">
        <v>187</v>
      </c>
      <c r="B5205" t="s">
        <v>373</v>
      </c>
      <c r="C5205">
        <v>56.4</v>
      </c>
      <c r="D5205">
        <f t="shared" si="164"/>
        <v>131</v>
      </c>
      <c r="E5205" t="str">
        <f t="shared" si="165"/>
        <v>131. Slovenia</v>
      </c>
    </row>
    <row r="5206" spans="1:5" x14ac:dyDescent="0.25">
      <c r="A5206" t="s">
        <v>146</v>
      </c>
      <c r="B5206" t="s">
        <v>373</v>
      </c>
      <c r="C5206">
        <v>55.8</v>
      </c>
      <c r="D5206">
        <f t="shared" si="164"/>
        <v>132</v>
      </c>
      <c r="E5206" t="str">
        <f t="shared" si="165"/>
        <v>132. Namibia</v>
      </c>
    </row>
    <row r="5207" spans="1:5" x14ac:dyDescent="0.25">
      <c r="A5207" t="s">
        <v>149</v>
      </c>
      <c r="B5207" t="s">
        <v>373</v>
      </c>
      <c r="C5207">
        <v>55</v>
      </c>
      <c r="D5207">
        <f t="shared" si="164"/>
        <v>133</v>
      </c>
      <c r="E5207" t="str">
        <f t="shared" si="165"/>
        <v>133. Nigeria</v>
      </c>
    </row>
    <row r="5208" spans="1:5" x14ac:dyDescent="0.25">
      <c r="A5208" t="s">
        <v>170</v>
      </c>
      <c r="B5208" t="s">
        <v>373</v>
      </c>
      <c r="C5208">
        <v>54.9</v>
      </c>
      <c r="D5208">
        <f t="shared" si="164"/>
        <v>134</v>
      </c>
      <c r="E5208" t="str">
        <f t="shared" si="165"/>
        <v>134. Romania</v>
      </c>
    </row>
    <row r="5209" spans="1:5" x14ac:dyDescent="0.25">
      <c r="A5209" t="s">
        <v>211</v>
      </c>
      <c r="B5209" t="s">
        <v>373</v>
      </c>
      <c r="C5209">
        <v>54.7</v>
      </c>
      <c r="D5209">
        <f t="shared" si="164"/>
        <v>135</v>
      </c>
      <c r="E5209" t="str">
        <f t="shared" si="165"/>
        <v>135. St. Vincent and the Grenadines</v>
      </c>
    </row>
    <row r="5210" spans="1:5" x14ac:dyDescent="0.25">
      <c r="A5210" t="s">
        <v>198</v>
      </c>
      <c r="B5210" t="s">
        <v>373</v>
      </c>
      <c r="C5210">
        <v>54.5</v>
      </c>
      <c r="D5210">
        <f t="shared" si="164"/>
        <v>136</v>
      </c>
      <c r="E5210" t="str">
        <f t="shared" si="165"/>
        <v>136. Turkmenistan</v>
      </c>
    </row>
    <row r="5211" spans="1:5" x14ac:dyDescent="0.25">
      <c r="A5211" t="s">
        <v>196</v>
      </c>
      <c r="B5211" t="s">
        <v>373</v>
      </c>
      <c r="C5211">
        <v>54.3</v>
      </c>
      <c r="D5211">
        <f t="shared" si="164"/>
        <v>137</v>
      </c>
      <c r="E5211" t="str">
        <f t="shared" si="165"/>
        <v>137. Thailand</v>
      </c>
    </row>
    <row r="5212" spans="1:5" x14ac:dyDescent="0.25">
      <c r="A5212" t="s">
        <v>186</v>
      </c>
      <c r="B5212" t="s">
        <v>373</v>
      </c>
      <c r="C5212">
        <v>54.2</v>
      </c>
      <c r="D5212">
        <f t="shared" si="164"/>
        <v>138</v>
      </c>
      <c r="E5212" t="str">
        <f t="shared" si="165"/>
        <v>138. Slovak Republic</v>
      </c>
    </row>
    <row r="5213" spans="1:5" x14ac:dyDescent="0.25">
      <c r="A5213" t="s">
        <v>117</v>
      </c>
      <c r="B5213" t="s">
        <v>373</v>
      </c>
      <c r="C5213">
        <v>54.1</v>
      </c>
      <c r="D5213">
        <f t="shared" si="164"/>
        <v>139</v>
      </c>
      <c r="E5213" t="str">
        <f t="shared" si="165"/>
        <v>139. Liberia</v>
      </c>
    </row>
    <row r="5214" spans="1:5" x14ac:dyDescent="0.25">
      <c r="A5214" t="s">
        <v>96</v>
      </c>
      <c r="B5214" t="s">
        <v>373</v>
      </c>
      <c r="C5214">
        <v>53.7</v>
      </c>
      <c r="D5214">
        <f t="shared" si="164"/>
        <v>140</v>
      </c>
      <c r="E5214" t="str">
        <f t="shared" si="165"/>
        <v>140. Isle of Man</v>
      </c>
    </row>
    <row r="5215" spans="1:5" x14ac:dyDescent="0.25">
      <c r="A5215" t="s">
        <v>47</v>
      </c>
      <c r="B5215" t="s">
        <v>373</v>
      </c>
      <c r="C5215">
        <v>53.6</v>
      </c>
      <c r="D5215">
        <f t="shared" si="164"/>
        <v>141</v>
      </c>
      <c r="E5215" t="str">
        <f t="shared" si="165"/>
        <v>141. Cote d'Ivoire</v>
      </c>
    </row>
    <row r="5216" spans="1:5" x14ac:dyDescent="0.25">
      <c r="A5216" t="s">
        <v>201</v>
      </c>
      <c r="B5216" t="s">
        <v>373</v>
      </c>
      <c r="C5216">
        <v>53.6</v>
      </c>
      <c r="D5216">
        <f t="shared" si="164"/>
        <v>142</v>
      </c>
      <c r="E5216" t="str">
        <f t="shared" si="165"/>
        <v>142. Trinidad and Tobago</v>
      </c>
    </row>
    <row r="5217" spans="1:5" x14ac:dyDescent="0.25">
      <c r="A5217" t="s">
        <v>87</v>
      </c>
      <c r="B5217" t="s">
        <v>373</v>
      </c>
      <c r="C5217">
        <v>53.5</v>
      </c>
      <c r="D5217">
        <f t="shared" si="164"/>
        <v>143</v>
      </c>
      <c r="E5217" t="str">
        <f t="shared" si="165"/>
        <v>143. Guatemala</v>
      </c>
    </row>
    <row r="5218" spans="1:5" x14ac:dyDescent="0.25">
      <c r="A5218" t="s">
        <v>25</v>
      </c>
      <c r="B5218" t="s">
        <v>373</v>
      </c>
      <c r="C5218">
        <v>50.7</v>
      </c>
      <c r="D5218">
        <f t="shared" si="164"/>
        <v>144</v>
      </c>
      <c r="E5218" t="str">
        <f t="shared" si="165"/>
        <v>144. Benin</v>
      </c>
    </row>
    <row r="5219" spans="1:5" x14ac:dyDescent="0.25">
      <c r="A5219" t="s">
        <v>31</v>
      </c>
      <c r="B5219" t="s">
        <v>373</v>
      </c>
      <c r="C5219">
        <v>50.7</v>
      </c>
      <c r="D5219">
        <f t="shared" si="164"/>
        <v>145</v>
      </c>
      <c r="E5219" t="str">
        <f t="shared" si="165"/>
        <v>145. Bosnia and Herzegovina</v>
      </c>
    </row>
    <row r="5220" spans="1:5" x14ac:dyDescent="0.25">
      <c r="A5220" t="s">
        <v>210</v>
      </c>
      <c r="B5220" t="s">
        <v>373</v>
      </c>
      <c r="C5220">
        <v>50.6</v>
      </c>
      <c r="D5220">
        <f t="shared" si="164"/>
        <v>146</v>
      </c>
      <c r="E5220" t="str">
        <f t="shared" si="165"/>
        <v>146. Uzbekistan</v>
      </c>
    </row>
    <row r="5221" spans="1:5" x14ac:dyDescent="0.25">
      <c r="A5221" t="s">
        <v>175</v>
      </c>
      <c r="B5221" t="s">
        <v>373</v>
      </c>
      <c r="C5221">
        <v>50.1</v>
      </c>
      <c r="D5221">
        <f t="shared" si="164"/>
        <v>147</v>
      </c>
      <c r="E5221" t="str">
        <f t="shared" si="165"/>
        <v>147. Senegal</v>
      </c>
    </row>
    <row r="5222" spans="1:5" x14ac:dyDescent="0.25">
      <c r="A5222" t="s">
        <v>160</v>
      </c>
      <c r="B5222" t="s">
        <v>373</v>
      </c>
      <c r="C5222">
        <v>48.6</v>
      </c>
      <c r="D5222">
        <f t="shared" si="164"/>
        <v>148</v>
      </c>
      <c r="E5222" t="str">
        <f t="shared" si="165"/>
        <v>148. Philippines</v>
      </c>
    </row>
    <row r="5223" spans="1:5" x14ac:dyDescent="0.25">
      <c r="A5223" t="s">
        <v>222</v>
      </c>
      <c r="B5223" t="s">
        <v>373</v>
      </c>
      <c r="C5223">
        <v>48.5</v>
      </c>
      <c r="D5223">
        <f t="shared" si="164"/>
        <v>149</v>
      </c>
      <c r="E5223" t="str">
        <f t="shared" si="165"/>
        <v>149. Somalia, Fed. Rep.</v>
      </c>
    </row>
    <row r="5224" spans="1:5" x14ac:dyDescent="0.25">
      <c r="A5224" t="s">
        <v>49</v>
      </c>
      <c r="B5224" t="s">
        <v>373</v>
      </c>
      <c r="C5224">
        <v>48.1</v>
      </c>
      <c r="D5224">
        <f t="shared" si="164"/>
        <v>150</v>
      </c>
      <c r="E5224" t="str">
        <f t="shared" si="165"/>
        <v>150. Congo, Dem. Rep.</v>
      </c>
    </row>
    <row r="5225" spans="1:5" x14ac:dyDescent="0.25">
      <c r="A5225" t="s">
        <v>135</v>
      </c>
      <c r="B5225" t="s">
        <v>373</v>
      </c>
      <c r="C5225">
        <v>46.9</v>
      </c>
      <c r="D5225">
        <f t="shared" si="164"/>
        <v>151</v>
      </c>
      <c r="E5225" t="str">
        <f t="shared" si="165"/>
        <v>151. Mali</v>
      </c>
    </row>
    <row r="5226" spans="1:5" x14ac:dyDescent="0.25">
      <c r="A5226" t="s">
        <v>219</v>
      </c>
      <c r="B5226" t="s">
        <v>373</v>
      </c>
      <c r="C5226">
        <v>46.9</v>
      </c>
      <c r="D5226">
        <f t="shared" si="164"/>
        <v>152</v>
      </c>
      <c r="E5226" t="str">
        <f t="shared" si="165"/>
        <v>152. Zambia</v>
      </c>
    </row>
    <row r="5227" spans="1:5" x14ac:dyDescent="0.25">
      <c r="A5227" t="s">
        <v>33</v>
      </c>
      <c r="B5227" t="s">
        <v>373</v>
      </c>
      <c r="C5227">
        <v>46.8</v>
      </c>
      <c r="D5227">
        <f t="shared" si="164"/>
        <v>153</v>
      </c>
      <c r="E5227" t="str">
        <f t="shared" si="165"/>
        <v>153. Belize</v>
      </c>
    </row>
    <row r="5228" spans="1:5" x14ac:dyDescent="0.25">
      <c r="A5228" t="s">
        <v>82</v>
      </c>
      <c r="B5228" t="s">
        <v>373</v>
      </c>
      <c r="C5228">
        <v>45.9</v>
      </c>
      <c r="D5228">
        <f t="shared" si="164"/>
        <v>154</v>
      </c>
      <c r="E5228" t="str">
        <f t="shared" si="165"/>
        <v>154. Guinea-Bissau</v>
      </c>
    </row>
    <row r="5229" spans="1:5" x14ac:dyDescent="0.25">
      <c r="A5229" t="s">
        <v>195</v>
      </c>
      <c r="B5229" t="s">
        <v>373</v>
      </c>
      <c r="C5229">
        <v>45.1</v>
      </c>
      <c r="D5229">
        <f t="shared" si="164"/>
        <v>155</v>
      </c>
      <c r="E5229" t="str">
        <f t="shared" si="165"/>
        <v>155. Togo</v>
      </c>
    </row>
    <row r="5230" spans="1:5" x14ac:dyDescent="0.25">
      <c r="A5230" t="s">
        <v>39</v>
      </c>
      <c r="B5230" t="s">
        <v>373</v>
      </c>
      <c r="C5230">
        <v>45</v>
      </c>
      <c r="D5230">
        <f t="shared" si="164"/>
        <v>156</v>
      </c>
      <c r="E5230" t="str">
        <f t="shared" si="165"/>
        <v>156. Bhutan</v>
      </c>
    </row>
    <row r="5231" spans="1:5" x14ac:dyDescent="0.25">
      <c r="A5231" t="s">
        <v>178</v>
      </c>
      <c r="B5231" t="s">
        <v>373</v>
      </c>
      <c r="C5231">
        <v>44.8</v>
      </c>
      <c r="D5231">
        <f t="shared" si="164"/>
        <v>157</v>
      </c>
      <c r="E5231" t="str">
        <f t="shared" si="165"/>
        <v>157. Sierra Leone</v>
      </c>
    </row>
    <row r="5232" spans="1:5" x14ac:dyDescent="0.25">
      <c r="A5232" t="s">
        <v>10</v>
      </c>
      <c r="B5232" t="s">
        <v>373</v>
      </c>
      <c r="C5232">
        <v>44.5</v>
      </c>
      <c r="D5232">
        <f t="shared" si="164"/>
        <v>158</v>
      </c>
      <c r="E5232" t="str">
        <f t="shared" si="165"/>
        <v>158. Aruba</v>
      </c>
    </row>
    <row r="5233" spans="1:5" x14ac:dyDescent="0.25">
      <c r="A5233" t="s">
        <v>41</v>
      </c>
      <c r="B5233" t="s">
        <v>373</v>
      </c>
      <c r="C5233">
        <v>44.1</v>
      </c>
      <c r="D5233">
        <f t="shared" si="164"/>
        <v>159</v>
      </c>
      <c r="E5233" t="str">
        <f t="shared" si="165"/>
        <v>159. Central African Republic</v>
      </c>
    </row>
    <row r="5234" spans="1:5" x14ac:dyDescent="0.25">
      <c r="A5234" t="s">
        <v>224</v>
      </c>
      <c r="B5234" t="s">
        <v>373</v>
      </c>
      <c r="C5234">
        <v>43.9</v>
      </c>
      <c r="D5234">
        <f t="shared" si="164"/>
        <v>160</v>
      </c>
      <c r="E5234" t="str">
        <f t="shared" si="165"/>
        <v>160. Eritrea</v>
      </c>
    </row>
    <row r="5235" spans="1:5" x14ac:dyDescent="0.25">
      <c r="A5235" t="s">
        <v>129</v>
      </c>
      <c r="B5235" t="s">
        <v>373</v>
      </c>
      <c r="C5235">
        <v>43.6</v>
      </c>
      <c r="D5235">
        <f t="shared" si="164"/>
        <v>161</v>
      </c>
      <c r="E5235" t="str">
        <f t="shared" si="165"/>
        <v>161. Moldova</v>
      </c>
    </row>
    <row r="5236" spans="1:5" x14ac:dyDescent="0.25">
      <c r="A5236" t="s">
        <v>67</v>
      </c>
      <c r="B5236" t="s">
        <v>373</v>
      </c>
      <c r="C5236">
        <v>43.3</v>
      </c>
      <c r="D5236">
        <f t="shared" si="164"/>
        <v>162</v>
      </c>
      <c r="E5236" t="str">
        <f t="shared" si="165"/>
        <v>162. Egypt, Arab Rep.</v>
      </c>
    </row>
    <row r="5237" spans="1:5" x14ac:dyDescent="0.25">
      <c r="A5237" t="s">
        <v>74</v>
      </c>
      <c r="B5237" t="s">
        <v>373</v>
      </c>
      <c r="C5237">
        <v>43.2</v>
      </c>
      <c r="D5237">
        <f t="shared" si="164"/>
        <v>163</v>
      </c>
      <c r="E5237" t="str">
        <f t="shared" si="165"/>
        <v>163. Faroe Islands</v>
      </c>
    </row>
    <row r="5238" spans="1:5" x14ac:dyDescent="0.25">
      <c r="A5238" t="s">
        <v>131</v>
      </c>
      <c r="B5238" t="s">
        <v>373</v>
      </c>
      <c r="C5238">
        <v>42.4</v>
      </c>
      <c r="D5238">
        <f t="shared" si="164"/>
        <v>164</v>
      </c>
      <c r="E5238" t="str">
        <f t="shared" si="165"/>
        <v>164. Maldives</v>
      </c>
    </row>
    <row r="5239" spans="1:5" x14ac:dyDescent="0.25">
      <c r="A5239" t="s">
        <v>27</v>
      </c>
      <c r="B5239" t="s">
        <v>373</v>
      </c>
      <c r="C5239">
        <v>41.2</v>
      </c>
      <c r="D5239">
        <f t="shared" si="164"/>
        <v>165</v>
      </c>
      <c r="E5239" t="str">
        <f t="shared" si="165"/>
        <v>165. Bangladesh</v>
      </c>
    </row>
    <row r="5240" spans="1:5" x14ac:dyDescent="0.25">
      <c r="A5240" t="s">
        <v>130</v>
      </c>
      <c r="B5240" t="s">
        <v>373</v>
      </c>
      <c r="C5240">
        <v>41.2</v>
      </c>
      <c r="D5240">
        <f t="shared" si="164"/>
        <v>166</v>
      </c>
      <c r="E5240" t="str">
        <f t="shared" si="165"/>
        <v>166. Madagascar</v>
      </c>
    </row>
    <row r="5241" spans="1:5" x14ac:dyDescent="0.25">
      <c r="A5241" t="s">
        <v>143</v>
      </c>
      <c r="B5241" t="s">
        <v>373</v>
      </c>
      <c r="C5241">
        <v>40.9</v>
      </c>
      <c r="D5241">
        <f t="shared" si="164"/>
        <v>167</v>
      </c>
      <c r="E5241" t="str">
        <f t="shared" si="165"/>
        <v>167. Mauritius</v>
      </c>
    </row>
    <row r="5242" spans="1:5" x14ac:dyDescent="0.25">
      <c r="A5242" t="s">
        <v>217</v>
      </c>
      <c r="B5242" t="s">
        <v>373</v>
      </c>
      <c r="C5242">
        <v>40.5</v>
      </c>
      <c r="D5242">
        <f t="shared" si="164"/>
        <v>168</v>
      </c>
      <c r="E5242" t="str">
        <f t="shared" si="165"/>
        <v>168. Yemen, Rep.</v>
      </c>
    </row>
    <row r="5243" spans="1:5" x14ac:dyDescent="0.25">
      <c r="A5243" t="s">
        <v>213</v>
      </c>
      <c r="B5243" t="s">
        <v>373</v>
      </c>
      <c r="C5243">
        <v>40.200000000000003</v>
      </c>
      <c r="D5243">
        <f t="shared" si="164"/>
        <v>169</v>
      </c>
      <c r="E5243" t="str">
        <f t="shared" si="165"/>
        <v>169. Viet Nam</v>
      </c>
    </row>
    <row r="5244" spans="1:5" x14ac:dyDescent="0.25">
      <c r="A5244" t="s">
        <v>141</v>
      </c>
      <c r="B5244" t="s">
        <v>373</v>
      </c>
      <c r="C5244">
        <v>39.299999999999997</v>
      </c>
      <c r="D5244">
        <f t="shared" si="164"/>
        <v>170</v>
      </c>
      <c r="E5244" t="str">
        <f t="shared" si="165"/>
        <v>170. Mozambique</v>
      </c>
    </row>
    <row r="5245" spans="1:5" x14ac:dyDescent="0.25">
      <c r="A5245" t="s">
        <v>115</v>
      </c>
      <c r="B5245" t="s">
        <v>373</v>
      </c>
      <c r="C5245">
        <v>38.9</v>
      </c>
      <c r="D5245">
        <f t="shared" si="164"/>
        <v>171</v>
      </c>
      <c r="E5245" t="str">
        <f t="shared" si="165"/>
        <v>171. Lao PDR</v>
      </c>
    </row>
    <row r="5246" spans="1:5" x14ac:dyDescent="0.25">
      <c r="A5246" t="s">
        <v>80</v>
      </c>
      <c r="B5246" t="s">
        <v>373</v>
      </c>
      <c r="C5246">
        <v>38.5</v>
      </c>
      <c r="D5246">
        <f t="shared" si="164"/>
        <v>172</v>
      </c>
      <c r="E5246" t="str">
        <f t="shared" si="165"/>
        <v>172. Guinea</v>
      </c>
    </row>
    <row r="5247" spans="1:5" x14ac:dyDescent="0.25">
      <c r="A5247" t="s">
        <v>157</v>
      </c>
      <c r="B5247" t="s">
        <v>373</v>
      </c>
      <c r="C5247">
        <v>38.4</v>
      </c>
      <c r="D5247">
        <f t="shared" si="164"/>
        <v>173</v>
      </c>
      <c r="E5247" t="str">
        <f t="shared" si="165"/>
        <v>173. Pakistan</v>
      </c>
    </row>
    <row r="5248" spans="1:5" x14ac:dyDescent="0.25">
      <c r="A5248" t="s">
        <v>109</v>
      </c>
      <c r="B5248" t="s">
        <v>373</v>
      </c>
      <c r="C5248">
        <v>38.200000000000003</v>
      </c>
      <c r="D5248">
        <f t="shared" si="164"/>
        <v>174</v>
      </c>
      <c r="E5248" t="str">
        <f t="shared" si="165"/>
        <v>174. Kyrgyz Republic</v>
      </c>
    </row>
    <row r="5249" spans="1:5" x14ac:dyDescent="0.25">
      <c r="A5249" t="s">
        <v>205</v>
      </c>
      <c r="B5249" t="s">
        <v>373</v>
      </c>
      <c r="C5249">
        <v>38.1</v>
      </c>
      <c r="D5249">
        <f t="shared" si="164"/>
        <v>175</v>
      </c>
      <c r="E5249" t="str">
        <f t="shared" si="165"/>
        <v>175. Tanzania</v>
      </c>
    </row>
    <row r="5250" spans="1:5" x14ac:dyDescent="0.25">
      <c r="A5250" t="s">
        <v>85</v>
      </c>
      <c r="B5250" t="s">
        <v>373</v>
      </c>
      <c r="C5250">
        <v>37.299999999999997</v>
      </c>
      <c r="D5250">
        <f t="shared" si="164"/>
        <v>176</v>
      </c>
      <c r="E5250" t="str">
        <f t="shared" si="165"/>
        <v>176. Grenada</v>
      </c>
    </row>
    <row r="5251" spans="1:5" x14ac:dyDescent="0.25">
      <c r="A5251" t="s">
        <v>97</v>
      </c>
      <c r="B5251" t="s">
        <v>373</v>
      </c>
      <c r="C5251">
        <v>36.9</v>
      </c>
      <c r="D5251">
        <f t="shared" si="164"/>
        <v>177</v>
      </c>
      <c r="E5251" t="str">
        <f t="shared" si="165"/>
        <v>177. India</v>
      </c>
    </row>
    <row r="5252" spans="1:5" x14ac:dyDescent="0.25">
      <c r="A5252" t="s">
        <v>174</v>
      </c>
      <c r="B5252" t="s">
        <v>373</v>
      </c>
      <c r="C5252">
        <v>36.799999999999997</v>
      </c>
      <c r="D5252">
        <f t="shared" ref="D5252:D5286" si="166">IF(ROW() = 2, 1, IF(B5252 = B5251, D5251 + 1, 1))</f>
        <v>178</v>
      </c>
      <c r="E5252" t="str">
        <f t="shared" ref="E5252:E5286" si="167">_xlfn.CONCAT(D5252, ". ", A5252)</f>
        <v>178. Sudan</v>
      </c>
    </row>
    <row r="5253" spans="1:5" x14ac:dyDescent="0.25">
      <c r="A5253" t="s">
        <v>26</v>
      </c>
      <c r="B5253" t="s">
        <v>373</v>
      </c>
      <c r="C5253">
        <v>33.200000000000003</v>
      </c>
      <c r="D5253">
        <f t="shared" si="166"/>
        <v>179</v>
      </c>
      <c r="E5253" t="str">
        <f t="shared" si="167"/>
        <v>179. Burkina Faso</v>
      </c>
    </row>
    <row r="5254" spans="1:5" x14ac:dyDescent="0.25">
      <c r="A5254" t="s">
        <v>199</v>
      </c>
      <c r="B5254" t="s">
        <v>373</v>
      </c>
      <c r="C5254">
        <v>32.799999999999997</v>
      </c>
      <c r="D5254">
        <f t="shared" si="166"/>
        <v>180</v>
      </c>
      <c r="E5254" t="str">
        <f t="shared" si="167"/>
        <v>180. Timor-Leste</v>
      </c>
    </row>
    <row r="5255" spans="1:5" x14ac:dyDescent="0.25">
      <c r="A5255" t="s">
        <v>220</v>
      </c>
      <c r="B5255" t="s">
        <v>373</v>
      </c>
      <c r="C5255">
        <v>32.700000000000003</v>
      </c>
      <c r="D5255">
        <f t="shared" si="166"/>
        <v>181</v>
      </c>
      <c r="E5255" t="str">
        <f t="shared" si="167"/>
        <v>181. Zimbabwe</v>
      </c>
    </row>
    <row r="5256" spans="1:5" x14ac:dyDescent="0.25">
      <c r="A5256" t="s">
        <v>137</v>
      </c>
      <c r="B5256" t="s">
        <v>373</v>
      </c>
      <c r="C5256">
        <v>32.5</v>
      </c>
      <c r="D5256">
        <f t="shared" si="166"/>
        <v>182</v>
      </c>
      <c r="E5256" t="str">
        <f t="shared" si="167"/>
        <v>182. Myanmar</v>
      </c>
    </row>
    <row r="5257" spans="1:5" x14ac:dyDescent="0.25">
      <c r="A5257" t="s">
        <v>37</v>
      </c>
      <c r="B5257" t="s">
        <v>373</v>
      </c>
      <c r="C5257">
        <v>31.5</v>
      </c>
      <c r="D5257">
        <f t="shared" si="166"/>
        <v>183</v>
      </c>
      <c r="E5257" t="str">
        <f t="shared" si="167"/>
        <v>183. Barbados</v>
      </c>
    </row>
    <row r="5258" spans="1:5" x14ac:dyDescent="0.25">
      <c r="A5258" t="s">
        <v>44</v>
      </c>
      <c r="B5258" t="s">
        <v>373</v>
      </c>
      <c r="C5258">
        <v>31.3</v>
      </c>
      <c r="D5258">
        <f t="shared" si="166"/>
        <v>184</v>
      </c>
      <c r="E5258" t="str">
        <f t="shared" si="167"/>
        <v>184. Channel Islands</v>
      </c>
    </row>
    <row r="5259" spans="1:5" x14ac:dyDescent="0.25">
      <c r="A5259" t="s">
        <v>112</v>
      </c>
      <c r="B5259" t="s">
        <v>373</v>
      </c>
      <c r="C5259">
        <v>31.2</v>
      </c>
      <c r="D5259">
        <f t="shared" si="166"/>
        <v>185</v>
      </c>
      <c r="E5259" t="str">
        <f t="shared" si="167"/>
        <v>185. St. Kitts and Nevis</v>
      </c>
    </row>
    <row r="5260" spans="1:5" x14ac:dyDescent="0.25">
      <c r="A5260" t="s">
        <v>122</v>
      </c>
      <c r="B5260" t="s">
        <v>373</v>
      </c>
      <c r="C5260">
        <v>30.9</v>
      </c>
      <c r="D5260">
        <f t="shared" si="166"/>
        <v>186</v>
      </c>
      <c r="E5260" t="str">
        <f t="shared" si="167"/>
        <v>186. Lesotho</v>
      </c>
    </row>
    <row r="5261" spans="1:5" x14ac:dyDescent="0.25">
      <c r="A5261" t="s">
        <v>52</v>
      </c>
      <c r="B5261" t="s">
        <v>373</v>
      </c>
      <c r="C5261">
        <v>30.4</v>
      </c>
      <c r="D5261">
        <f t="shared" si="166"/>
        <v>187</v>
      </c>
      <c r="E5261" t="str">
        <f t="shared" si="167"/>
        <v>187. Comoros</v>
      </c>
    </row>
    <row r="5262" spans="1:5" x14ac:dyDescent="0.25">
      <c r="A5262" t="s">
        <v>108</v>
      </c>
      <c r="B5262" t="s">
        <v>373</v>
      </c>
      <c r="C5262">
        <v>30</v>
      </c>
      <c r="D5262">
        <f t="shared" si="166"/>
        <v>188</v>
      </c>
      <c r="E5262" t="str">
        <f t="shared" si="167"/>
        <v>188. Kenya</v>
      </c>
    </row>
    <row r="5263" spans="1:5" x14ac:dyDescent="0.25">
      <c r="A5263" t="s">
        <v>197</v>
      </c>
      <c r="B5263" t="s">
        <v>373</v>
      </c>
      <c r="C5263">
        <v>28.5</v>
      </c>
      <c r="D5263">
        <f t="shared" si="166"/>
        <v>189</v>
      </c>
      <c r="E5263" t="str">
        <f t="shared" si="167"/>
        <v>189. Tajikistan</v>
      </c>
    </row>
    <row r="5264" spans="1:5" x14ac:dyDescent="0.25">
      <c r="A5264" t="s">
        <v>206</v>
      </c>
      <c r="B5264" t="s">
        <v>373</v>
      </c>
      <c r="C5264">
        <v>27.4</v>
      </c>
      <c r="D5264">
        <f t="shared" si="166"/>
        <v>190</v>
      </c>
      <c r="E5264" t="str">
        <f t="shared" si="167"/>
        <v>190. Uganda</v>
      </c>
    </row>
    <row r="5265" spans="1:5" x14ac:dyDescent="0.25">
      <c r="A5265" t="s">
        <v>11</v>
      </c>
      <c r="B5265" t="s">
        <v>373</v>
      </c>
      <c r="C5265">
        <v>27.3</v>
      </c>
      <c r="D5265">
        <f t="shared" si="166"/>
        <v>191</v>
      </c>
      <c r="E5265" t="str">
        <f t="shared" si="167"/>
        <v>191. Afghanistan</v>
      </c>
    </row>
    <row r="5266" spans="1:5" x14ac:dyDescent="0.25">
      <c r="A5266" t="s">
        <v>89</v>
      </c>
      <c r="B5266" t="s">
        <v>373</v>
      </c>
      <c r="C5266">
        <v>27.3</v>
      </c>
      <c r="D5266">
        <f t="shared" si="166"/>
        <v>192</v>
      </c>
      <c r="E5266" t="str">
        <f t="shared" si="167"/>
        <v>192. Guyana</v>
      </c>
    </row>
    <row r="5267" spans="1:5" x14ac:dyDescent="0.25">
      <c r="A5267" t="s">
        <v>177</v>
      </c>
      <c r="B5267" t="s">
        <v>373</v>
      </c>
      <c r="C5267">
        <v>26.5</v>
      </c>
      <c r="D5267">
        <f t="shared" si="166"/>
        <v>193</v>
      </c>
      <c r="E5267" t="str">
        <f t="shared" si="167"/>
        <v>193. Solomon Islands</v>
      </c>
    </row>
    <row r="5268" spans="1:5" x14ac:dyDescent="0.25">
      <c r="A5268" t="s">
        <v>214</v>
      </c>
      <c r="B5268" t="s">
        <v>373</v>
      </c>
      <c r="C5268">
        <v>26.1</v>
      </c>
      <c r="D5268">
        <f t="shared" si="166"/>
        <v>194</v>
      </c>
      <c r="E5268" t="str">
        <f t="shared" si="167"/>
        <v>194. Vanuatu</v>
      </c>
    </row>
    <row r="5269" spans="1:5" x14ac:dyDescent="0.25">
      <c r="A5269" t="s">
        <v>110</v>
      </c>
      <c r="B5269" t="s">
        <v>373</v>
      </c>
      <c r="C5269">
        <v>26</v>
      </c>
      <c r="D5269">
        <f t="shared" si="166"/>
        <v>195</v>
      </c>
      <c r="E5269" t="str">
        <f t="shared" si="167"/>
        <v>195. Cambodia</v>
      </c>
    </row>
    <row r="5270" spans="1:5" x14ac:dyDescent="0.25">
      <c r="A5270" t="s">
        <v>189</v>
      </c>
      <c r="B5270" t="s">
        <v>373</v>
      </c>
      <c r="C5270">
        <v>25</v>
      </c>
      <c r="D5270">
        <f t="shared" si="166"/>
        <v>196</v>
      </c>
      <c r="E5270" t="str">
        <f t="shared" si="167"/>
        <v>196. Eswatini</v>
      </c>
    </row>
    <row r="5271" spans="1:5" x14ac:dyDescent="0.25">
      <c r="A5271" t="s">
        <v>194</v>
      </c>
      <c r="B5271" t="s">
        <v>373</v>
      </c>
      <c r="C5271">
        <v>24.7</v>
      </c>
      <c r="D5271">
        <f t="shared" si="166"/>
        <v>197</v>
      </c>
      <c r="E5271" t="str">
        <f t="shared" si="167"/>
        <v>197. Chad</v>
      </c>
    </row>
    <row r="5272" spans="1:5" x14ac:dyDescent="0.25">
      <c r="A5272" t="s">
        <v>19</v>
      </c>
      <c r="B5272" t="s">
        <v>373</v>
      </c>
      <c r="C5272">
        <v>24.3</v>
      </c>
      <c r="D5272">
        <f t="shared" si="166"/>
        <v>198</v>
      </c>
      <c r="E5272" t="str">
        <f t="shared" si="167"/>
        <v>198. Antigua and Barbuda</v>
      </c>
    </row>
    <row r="5273" spans="1:5" x14ac:dyDescent="0.25">
      <c r="A5273" t="s">
        <v>70</v>
      </c>
      <c r="B5273" t="s">
        <v>373</v>
      </c>
      <c r="C5273">
        <v>23.7</v>
      </c>
      <c r="D5273">
        <f t="shared" si="166"/>
        <v>199</v>
      </c>
      <c r="E5273" t="str">
        <f t="shared" si="167"/>
        <v>199. Ethiopia</v>
      </c>
    </row>
    <row r="5274" spans="1:5" x14ac:dyDescent="0.25">
      <c r="A5274" t="s">
        <v>75</v>
      </c>
      <c r="B5274" t="s">
        <v>373</v>
      </c>
      <c r="C5274">
        <v>23.6</v>
      </c>
      <c r="D5274">
        <f t="shared" si="166"/>
        <v>200</v>
      </c>
      <c r="E5274" t="str">
        <f t="shared" si="167"/>
        <v>200. Micronesia, Fed. Sts.</v>
      </c>
    </row>
    <row r="5275" spans="1:5" x14ac:dyDescent="0.25">
      <c r="A5275" t="s">
        <v>200</v>
      </c>
      <c r="B5275" t="s">
        <v>373</v>
      </c>
      <c r="C5275">
        <v>23.2</v>
      </c>
      <c r="D5275">
        <f t="shared" si="166"/>
        <v>201</v>
      </c>
      <c r="E5275" t="str">
        <f t="shared" si="167"/>
        <v>201. Tonga</v>
      </c>
    </row>
    <row r="5276" spans="1:5" x14ac:dyDescent="0.25">
      <c r="A5276" t="s">
        <v>153</v>
      </c>
      <c r="B5276" t="s">
        <v>373</v>
      </c>
      <c r="C5276">
        <v>22.4</v>
      </c>
      <c r="D5276">
        <f t="shared" si="166"/>
        <v>202</v>
      </c>
      <c r="E5276" t="str">
        <f t="shared" si="167"/>
        <v>202. Nepal</v>
      </c>
    </row>
    <row r="5277" spans="1:5" x14ac:dyDescent="0.25">
      <c r="A5277" t="s">
        <v>183</v>
      </c>
      <c r="B5277" t="s">
        <v>373</v>
      </c>
      <c r="C5277">
        <v>21.6</v>
      </c>
      <c r="D5277">
        <f t="shared" si="166"/>
        <v>203</v>
      </c>
      <c r="E5277" t="str">
        <f t="shared" si="167"/>
        <v>203. South Sudan</v>
      </c>
    </row>
    <row r="5278" spans="1:5" x14ac:dyDescent="0.25">
      <c r="A5278" t="s">
        <v>121</v>
      </c>
      <c r="B5278" t="s">
        <v>373</v>
      </c>
      <c r="C5278">
        <v>19.399999999999999</v>
      </c>
      <c r="D5278">
        <f t="shared" si="166"/>
        <v>204</v>
      </c>
      <c r="E5278" t="str">
        <f t="shared" si="167"/>
        <v>204. Sri Lanka</v>
      </c>
    </row>
    <row r="5279" spans="1:5" x14ac:dyDescent="0.25">
      <c r="A5279" t="s">
        <v>119</v>
      </c>
      <c r="B5279" t="s">
        <v>373</v>
      </c>
      <c r="C5279">
        <v>19.3</v>
      </c>
      <c r="D5279">
        <f t="shared" si="166"/>
        <v>205</v>
      </c>
      <c r="E5279" t="str">
        <f t="shared" si="167"/>
        <v>205. St. Lucia</v>
      </c>
    </row>
    <row r="5280" spans="1:5" x14ac:dyDescent="0.25">
      <c r="A5280" t="s">
        <v>144</v>
      </c>
      <c r="B5280" t="s">
        <v>373</v>
      </c>
      <c r="C5280">
        <v>18.600000000000001</v>
      </c>
      <c r="D5280">
        <f t="shared" si="166"/>
        <v>206</v>
      </c>
      <c r="E5280" t="str">
        <f t="shared" si="167"/>
        <v>206. Malawi</v>
      </c>
    </row>
    <row r="5281" spans="1:5" x14ac:dyDescent="0.25">
      <c r="A5281" t="s">
        <v>172</v>
      </c>
      <c r="B5281" t="s">
        <v>373</v>
      </c>
      <c r="C5281">
        <v>18.100000000000001</v>
      </c>
      <c r="D5281">
        <f t="shared" si="166"/>
        <v>207</v>
      </c>
      <c r="E5281" t="str">
        <f t="shared" si="167"/>
        <v>207. Rwanda</v>
      </c>
    </row>
    <row r="5282" spans="1:5" x14ac:dyDescent="0.25">
      <c r="A5282" t="s">
        <v>215</v>
      </c>
      <c r="B5282" t="s">
        <v>373</v>
      </c>
      <c r="C5282">
        <v>17.399999999999999</v>
      </c>
      <c r="D5282">
        <f t="shared" si="166"/>
        <v>208</v>
      </c>
      <c r="E5282" t="str">
        <f t="shared" si="167"/>
        <v>208. Samoa</v>
      </c>
    </row>
    <row r="5283" spans="1:5" x14ac:dyDescent="0.25">
      <c r="A5283" t="s">
        <v>148</v>
      </c>
      <c r="B5283" t="s">
        <v>373</v>
      </c>
      <c r="C5283">
        <v>17.2</v>
      </c>
      <c r="D5283">
        <f t="shared" si="166"/>
        <v>209</v>
      </c>
      <c r="E5283" t="str">
        <f t="shared" si="167"/>
        <v>209. Niger</v>
      </c>
    </row>
    <row r="5284" spans="1:5" x14ac:dyDescent="0.25">
      <c r="A5284" t="s">
        <v>23</v>
      </c>
      <c r="B5284" t="s">
        <v>373</v>
      </c>
      <c r="C5284">
        <v>15.2</v>
      </c>
      <c r="D5284">
        <f t="shared" si="166"/>
        <v>210</v>
      </c>
      <c r="E5284" t="str">
        <f t="shared" si="167"/>
        <v>210. Burundi</v>
      </c>
    </row>
    <row r="5285" spans="1:5" x14ac:dyDescent="0.25">
      <c r="A5285" t="s">
        <v>120</v>
      </c>
      <c r="B5285" t="s">
        <v>373</v>
      </c>
      <c r="C5285">
        <v>14.7</v>
      </c>
      <c r="D5285">
        <f t="shared" si="166"/>
        <v>211</v>
      </c>
      <c r="E5285" t="str">
        <f t="shared" si="167"/>
        <v>211. Liechtenstein</v>
      </c>
    </row>
    <row r="5286" spans="1:5" x14ac:dyDescent="0.25">
      <c r="A5286" t="s">
        <v>162</v>
      </c>
      <c r="B5286" t="s">
        <v>373</v>
      </c>
      <c r="C5286">
        <v>13.9</v>
      </c>
      <c r="D5286">
        <f t="shared" si="166"/>
        <v>212</v>
      </c>
      <c r="E5286" t="str">
        <f t="shared" si="167"/>
        <v>212. Papua New Guinea</v>
      </c>
    </row>
  </sheetData>
  <autoFilter ref="A1:E5286" xr:uid="{DC51BC22-A495-464E-81D9-3601B85C387C}"/>
  <sortState xmlns:xlrd2="http://schemas.microsoft.com/office/spreadsheetml/2017/richdata2" ref="A2:D5286">
    <sortCondition ref="B2:B5286"/>
    <sortCondition descending="1" ref="C2:C5286"/>
    <sortCondition ref="A2:A5286"/>
  </sortState>
  <conditionalFormatting sqref="D2:D5286">
    <cfRule type="colorScale" priority="2">
      <colorScale>
        <cfvo type="min"/>
        <cfvo type="percentile" val="50"/>
        <cfvo type="max"/>
        <color rgb="FF63BE7B"/>
        <color rgb="FFFFEB84"/>
        <color rgb="FFF8696B"/>
      </colorScale>
    </cfRule>
  </conditionalFormatting>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4201ED-FFF8-45DE-BC92-929771384263}">
  <sheetPr>
    <tabColor rgb="FFFFFF00"/>
  </sheetPr>
  <dimension ref="A1:J27"/>
  <sheetViews>
    <sheetView workbookViewId="0">
      <selection activeCell="N12" sqref="N12"/>
    </sheetView>
  </sheetViews>
  <sheetFormatPr defaultRowHeight="15" x14ac:dyDescent="0.25"/>
  <cols>
    <col min="1" max="1" width="3" bestFit="1" customWidth="1"/>
    <col min="2" max="2" width="28.42578125" bestFit="1" customWidth="1"/>
    <col min="3" max="3" width="18.42578125" customWidth="1"/>
    <col min="4" max="4" width="11.140625" style="28" bestFit="1" customWidth="1"/>
    <col min="5" max="5" width="20.28515625" customWidth="1"/>
    <col min="6" max="6" width="23.7109375" bestFit="1" customWidth="1"/>
    <col min="7" max="7" width="5" bestFit="1" customWidth="1"/>
    <col min="8" max="8" width="10.5703125" bestFit="1" customWidth="1"/>
    <col min="9" max="9" width="10.7109375" bestFit="1" customWidth="1"/>
    <col min="10" max="10" width="10.42578125" bestFit="1" customWidth="1"/>
  </cols>
  <sheetData>
    <row r="1" spans="1:10" s="65" customFormat="1" x14ac:dyDescent="0.25">
      <c r="A1" s="64" t="s">
        <v>463</v>
      </c>
      <c r="B1" s="65" t="s">
        <v>0</v>
      </c>
      <c r="C1" s="66" t="s">
        <v>355</v>
      </c>
      <c r="D1" s="65" t="s">
        <v>461</v>
      </c>
      <c r="E1" s="66" t="s">
        <v>460</v>
      </c>
      <c r="F1" s="65" t="s">
        <v>328</v>
      </c>
      <c r="G1" s="65" t="s">
        <v>462</v>
      </c>
      <c r="H1" s="65" t="s">
        <v>464</v>
      </c>
      <c r="I1" s="65" t="s">
        <v>469</v>
      </c>
      <c r="J1" s="65" t="s">
        <v>470</v>
      </c>
    </row>
    <row r="2" spans="1:10" x14ac:dyDescent="0.25">
      <c r="A2">
        <v>1</v>
      </c>
      <c r="B2" s="31" t="s">
        <v>324</v>
      </c>
      <c r="C2" s="65" t="s">
        <v>1</v>
      </c>
      <c r="D2" s="28" t="s">
        <v>344</v>
      </c>
      <c r="E2" s="68" t="s">
        <v>5</v>
      </c>
      <c r="F2" t="s">
        <v>349</v>
      </c>
      <c r="G2">
        <v>2024</v>
      </c>
      <c r="H2" s="72" t="s">
        <v>465</v>
      </c>
      <c r="I2">
        <f>_xlfn.MAXIFS(data!C:C, data!B:B, B2)</f>
        <v>29184.9</v>
      </c>
      <c r="J2">
        <f>MIN(_xlfn.MINIFS(data!C:C, data!B:B, B2), 0)</f>
        <v>0</v>
      </c>
    </row>
    <row r="3" spans="1:10" s="28" customFormat="1" x14ac:dyDescent="0.25">
      <c r="A3">
        <v>2</v>
      </c>
      <c r="B3" s="31" t="s">
        <v>325</v>
      </c>
      <c r="C3" s="31" t="s">
        <v>3</v>
      </c>
      <c r="D3" s="28" t="s">
        <v>344</v>
      </c>
      <c r="E3" s="68" t="s">
        <v>226</v>
      </c>
      <c r="F3" s="31" t="s">
        <v>348</v>
      </c>
      <c r="G3" s="28">
        <v>2024</v>
      </c>
      <c r="H3" s="72" t="s">
        <v>465</v>
      </c>
      <c r="I3">
        <f>_xlfn.MAXIFS(data!C:C, data!B:B, B3)</f>
        <v>138.9</v>
      </c>
      <c r="J3">
        <f>MIN(_xlfn.MINIFS(data!C:C, data!B:B, B3), 0)</f>
        <v>0</v>
      </c>
    </row>
    <row r="4" spans="1:10" x14ac:dyDescent="0.25">
      <c r="A4">
        <v>3</v>
      </c>
      <c r="B4" t="s">
        <v>326</v>
      </c>
      <c r="C4" t="s">
        <v>2</v>
      </c>
      <c r="D4" s="28" t="s">
        <v>344</v>
      </c>
      <c r="E4" s="68" t="s">
        <v>227</v>
      </c>
      <c r="F4" t="s">
        <v>350</v>
      </c>
      <c r="G4">
        <v>2024</v>
      </c>
      <c r="H4" s="72" t="s">
        <v>465</v>
      </c>
      <c r="I4">
        <f>_xlfn.MAXIFS(data!C:C, data!B:B, B4)</f>
        <v>38190.1</v>
      </c>
      <c r="J4">
        <f>MIN(_xlfn.MINIFS(data!C:C, data!B:B, B4), 0)</f>
        <v>0</v>
      </c>
    </row>
    <row r="5" spans="1:10" x14ac:dyDescent="0.25">
      <c r="A5">
        <v>4</v>
      </c>
      <c r="B5" t="s">
        <v>329</v>
      </c>
      <c r="C5" t="s">
        <v>317</v>
      </c>
      <c r="D5" s="28" t="s">
        <v>344</v>
      </c>
      <c r="E5" s="68" t="s">
        <v>318</v>
      </c>
      <c r="F5" s="69" t="s">
        <v>349</v>
      </c>
      <c r="G5" s="70">
        <v>2023</v>
      </c>
      <c r="H5" s="72" t="s">
        <v>465</v>
      </c>
      <c r="I5">
        <f>_xlfn.MAXIFS(data!C:C, data!B:B, B5)</f>
        <v>3724</v>
      </c>
      <c r="J5">
        <f>MIN(_xlfn.MINIFS(data!C:C, data!B:B, B5), 0)</f>
        <v>0</v>
      </c>
    </row>
    <row r="6" spans="1:10" x14ac:dyDescent="0.25">
      <c r="A6">
        <v>5</v>
      </c>
      <c r="B6" t="s">
        <v>346</v>
      </c>
      <c r="C6" t="s">
        <v>331</v>
      </c>
      <c r="D6" s="28" t="s">
        <v>344</v>
      </c>
      <c r="E6" s="68" t="s">
        <v>332</v>
      </c>
      <c r="F6" t="s">
        <v>380</v>
      </c>
      <c r="G6">
        <v>2024</v>
      </c>
      <c r="H6" s="72" t="s">
        <v>465</v>
      </c>
      <c r="I6">
        <f>_xlfn.MAXIFS(data!C:C, data!B:B, B6)</f>
        <v>219.9</v>
      </c>
      <c r="J6">
        <f>MIN(_xlfn.MINIFS(data!C:C, data!B:B, B6), 0)</f>
        <v>-12.3</v>
      </c>
    </row>
    <row r="7" spans="1:10" x14ac:dyDescent="0.25">
      <c r="A7">
        <v>6</v>
      </c>
      <c r="B7" t="s">
        <v>347</v>
      </c>
      <c r="C7" t="s">
        <v>336</v>
      </c>
      <c r="D7" s="28" t="s">
        <v>344</v>
      </c>
      <c r="E7" s="68" t="s">
        <v>337</v>
      </c>
      <c r="F7" t="s">
        <v>380</v>
      </c>
      <c r="G7">
        <v>2024</v>
      </c>
      <c r="H7" s="72" t="s">
        <v>465</v>
      </c>
      <c r="I7">
        <f>_xlfn.MAXIFS(data!C:C, data!B:B, B7)</f>
        <v>34.4</v>
      </c>
      <c r="J7">
        <f>MIN(_xlfn.MINIFS(data!C:C, data!B:B, B7), 0)</f>
        <v>0</v>
      </c>
    </row>
    <row r="8" spans="1:10" x14ac:dyDescent="0.25">
      <c r="A8">
        <v>7</v>
      </c>
      <c r="B8" t="s">
        <v>339</v>
      </c>
      <c r="C8" t="s">
        <v>339</v>
      </c>
      <c r="D8" s="31" t="s">
        <v>345</v>
      </c>
      <c r="E8" s="71" t="s">
        <v>340</v>
      </c>
      <c r="F8" t="s">
        <v>380</v>
      </c>
      <c r="G8" s="31">
        <v>2015</v>
      </c>
      <c r="H8" s="72" t="s">
        <v>465</v>
      </c>
      <c r="I8">
        <f>_xlfn.MAXIFS(data!C:C, data!B:B, B8)</f>
        <v>248</v>
      </c>
      <c r="J8">
        <f>MIN(_xlfn.MINIFS(data!C:C, data!B:B, B8), 0)</f>
        <v>0</v>
      </c>
    </row>
    <row r="9" spans="1:10" x14ac:dyDescent="0.25">
      <c r="A9">
        <v>8</v>
      </c>
      <c r="B9" t="s">
        <v>353</v>
      </c>
      <c r="C9" t="s">
        <v>341</v>
      </c>
      <c r="D9" s="28" t="s">
        <v>344</v>
      </c>
      <c r="E9" s="68" t="s">
        <v>342</v>
      </c>
      <c r="F9" t="s">
        <v>349</v>
      </c>
      <c r="G9">
        <v>2024</v>
      </c>
      <c r="H9" s="72" t="s">
        <v>465</v>
      </c>
      <c r="I9">
        <f>_xlfn.MAXIFS(data!C:C, data!B:B, B9)</f>
        <v>297.10000000000002</v>
      </c>
      <c r="J9">
        <f>MIN(_xlfn.MINIFS(data!C:C, data!B:B, B9), 0)</f>
        <v>-112.1</v>
      </c>
    </row>
    <row r="10" spans="1:10" x14ac:dyDescent="0.25">
      <c r="A10">
        <v>9</v>
      </c>
      <c r="B10" t="s">
        <v>357</v>
      </c>
      <c r="C10" t="s">
        <v>356</v>
      </c>
      <c r="D10" s="28" t="s">
        <v>344</v>
      </c>
      <c r="E10" s="68" t="s">
        <v>358</v>
      </c>
      <c r="F10" t="s">
        <v>379</v>
      </c>
      <c r="G10">
        <v>2024</v>
      </c>
      <c r="H10" s="73" t="s">
        <v>466</v>
      </c>
      <c r="I10">
        <f>_xlfn.MAXIFS(data!C:C, data!B:B, B10)</f>
        <v>1450.9</v>
      </c>
      <c r="J10">
        <f>MIN(_xlfn.MINIFS(data!C:C, data!B:B, B10), 0)</f>
        <v>0</v>
      </c>
    </row>
    <row r="11" spans="1:10" x14ac:dyDescent="0.25">
      <c r="A11">
        <v>10</v>
      </c>
      <c r="B11" t="s">
        <v>360</v>
      </c>
      <c r="C11" t="s">
        <v>359</v>
      </c>
      <c r="D11" s="28" t="s">
        <v>344</v>
      </c>
      <c r="E11" s="68" t="s">
        <v>361</v>
      </c>
      <c r="F11" t="s">
        <v>380</v>
      </c>
      <c r="G11">
        <v>2024</v>
      </c>
      <c r="H11" s="73" t="s">
        <v>466</v>
      </c>
      <c r="I11">
        <f>_xlfn.MAXIFS(data!C:C, data!B:B, B11)</f>
        <v>55</v>
      </c>
      <c r="J11">
        <f>MIN(_xlfn.MINIFS(data!C:C, data!B:B, B11), 0)</f>
        <v>0</v>
      </c>
    </row>
    <row r="12" spans="1:10" x14ac:dyDescent="0.25">
      <c r="A12">
        <v>11</v>
      </c>
      <c r="B12" t="s">
        <v>457</v>
      </c>
      <c r="C12" t="s">
        <v>362</v>
      </c>
      <c r="D12" s="28" t="s">
        <v>344</v>
      </c>
      <c r="E12" s="68" t="s">
        <v>364</v>
      </c>
      <c r="F12" t="s">
        <v>380</v>
      </c>
      <c r="G12">
        <v>2024</v>
      </c>
      <c r="H12" s="73" t="s">
        <v>466</v>
      </c>
      <c r="I12">
        <f>_xlfn.MAXIFS(data!C:C, data!B:B, B12)</f>
        <v>36.200000000000003</v>
      </c>
      <c r="J12">
        <f>MIN(_xlfn.MINIFS(data!C:C, data!B:B, B12), 0)</f>
        <v>0</v>
      </c>
    </row>
    <row r="13" spans="1:10" x14ac:dyDescent="0.25">
      <c r="A13">
        <v>12</v>
      </c>
      <c r="B13" t="s">
        <v>366</v>
      </c>
      <c r="C13" t="s">
        <v>365</v>
      </c>
      <c r="D13" s="28" t="s">
        <v>344</v>
      </c>
      <c r="E13" s="68" t="s">
        <v>367</v>
      </c>
      <c r="F13" t="s">
        <v>382</v>
      </c>
      <c r="G13" s="37">
        <v>2022</v>
      </c>
      <c r="H13" s="73" t="s">
        <v>466</v>
      </c>
      <c r="I13">
        <f>_xlfn.MAXIFS(data!C:C, data!B:B, B13)</f>
        <v>20524.2</v>
      </c>
      <c r="J13">
        <f>MIN(_xlfn.MINIFS(data!C:C, data!B:B, B13), 0)</f>
        <v>0</v>
      </c>
    </row>
    <row r="14" spans="1:10" x14ac:dyDescent="0.25">
      <c r="A14">
        <v>13</v>
      </c>
      <c r="B14" t="s">
        <v>369</v>
      </c>
      <c r="C14" t="s">
        <v>368</v>
      </c>
      <c r="D14" s="28" t="s">
        <v>344</v>
      </c>
      <c r="E14" s="68" t="s">
        <v>371</v>
      </c>
      <c r="F14" t="s">
        <v>381</v>
      </c>
      <c r="G14" s="37">
        <v>2023</v>
      </c>
      <c r="H14" s="73" t="s">
        <v>466</v>
      </c>
      <c r="I14">
        <f>_xlfn.MAXIFS(data!C:C, data!B:B, B14)</f>
        <v>86.4</v>
      </c>
      <c r="J14">
        <f>MIN(_xlfn.MINIFS(data!C:C, data!B:B, B14), 0)</f>
        <v>0</v>
      </c>
    </row>
    <row r="15" spans="1:10" x14ac:dyDescent="0.25">
      <c r="A15">
        <v>14</v>
      </c>
      <c r="B15" t="s">
        <v>373</v>
      </c>
      <c r="C15" t="s">
        <v>372</v>
      </c>
      <c r="D15" s="28" t="s">
        <v>344</v>
      </c>
      <c r="E15" s="68" t="s">
        <v>374</v>
      </c>
      <c r="F15" t="s">
        <v>380</v>
      </c>
      <c r="G15">
        <v>2024</v>
      </c>
      <c r="H15" s="73" t="s">
        <v>466</v>
      </c>
      <c r="I15">
        <f>_xlfn.MAXIFS(data!C:C, data!B:B, B15)</f>
        <v>100</v>
      </c>
      <c r="J15">
        <f>MIN(_xlfn.MINIFS(data!C:C, data!B:B, B15), 0)</f>
        <v>0</v>
      </c>
    </row>
    <row r="16" spans="1:10" x14ac:dyDescent="0.25">
      <c r="A16">
        <v>15</v>
      </c>
      <c r="B16" t="s">
        <v>398</v>
      </c>
      <c r="C16" t="s">
        <v>399</v>
      </c>
      <c r="D16" s="28" t="s">
        <v>344</v>
      </c>
      <c r="E16" s="68" t="s">
        <v>400</v>
      </c>
      <c r="F16" t="s">
        <v>396</v>
      </c>
      <c r="G16" s="31">
        <v>2023</v>
      </c>
      <c r="H16" s="74" t="s">
        <v>467</v>
      </c>
      <c r="I16">
        <f>_xlfn.MAXIFS(data!C:C, data!B:B, B16)</f>
        <v>16376.9</v>
      </c>
      <c r="J16">
        <f>MIN(_xlfn.MINIFS(data!C:C, data!B:B, B16), 0)</f>
        <v>0</v>
      </c>
    </row>
    <row r="17" spans="1:10" x14ac:dyDescent="0.25">
      <c r="A17">
        <v>16</v>
      </c>
      <c r="B17" t="s">
        <v>397</v>
      </c>
      <c r="C17" t="s">
        <v>383</v>
      </c>
      <c r="D17" s="28" t="s">
        <v>344</v>
      </c>
      <c r="E17" s="68" t="s">
        <v>384</v>
      </c>
      <c r="F17" t="s">
        <v>396</v>
      </c>
      <c r="G17" s="31">
        <v>2023</v>
      </c>
      <c r="H17" s="74" t="s">
        <v>467</v>
      </c>
      <c r="I17">
        <f>_xlfn.MAXIFS(data!C:C, data!B:B, B17)</f>
        <v>17125.2</v>
      </c>
      <c r="J17">
        <f>MIN(_xlfn.MINIFS(data!C:C, data!B:B, B17), 0)</f>
        <v>0</v>
      </c>
    </row>
    <row r="18" spans="1:10" x14ac:dyDescent="0.25">
      <c r="A18">
        <v>17</v>
      </c>
      <c r="B18" t="s">
        <v>388</v>
      </c>
      <c r="C18" t="s">
        <v>387</v>
      </c>
      <c r="D18" s="28" t="s">
        <v>344</v>
      </c>
      <c r="E18" s="68" t="s">
        <v>389</v>
      </c>
      <c r="F18" t="s">
        <v>380</v>
      </c>
      <c r="G18" s="31">
        <v>2023</v>
      </c>
      <c r="H18" s="74" t="s">
        <v>467</v>
      </c>
      <c r="I18">
        <f>_xlfn.MAXIFS(data!C:C, data!B:B, B18)</f>
        <v>86.5</v>
      </c>
      <c r="J18">
        <f>MIN(_xlfn.MINIFS(data!C:C, data!B:B, B18), 0)</f>
        <v>0</v>
      </c>
    </row>
    <row r="19" spans="1:10" x14ac:dyDescent="0.25">
      <c r="A19">
        <v>18</v>
      </c>
      <c r="B19" t="s">
        <v>391</v>
      </c>
      <c r="C19" t="s">
        <v>390</v>
      </c>
      <c r="D19" s="28" t="s">
        <v>344</v>
      </c>
      <c r="E19" s="68" t="s">
        <v>392</v>
      </c>
      <c r="F19" t="s">
        <v>380</v>
      </c>
      <c r="G19" s="31">
        <v>2023</v>
      </c>
      <c r="H19" s="74" t="s">
        <v>467</v>
      </c>
      <c r="I19">
        <f>_xlfn.MAXIFS(data!C:C, data!B:B, B19)</f>
        <v>60.6</v>
      </c>
      <c r="J19">
        <f>MIN(_xlfn.MINIFS(data!C:C, data!B:B, B19), 0)</f>
        <v>0</v>
      </c>
    </row>
    <row r="20" spans="1:10" x14ac:dyDescent="0.25">
      <c r="A20">
        <v>19</v>
      </c>
      <c r="B20" t="s">
        <v>394</v>
      </c>
      <c r="C20" t="s">
        <v>393</v>
      </c>
      <c r="D20" s="28" t="s">
        <v>344</v>
      </c>
      <c r="E20" s="68" t="s">
        <v>395</v>
      </c>
      <c r="F20" t="s">
        <v>380</v>
      </c>
      <c r="G20" s="31">
        <v>2023</v>
      </c>
      <c r="H20" s="74" t="s">
        <v>467</v>
      </c>
      <c r="I20">
        <f>_xlfn.MAXIFS(data!C:C, data!B:B, B20)</f>
        <v>94.4</v>
      </c>
      <c r="J20">
        <f>MIN(_xlfn.MINIFS(data!C:C, data!B:B, B20), 0)</f>
        <v>0</v>
      </c>
    </row>
    <row r="21" spans="1:10" x14ac:dyDescent="0.25">
      <c r="A21">
        <v>20</v>
      </c>
      <c r="B21" t="s">
        <v>414</v>
      </c>
      <c r="C21" t="s">
        <v>401</v>
      </c>
      <c r="D21" s="28" t="s">
        <v>344</v>
      </c>
      <c r="E21" s="68" t="s">
        <v>402</v>
      </c>
      <c r="F21" t="s">
        <v>440</v>
      </c>
      <c r="G21" s="31">
        <v>2022</v>
      </c>
      <c r="H21" s="67" t="s">
        <v>468</v>
      </c>
      <c r="I21">
        <f>_xlfn.MAXIFS(data!C:C, data!B:B, B21)</f>
        <v>898.9</v>
      </c>
      <c r="J21">
        <f>MIN(_xlfn.MINIFS(data!C:C, data!B:B, B21), 0)</f>
        <v>0</v>
      </c>
    </row>
    <row r="22" spans="1:10" x14ac:dyDescent="0.25">
      <c r="A22">
        <v>21</v>
      </c>
      <c r="B22" t="s">
        <v>445</v>
      </c>
      <c r="C22" t="s">
        <v>404</v>
      </c>
      <c r="D22" s="28" t="s">
        <v>344</v>
      </c>
      <c r="E22" s="68" t="s">
        <v>405</v>
      </c>
      <c r="F22" t="s">
        <v>440</v>
      </c>
      <c r="G22" s="31">
        <v>2021</v>
      </c>
      <c r="H22" s="67" t="s">
        <v>468</v>
      </c>
      <c r="I22">
        <f>_xlfn.MAXIFS(data!C:C, data!B:B, B22)</f>
        <v>1426.6</v>
      </c>
      <c r="J22">
        <f>MIN(_xlfn.MINIFS(data!C:C, data!B:B, B22), 0)</f>
        <v>0</v>
      </c>
    </row>
    <row r="23" spans="1:10" x14ac:dyDescent="0.25">
      <c r="A23">
        <v>22</v>
      </c>
      <c r="B23" t="s">
        <v>446</v>
      </c>
      <c r="C23" t="s">
        <v>406</v>
      </c>
      <c r="D23" s="28" t="s">
        <v>344</v>
      </c>
      <c r="E23" s="68" t="s">
        <v>407</v>
      </c>
      <c r="F23" t="s">
        <v>440</v>
      </c>
      <c r="G23" s="31">
        <v>2021</v>
      </c>
      <c r="H23" s="67" t="s">
        <v>468</v>
      </c>
      <c r="I23">
        <f>_xlfn.MAXIFS(data!C:C, data!B:B, B23)</f>
        <v>329.2</v>
      </c>
      <c r="J23">
        <f>MIN(_xlfn.MINIFS(data!C:C, data!B:B, B23), 0)</f>
        <v>0</v>
      </c>
    </row>
    <row r="24" spans="1:10" x14ac:dyDescent="0.25">
      <c r="A24">
        <v>23</v>
      </c>
      <c r="B24" t="s">
        <v>409</v>
      </c>
      <c r="C24" t="s">
        <v>408</v>
      </c>
      <c r="D24" s="28" t="s">
        <v>344</v>
      </c>
      <c r="E24" s="68" t="s">
        <v>410</v>
      </c>
      <c r="F24" t="s">
        <v>349</v>
      </c>
      <c r="G24" s="31">
        <v>2023</v>
      </c>
      <c r="H24" s="67" t="s">
        <v>468</v>
      </c>
      <c r="I24">
        <f>_xlfn.MAXIFS(data!C:C, data!B:B, B24)</f>
        <v>825</v>
      </c>
      <c r="J24">
        <f>MIN(_xlfn.MINIFS(data!C:C, data!B:B, B24), 0)</f>
        <v>0</v>
      </c>
    </row>
    <row r="25" spans="1:10" x14ac:dyDescent="0.25">
      <c r="A25">
        <v>24</v>
      </c>
      <c r="B25" t="s">
        <v>412</v>
      </c>
      <c r="C25" t="s">
        <v>411</v>
      </c>
      <c r="D25" s="28" t="s">
        <v>344</v>
      </c>
      <c r="E25" s="68" t="s">
        <v>413</v>
      </c>
      <c r="F25" t="s">
        <v>380</v>
      </c>
      <c r="G25" s="31">
        <v>2021</v>
      </c>
      <c r="H25" s="67" t="s">
        <v>468</v>
      </c>
      <c r="I25">
        <f>_xlfn.MAXIFS(data!C:C, data!B:B, B25)</f>
        <v>5.8</v>
      </c>
      <c r="J25">
        <f>MIN(_xlfn.MINIFS(data!C:C, data!B:B, B25), 0)</f>
        <v>0</v>
      </c>
    </row>
    <row r="26" spans="1:10" x14ac:dyDescent="0.25">
      <c r="A26">
        <v>25</v>
      </c>
      <c r="B26" t="s">
        <v>448</v>
      </c>
      <c r="C26" t="s">
        <v>448</v>
      </c>
      <c r="D26" s="28" t="s">
        <v>344</v>
      </c>
      <c r="E26" s="68" t="s">
        <v>454</v>
      </c>
      <c r="F26" t="s">
        <v>440</v>
      </c>
      <c r="G26" s="31">
        <v>2024</v>
      </c>
      <c r="H26" s="73" t="s">
        <v>466</v>
      </c>
      <c r="I26">
        <f>_xlfn.MAXIFS(data!C:C, data!B:B, B26)</f>
        <v>1286.0999999999999</v>
      </c>
      <c r="J26">
        <f>MIN(_xlfn.MINIFS(data!C:C, data!B:B, B26), 0)</f>
        <v>0</v>
      </c>
    </row>
    <row r="27" spans="1:10" x14ac:dyDescent="0.25">
      <c r="A27">
        <v>26</v>
      </c>
      <c r="B27" t="s">
        <v>451</v>
      </c>
      <c r="C27" t="s">
        <v>449</v>
      </c>
      <c r="D27" s="28" t="s">
        <v>344</v>
      </c>
      <c r="E27" s="68" t="s">
        <v>456</v>
      </c>
      <c r="F27" t="s">
        <v>453</v>
      </c>
      <c r="G27" s="31">
        <v>2024</v>
      </c>
      <c r="H27" s="73" t="s">
        <v>466</v>
      </c>
      <c r="I27">
        <f>_xlfn.MAXIFS(data!C:C, data!B:B, B27)</f>
        <v>52.4</v>
      </c>
      <c r="J27">
        <f>MIN(_xlfn.MINIFS(data!C:C, data!B:B, B27), 0)</f>
        <v>0</v>
      </c>
    </row>
  </sheetData>
  <hyperlinks>
    <hyperlink ref="E5" r:id="rId1" xr:uid="{F18DB3DF-8A56-426A-BAB4-37498B778304}"/>
    <hyperlink ref="E2" r:id="rId2" xr:uid="{B1AF6A6D-8AD2-4EDF-BF2A-26FB45BED700}"/>
    <hyperlink ref="E3" r:id="rId3" xr:uid="{4F85155F-2AA6-4F88-923A-650A6F9E492B}"/>
    <hyperlink ref="E4" r:id="rId4" xr:uid="{702B4B74-11F4-4159-8B0F-1F5AE931570E}"/>
    <hyperlink ref="E6" r:id="rId5" xr:uid="{88FB2CF8-A41D-4106-A0EF-916762D7B578}"/>
    <hyperlink ref="E7" r:id="rId6" xr:uid="{8FB16510-8D42-4E9B-988D-CAB6FEFAE506}"/>
    <hyperlink ref="E8" r:id="rId7" xr:uid="{5362BC41-4D22-439D-8B7E-AA3992FAB520}"/>
    <hyperlink ref="E9" r:id="rId8" xr:uid="{96B7EA78-3A1C-4AAF-8F3C-81113FD4D468}"/>
    <hyperlink ref="E10" r:id="rId9" xr:uid="{7A5EB6AC-8CED-4BB6-A6BA-9641C9CD1D1B}"/>
    <hyperlink ref="E11" r:id="rId10" xr:uid="{686E144E-8E25-4D4C-802D-808CEBDD84FC}"/>
    <hyperlink ref="E12" r:id="rId11" xr:uid="{AC1A5A5C-2C24-4180-B02F-D039CCC70068}"/>
    <hyperlink ref="E13" r:id="rId12" xr:uid="{6DA888DB-0395-4ACD-90AD-775965FDD2F9}"/>
    <hyperlink ref="E14" r:id="rId13" xr:uid="{B6CE3030-9625-4449-98C8-5EF9A3EE46CB}"/>
    <hyperlink ref="E15" r:id="rId14" xr:uid="{F7FABB13-6546-487B-AD39-B84881F4C960}"/>
    <hyperlink ref="E17" r:id="rId15" xr:uid="{B3A059E9-9852-4EB4-BF04-5F0A01D327A1}"/>
    <hyperlink ref="E18" r:id="rId16" xr:uid="{ECA74730-B4C5-4394-B719-BAC0D70A1700}"/>
    <hyperlink ref="E19" r:id="rId17" xr:uid="{549D6DC6-E621-4646-AFA0-A434A2855B67}"/>
    <hyperlink ref="E20" r:id="rId18" xr:uid="{DE1BACD0-2969-4501-BC76-10E6C077E428}"/>
    <hyperlink ref="E16" r:id="rId19" xr:uid="{A4EABF23-EF75-4587-B8EE-507EBC715642}"/>
    <hyperlink ref="E21" r:id="rId20" xr:uid="{F9AD142D-B831-4909-9C20-88043A732302}"/>
    <hyperlink ref="E22" r:id="rId21" xr:uid="{8A1CE688-F9EF-49BB-B5EE-C115689B69BB}"/>
    <hyperlink ref="E23" r:id="rId22" xr:uid="{E5D9DEB0-E9EC-4F51-B831-B8F0847857D3}"/>
    <hyperlink ref="E24" r:id="rId23" xr:uid="{99A4A2D1-62B6-4994-B0F7-93135A182816}"/>
    <hyperlink ref="E25" r:id="rId24" xr:uid="{A9800CFC-4A77-4E64-8BF6-E867CBBF6DA5}"/>
    <hyperlink ref="E26" r:id="rId25" xr:uid="{75CE8275-D748-4DBD-B8AE-599C96A8D2BB}"/>
    <hyperlink ref="E27" r:id="rId26" xr:uid="{43A0AD93-8E23-4C49-B0D8-D69B18ED19F9}"/>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B7B542-DEE7-4515-9E74-74A34D50577E}">
  <dimension ref="A1:I32"/>
  <sheetViews>
    <sheetView workbookViewId="0">
      <selection activeCell="B34" sqref="B34"/>
    </sheetView>
  </sheetViews>
  <sheetFormatPr defaultRowHeight="15" x14ac:dyDescent="0.25"/>
  <cols>
    <col min="1" max="1" width="3" bestFit="1" customWidth="1"/>
    <col min="2" max="2" width="31.5703125" customWidth="1"/>
    <col min="3" max="3" width="63.5703125" bestFit="1" customWidth="1"/>
    <col min="4" max="4" width="5.140625" style="28" customWidth="1"/>
    <col min="5" max="5" width="16.42578125" customWidth="1"/>
    <col min="6" max="6" width="26.42578125" bestFit="1" customWidth="1"/>
    <col min="7" max="7" width="6.28515625" customWidth="1"/>
    <col min="8" max="8" width="28.85546875" bestFit="1" customWidth="1"/>
    <col min="9" max="9" width="15.42578125" bestFit="1" customWidth="1"/>
  </cols>
  <sheetData>
    <row r="1" spans="1:9" x14ac:dyDescent="0.25">
      <c r="A1" t="s">
        <v>7</v>
      </c>
      <c r="B1" t="s">
        <v>354</v>
      </c>
      <c r="C1" t="s">
        <v>355</v>
      </c>
      <c r="D1" s="28" t="s">
        <v>343</v>
      </c>
      <c r="E1" t="s">
        <v>225</v>
      </c>
      <c r="F1" t="s">
        <v>328</v>
      </c>
      <c r="G1" t="s">
        <v>319</v>
      </c>
      <c r="H1" t="s">
        <v>320</v>
      </c>
      <c r="I1" s="31" t="s">
        <v>321</v>
      </c>
    </row>
    <row r="2" spans="1:9" s="7" customFormat="1" x14ac:dyDescent="0.25">
      <c r="A2" s="7">
        <v>1</v>
      </c>
      <c r="B2" s="7" t="s">
        <v>324</v>
      </c>
      <c r="C2" s="11" t="s">
        <v>1</v>
      </c>
      <c r="D2" s="22" t="s">
        <v>344</v>
      </c>
      <c r="E2" s="8" t="s">
        <v>5</v>
      </c>
      <c r="F2" s="7" t="s">
        <v>349</v>
      </c>
      <c r="G2" s="7">
        <v>2024</v>
      </c>
      <c r="H2" s="7" t="s">
        <v>334</v>
      </c>
    </row>
    <row r="3" spans="1:9" s="22" customFormat="1" x14ac:dyDescent="0.25">
      <c r="A3" s="22">
        <v>2</v>
      </c>
      <c r="B3" s="22" t="s">
        <v>325</v>
      </c>
      <c r="C3" s="22" t="s">
        <v>3</v>
      </c>
      <c r="D3" s="22" t="s">
        <v>344</v>
      </c>
      <c r="E3" s="23" t="s">
        <v>226</v>
      </c>
      <c r="F3" s="22" t="s">
        <v>348</v>
      </c>
      <c r="G3" s="22">
        <v>2024</v>
      </c>
      <c r="H3" s="22" t="s">
        <v>335</v>
      </c>
    </row>
    <row r="4" spans="1:9" s="14" customFormat="1" x14ac:dyDescent="0.25">
      <c r="A4" s="14">
        <v>3</v>
      </c>
      <c r="B4" s="14" t="s">
        <v>326</v>
      </c>
      <c r="C4" s="15" t="s">
        <v>2</v>
      </c>
      <c r="D4" s="24" t="s">
        <v>344</v>
      </c>
      <c r="E4" s="16" t="s">
        <v>227</v>
      </c>
      <c r="F4" s="14" t="s">
        <v>350</v>
      </c>
      <c r="G4" s="14">
        <v>2024</v>
      </c>
      <c r="H4" s="14" t="s">
        <v>334</v>
      </c>
    </row>
    <row r="5" spans="1:9" s="24" customFormat="1" x14ac:dyDescent="0.25">
      <c r="A5" s="24">
        <v>4</v>
      </c>
      <c r="B5" s="24" t="s">
        <v>327</v>
      </c>
      <c r="C5" s="24" t="s">
        <v>4</v>
      </c>
      <c r="D5" s="24" t="s">
        <v>344</v>
      </c>
      <c r="E5" s="25" t="s">
        <v>228</v>
      </c>
      <c r="F5" s="24" t="s">
        <v>351</v>
      </c>
      <c r="G5" s="24">
        <v>2024</v>
      </c>
      <c r="H5" s="58" t="s">
        <v>455</v>
      </c>
    </row>
    <row r="6" spans="1:9" s="9" customFormat="1" x14ac:dyDescent="0.25">
      <c r="A6" s="9">
        <v>5</v>
      </c>
      <c r="B6" s="9" t="s">
        <v>329</v>
      </c>
      <c r="C6" s="13" t="s">
        <v>317</v>
      </c>
      <c r="D6" s="26" t="s">
        <v>344</v>
      </c>
      <c r="E6" s="10" t="s">
        <v>318</v>
      </c>
      <c r="F6" s="30" t="s">
        <v>349</v>
      </c>
      <c r="G6" s="38">
        <v>2023</v>
      </c>
      <c r="H6" s="9" t="s">
        <v>333</v>
      </c>
      <c r="I6" s="10"/>
    </row>
    <row r="7" spans="1:9" s="26" customFormat="1" x14ac:dyDescent="0.25">
      <c r="A7" s="26">
        <v>6</v>
      </c>
      <c r="B7" s="26" t="s">
        <v>330</v>
      </c>
      <c r="C7" s="26" t="s">
        <v>322</v>
      </c>
      <c r="D7" s="26" t="s">
        <v>344</v>
      </c>
      <c r="E7" s="27" t="s">
        <v>323</v>
      </c>
      <c r="F7" s="27" t="s">
        <v>380</v>
      </c>
      <c r="G7" s="39">
        <v>2023</v>
      </c>
      <c r="H7" s="58" t="s">
        <v>455</v>
      </c>
    </row>
    <row r="8" spans="1:9" s="17" customFormat="1" x14ac:dyDescent="0.25">
      <c r="A8" s="17">
        <v>7</v>
      </c>
      <c r="B8" s="17" t="s">
        <v>346</v>
      </c>
      <c r="C8" s="17" t="s">
        <v>331</v>
      </c>
      <c r="D8" s="29" t="s">
        <v>344</v>
      </c>
      <c r="E8" s="18" t="s">
        <v>332</v>
      </c>
      <c r="F8" s="17" t="s">
        <v>380</v>
      </c>
      <c r="G8" s="17">
        <v>2024</v>
      </c>
      <c r="H8" s="19" t="s">
        <v>352</v>
      </c>
    </row>
    <row r="9" spans="1:9" s="9" customFormat="1" x14ac:dyDescent="0.25">
      <c r="A9" s="9">
        <v>8</v>
      </c>
      <c r="B9" s="9" t="s">
        <v>347</v>
      </c>
      <c r="C9" s="9" t="s">
        <v>336</v>
      </c>
      <c r="D9" s="26" t="s">
        <v>344</v>
      </c>
      <c r="E9" s="10" t="s">
        <v>337</v>
      </c>
      <c r="F9" s="9" t="s">
        <v>380</v>
      </c>
      <c r="G9" s="9">
        <v>2024</v>
      </c>
      <c r="H9" s="9" t="s">
        <v>338</v>
      </c>
    </row>
    <row r="10" spans="1:9" s="17" customFormat="1" ht="31.5" x14ac:dyDescent="0.5">
      <c r="A10" s="17">
        <v>9</v>
      </c>
      <c r="B10" s="17" t="s">
        <v>339</v>
      </c>
      <c r="C10" s="17" t="s">
        <v>339</v>
      </c>
      <c r="D10" s="48" t="s">
        <v>345</v>
      </c>
      <c r="E10" s="21" t="s">
        <v>340</v>
      </c>
      <c r="F10" s="17" t="s">
        <v>380</v>
      </c>
      <c r="G10" s="47">
        <v>2015</v>
      </c>
      <c r="I10" s="57" t="s">
        <v>415</v>
      </c>
    </row>
    <row r="11" spans="1:9" s="9" customFormat="1" x14ac:dyDescent="0.25">
      <c r="A11" s="9">
        <v>10</v>
      </c>
      <c r="B11" s="9" t="s">
        <v>353</v>
      </c>
      <c r="C11" s="9" t="s">
        <v>341</v>
      </c>
      <c r="D11" s="26" t="s">
        <v>344</v>
      </c>
      <c r="E11" s="10" t="s">
        <v>342</v>
      </c>
      <c r="F11" s="9" t="s">
        <v>349</v>
      </c>
      <c r="G11" s="9">
        <v>2024</v>
      </c>
      <c r="H11" s="20" t="s">
        <v>352</v>
      </c>
    </row>
    <row r="12" spans="1:9" x14ac:dyDescent="0.25">
      <c r="B12" t="s">
        <v>357</v>
      </c>
      <c r="C12" t="s">
        <v>356</v>
      </c>
      <c r="D12" s="28" t="s">
        <v>344</v>
      </c>
      <c r="E12" s="6" t="s">
        <v>358</v>
      </c>
      <c r="F12" t="s">
        <v>379</v>
      </c>
      <c r="G12">
        <v>2024</v>
      </c>
    </row>
    <row r="13" spans="1:9" x14ac:dyDescent="0.25">
      <c r="B13" t="s">
        <v>360</v>
      </c>
      <c r="C13" t="s">
        <v>359</v>
      </c>
      <c r="D13" s="28" t="s">
        <v>344</v>
      </c>
      <c r="E13" s="6" t="s">
        <v>361</v>
      </c>
      <c r="F13" t="s">
        <v>380</v>
      </c>
      <c r="G13">
        <v>2024</v>
      </c>
    </row>
    <row r="14" spans="1:9" x14ac:dyDescent="0.25">
      <c r="B14" t="s">
        <v>457</v>
      </c>
      <c r="C14" t="s">
        <v>362</v>
      </c>
      <c r="D14" s="28" t="s">
        <v>344</v>
      </c>
      <c r="E14" s="6" t="s">
        <v>364</v>
      </c>
      <c r="F14" t="s">
        <v>380</v>
      </c>
      <c r="G14">
        <v>2024</v>
      </c>
      <c r="H14" t="s">
        <v>363</v>
      </c>
    </row>
    <row r="15" spans="1:9" x14ac:dyDescent="0.25">
      <c r="B15" t="s">
        <v>366</v>
      </c>
      <c r="C15" t="s">
        <v>365</v>
      </c>
      <c r="D15" s="28" t="s">
        <v>344</v>
      </c>
      <c r="E15" s="6" t="s">
        <v>367</v>
      </c>
      <c r="F15" t="s">
        <v>382</v>
      </c>
      <c r="G15" s="37">
        <v>2022</v>
      </c>
    </row>
    <row r="16" spans="1:9" x14ac:dyDescent="0.25">
      <c r="B16" t="s">
        <v>369</v>
      </c>
      <c r="C16" t="s">
        <v>368</v>
      </c>
      <c r="D16" s="28" t="s">
        <v>344</v>
      </c>
      <c r="E16" s="6" t="s">
        <v>371</v>
      </c>
      <c r="F16" t="s">
        <v>381</v>
      </c>
      <c r="G16" s="37">
        <v>2023</v>
      </c>
      <c r="H16" t="s">
        <v>370</v>
      </c>
    </row>
    <row r="17" spans="2:9" x14ac:dyDescent="0.25">
      <c r="B17" t="s">
        <v>373</v>
      </c>
      <c r="C17" t="s">
        <v>372</v>
      </c>
      <c r="D17" s="28" t="s">
        <v>344</v>
      </c>
      <c r="E17" s="6" t="s">
        <v>374</v>
      </c>
      <c r="F17" t="s">
        <v>380</v>
      </c>
      <c r="G17">
        <v>2024</v>
      </c>
    </row>
    <row r="18" spans="2:9" x14ac:dyDescent="0.25">
      <c r="B18" s="33" t="s">
        <v>376</v>
      </c>
      <c r="C18" s="33" t="s">
        <v>375</v>
      </c>
      <c r="D18" s="34" t="s">
        <v>344</v>
      </c>
      <c r="E18" s="35" t="s">
        <v>377</v>
      </c>
      <c r="F18" s="33" t="s">
        <v>9</v>
      </c>
      <c r="G18" s="33"/>
      <c r="H18" s="58" t="s">
        <v>455</v>
      </c>
      <c r="I18" s="32" t="s">
        <v>378</v>
      </c>
    </row>
    <row r="19" spans="2:9" x14ac:dyDescent="0.25">
      <c r="B19" t="s">
        <v>398</v>
      </c>
      <c r="C19" t="s">
        <v>399</v>
      </c>
      <c r="D19" s="28" t="s">
        <v>344</v>
      </c>
      <c r="E19" s="6" t="s">
        <v>400</v>
      </c>
      <c r="F19" t="s">
        <v>396</v>
      </c>
      <c r="G19">
        <v>2023</v>
      </c>
    </row>
    <row r="20" spans="2:9" x14ac:dyDescent="0.25">
      <c r="B20" t="s">
        <v>397</v>
      </c>
      <c r="C20" t="s">
        <v>383</v>
      </c>
      <c r="D20" s="28" t="s">
        <v>344</v>
      </c>
      <c r="E20" s="6" t="s">
        <v>384</v>
      </c>
      <c r="F20" t="s">
        <v>396</v>
      </c>
      <c r="G20" s="36">
        <v>2023</v>
      </c>
    </row>
    <row r="21" spans="2:9" x14ac:dyDescent="0.25">
      <c r="B21" t="s">
        <v>388</v>
      </c>
      <c r="C21" t="s">
        <v>387</v>
      </c>
      <c r="D21" s="28" t="s">
        <v>344</v>
      </c>
      <c r="E21" s="6" t="s">
        <v>389</v>
      </c>
      <c r="F21" t="s">
        <v>380</v>
      </c>
      <c r="G21" s="36">
        <v>2023</v>
      </c>
      <c r="H21" t="s">
        <v>386</v>
      </c>
    </row>
    <row r="22" spans="2:9" x14ac:dyDescent="0.25">
      <c r="B22" t="s">
        <v>391</v>
      </c>
      <c r="C22" t="s">
        <v>390</v>
      </c>
      <c r="D22" s="28" t="s">
        <v>344</v>
      </c>
      <c r="E22" s="6" t="s">
        <v>392</v>
      </c>
      <c r="F22" t="s">
        <v>380</v>
      </c>
      <c r="G22">
        <v>2023</v>
      </c>
      <c r="H22" t="s">
        <v>386</v>
      </c>
    </row>
    <row r="23" spans="2:9" s="41" customFormat="1" x14ac:dyDescent="0.25">
      <c r="B23" s="41" t="s">
        <v>394</v>
      </c>
      <c r="C23" s="41" t="s">
        <v>393</v>
      </c>
      <c r="D23" s="42" t="s">
        <v>344</v>
      </c>
      <c r="E23" s="43" t="s">
        <v>395</v>
      </c>
      <c r="F23" s="41" t="s">
        <v>380</v>
      </c>
      <c r="G23" s="41">
        <v>2023</v>
      </c>
      <c r="H23" s="41" t="s">
        <v>386</v>
      </c>
    </row>
    <row r="24" spans="2:9" x14ac:dyDescent="0.25">
      <c r="B24" t="s">
        <v>414</v>
      </c>
      <c r="C24" t="s">
        <v>401</v>
      </c>
      <c r="D24" s="28" t="s">
        <v>344</v>
      </c>
      <c r="E24" s="6" t="s">
        <v>402</v>
      </c>
      <c r="F24" t="s">
        <v>440</v>
      </c>
      <c r="G24" s="36">
        <v>2022</v>
      </c>
      <c r="H24" t="s">
        <v>403</v>
      </c>
    </row>
    <row r="25" spans="2:9" s="44" customFormat="1" x14ac:dyDescent="0.25">
      <c r="B25" s="44" t="s">
        <v>445</v>
      </c>
      <c r="C25" s="44" t="s">
        <v>404</v>
      </c>
      <c r="D25" s="45" t="s">
        <v>344</v>
      </c>
      <c r="E25" s="46" t="s">
        <v>405</v>
      </c>
      <c r="F25" s="44" t="s">
        <v>440</v>
      </c>
      <c r="G25" s="53">
        <v>2021</v>
      </c>
      <c r="H25" s="51"/>
    </row>
    <row r="26" spans="2:9" s="44" customFormat="1" x14ac:dyDescent="0.25">
      <c r="B26" s="44" t="s">
        <v>446</v>
      </c>
      <c r="C26" s="44" t="s">
        <v>406</v>
      </c>
      <c r="D26" s="45" t="s">
        <v>344</v>
      </c>
      <c r="E26" s="46" t="s">
        <v>407</v>
      </c>
      <c r="F26" s="44" t="s">
        <v>440</v>
      </c>
      <c r="G26" s="53">
        <v>2021</v>
      </c>
      <c r="H26" s="51"/>
      <c r="I26" s="52"/>
    </row>
    <row r="27" spans="2:9" x14ac:dyDescent="0.25">
      <c r="B27" t="s">
        <v>409</v>
      </c>
      <c r="C27" t="s">
        <v>408</v>
      </c>
      <c r="D27" s="28" t="s">
        <v>344</v>
      </c>
      <c r="E27" s="6" t="s">
        <v>410</v>
      </c>
      <c r="F27" t="s">
        <v>349</v>
      </c>
      <c r="G27" s="36">
        <v>2023</v>
      </c>
    </row>
    <row r="28" spans="2:9" x14ac:dyDescent="0.25">
      <c r="B28" t="s">
        <v>412</v>
      </c>
      <c r="C28" t="s">
        <v>411</v>
      </c>
      <c r="D28" s="28" t="s">
        <v>344</v>
      </c>
      <c r="E28" s="6" t="s">
        <v>413</v>
      </c>
      <c r="F28" t="s">
        <v>380</v>
      </c>
      <c r="G28" s="36">
        <v>2021</v>
      </c>
    </row>
    <row r="29" spans="2:9" x14ac:dyDescent="0.25">
      <c r="B29" t="s">
        <v>444</v>
      </c>
      <c r="C29" t="s">
        <v>443</v>
      </c>
      <c r="D29" s="28" t="s">
        <v>442</v>
      </c>
      <c r="E29" s="6" t="s">
        <v>441</v>
      </c>
      <c r="F29" t="s">
        <v>9</v>
      </c>
      <c r="G29" s="36">
        <v>2021</v>
      </c>
      <c r="H29" s="58" t="s">
        <v>447</v>
      </c>
    </row>
    <row r="30" spans="2:9" x14ac:dyDescent="0.25">
      <c r="B30" t="s">
        <v>448</v>
      </c>
      <c r="C30" t="s">
        <v>448</v>
      </c>
      <c r="D30" s="28" t="s">
        <v>344</v>
      </c>
      <c r="E30" s="6" t="s">
        <v>454</v>
      </c>
      <c r="F30" t="s">
        <v>440</v>
      </c>
      <c r="G30" s="31">
        <v>2024</v>
      </c>
    </row>
    <row r="31" spans="2:9" x14ac:dyDescent="0.25">
      <c r="B31" t="s">
        <v>451</v>
      </c>
      <c r="C31" t="s">
        <v>449</v>
      </c>
      <c r="D31" s="28" t="s">
        <v>344</v>
      </c>
      <c r="E31" s="6" t="s">
        <v>456</v>
      </c>
      <c r="F31" t="s">
        <v>453</v>
      </c>
      <c r="G31" s="31">
        <v>2024</v>
      </c>
    </row>
    <row r="32" spans="2:9" x14ac:dyDescent="0.25">
      <c r="B32" t="s">
        <v>452</v>
      </c>
      <c r="C32" t="s">
        <v>450</v>
      </c>
      <c r="D32" s="28" t="s">
        <v>344</v>
      </c>
      <c r="F32" t="s">
        <v>380</v>
      </c>
      <c r="G32" s="31">
        <v>2024</v>
      </c>
      <c r="H32" s="58" t="s">
        <v>455</v>
      </c>
    </row>
  </sheetData>
  <hyperlinks>
    <hyperlink ref="E6" r:id="rId1" xr:uid="{A215E549-98A6-4A4C-BA7D-F5B1422D6916}"/>
    <hyperlink ref="E7" r:id="rId2" xr:uid="{8D1BD04A-AD63-44ED-B0BF-A2AAB7257D47}"/>
    <hyperlink ref="E2" r:id="rId3" xr:uid="{294AB6B2-01E5-4017-861C-DE032CCB0E86}"/>
    <hyperlink ref="E3" r:id="rId4" xr:uid="{D8F8C4DD-78DC-4764-81A9-0D46992A0B8F}"/>
    <hyperlink ref="E4" r:id="rId5" xr:uid="{8B443A4E-3B09-4979-A6DA-DF0444492F0F}"/>
    <hyperlink ref="E5" r:id="rId6" xr:uid="{62522D16-A321-4D64-AB0E-D450C00D2357}"/>
    <hyperlink ref="E8" r:id="rId7" xr:uid="{BBD55BED-76C7-4533-9F4F-6E6EC06FD237}"/>
    <hyperlink ref="E9" r:id="rId8" xr:uid="{988FCC49-3C3B-4537-B092-DF3A4E76B275}"/>
    <hyperlink ref="E10" r:id="rId9" xr:uid="{74CC75D1-7984-4F74-AD73-596B91DC6EA1}"/>
    <hyperlink ref="E11" r:id="rId10" xr:uid="{4366A384-FAB0-45EE-9B0E-90C9CCA70A0A}"/>
    <hyperlink ref="E12" r:id="rId11" xr:uid="{3916C6F4-7A28-473D-8F2F-3169A8D1F9B4}"/>
    <hyperlink ref="E13" r:id="rId12" xr:uid="{105DBF24-3CB9-45D8-8B31-E9F2564BF499}"/>
    <hyperlink ref="E14" r:id="rId13" xr:uid="{79012CAD-414F-42F2-B130-2883FDC7D3B0}"/>
    <hyperlink ref="E15" r:id="rId14" xr:uid="{F67447E7-797E-4E01-9B7C-843DFF3E0186}"/>
    <hyperlink ref="E16" r:id="rId15" xr:uid="{FCA7E4BA-67AC-41D6-8D66-C79E5A19F6FE}"/>
    <hyperlink ref="E17" r:id="rId16" xr:uid="{C4684CD4-504D-4BB0-B526-C36AD3ABAFAF}"/>
    <hyperlink ref="E18" r:id="rId17" xr:uid="{1EF28A25-726B-47D0-BE5C-D9A4DB343E81}"/>
    <hyperlink ref="E20" r:id="rId18" xr:uid="{069ED600-8700-4945-B443-162B20707524}"/>
    <hyperlink ref="E21" r:id="rId19" xr:uid="{893A788F-FE9B-4CF5-BA81-F1E86625BAB6}"/>
    <hyperlink ref="E22" r:id="rId20" xr:uid="{29997383-0FCC-45D5-9BDB-C02180D09849}"/>
    <hyperlink ref="E23" r:id="rId21" xr:uid="{45C53736-5449-4C35-8CDC-D38F5E5C634C}"/>
    <hyperlink ref="E19" r:id="rId22" xr:uid="{913A3D17-D2E8-4B5F-A20E-C026356BA3C7}"/>
    <hyperlink ref="E24" r:id="rId23" xr:uid="{8793A949-62EA-4F34-8B30-6C53F7CCC762}"/>
    <hyperlink ref="E25" r:id="rId24" xr:uid="{FD5845CB-60F3-463D-8442-3D269C9056B2}"/>
    <hyperlink ref="E26" r:id="rId25" xr:uid="{93F858D1-4FA3-41BF-99EF-52D7836D3D74}"/>
    <hyperlink ref="E27" r:id="rId26" xr:uid="{79AE0793-B8C3-430E-B654-3227E27D3435}"/>
    <hyperlink ref="E28" r:id="rId27" xr:uid="{9FC5FE28-D51D-4E89-B580-1C2D3837B360}"/>
    <hyperlink ref="E29" r:id="rId28" xr:uid="{248F06A6-AB24-43A3-BFDA-3D91CA8226B0}"/>
    <hyperlink ref="E30" r:id="rId29" xr:uid="{6A8960CC-4DA7-4CB4-B73B-E7B4718A6168}"/>
    <hyperlink ref="E31" r:id="rId30" xr:uid="{3DD292A4-6F98-4A5D-8DA7-2153AD25A608}"/>
  </hyperlinks>
  <pageMargins left="0.7" right="0.7" top="0.75" bottom="0.75" header="0.3" footer="0.3"/>
  <legacyDrawing r:id="rId3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08ABF8-DAE2-459E-8FCC-7FB1C90004BF}">
  <sheetPr>
    <tabColor rgb="FFFFFF00"/>
  </sheetPr>
  <dimension ref="A1:A241"/>
  <sheetViews>
    <sheetView tabSelected="1" topLeftCell="A103" workbookViewId="0">
      <selection activeCell="A243" sqref="A243"/>
    </sheetView>
  </sheetViews>
  <sheetFormatPr defaultRowHeight="15" x14ac:dyDescent="0.25"/>
  <cols>
    <col min="1" max="1" width="31.140625" bestFit="1" customWidth="1"/>
  </cols>
  <sheetData>
    <row r="1" spans="1:1" x14ac:dyDescent="0.25">
      <c r="A1" s="59" t="s">
        <v>8</v>
      </c>
    </row>
    <row r="2" spans="1:1" x14ac:dyDescent="0.25">
      <c r="A2" s="60" t="s">
        <v>11</v>
      </c>
    </row>
    <row r="3" spans="1:1" x14ac:dyDescent="0.25">
      <c r="A3" s="60" t="s">
        <v>13</v>
      </c>
    </row>
    <row r="4" spans="1:1" x14ac:dyDescent="0.25">
      <c r="A4" s="60" t="s">
        <v>65</v>
      </c>
    </row>
    <row r="5" spans="1:1" x14ac:dyDescent="0.25">
      <c r="A5" s="60" t="s">
        <v>18</v>
      </c>
    </row>
    <row r="6" spans="1:1" x14ac:dyDescent="0.25">
      <c r="A6" s="60" t="s">
        <v>14</v>
      </c>
    </row>
    <row r="7" spans="1:1" x14ac:dyDescent="0.25">
      <c r="A7" s="60" t="s">
        <v>12</v>
      </c>
    </row>
    <row r="8" spans="1:1" x14ac:dyDescent="0.25">
      <c r="A8" s="60" t="s">
        <v>416</v>
      </c>
    </row>
    <row r="9" spans="1:1" x14ac:dyDescent="0.25">
      <c r="A9" s="60" t="s">
        <v>19</v>
      </c>
    </row>
    <row r="10" spans="1:1" x14ac:dyDescent="0.25">
      <c r="A10" s="60" t="s">
        <v>16</v>
      </c>
    </row>
    <row r="11" spans="1:1" x14ac:dyDescent="0.25">
      <c r="A11" s="60" t="s">
        <v>17</v>
      </c>
    </row>
    <row r="12" spans="1:1" x14ac:dyDescent="0.25">
      <c r="A12" s="60" t="s">
        <v>10</v>
      </c>
    </row>
    <row r="13" spans="1:1" x14ac:dyDescent="0.25">
      <c r="A13" s="60" t="s">
        <v>20</v>
      </c>
    </row>
    <row r="14" spans="1:1" x14ac:dyDescent="0.25">
      <c r="A14" s="60" t="s">
        <v>21</v>
      </c>
    </row>
    <row r="15" spans="1:1" x14ac:dyDescent="0.25">
      <c r="A15" s="60" t="s">
        <v>22</v>
      </c>
    </row>
    <row r="16" spans="1:1" x14ac:dyDescent="0.25">
      <c r="A16" s="60" t="s">
        <v>30</v>
      </c>
    </row>
    <row r="17" spans="1:1" x14ac:dyDescent="0.25">
      <c r="A17" s="60" t="s">
        <v>29</v>
      </c>
    </row>
    <row r="18" spans="1:1" x14ac:dyDescent="0.25">
      <c r="A18" s="60" t="s">
        <v>27</v>
      </c>
    </row>
    <row r="19" spans="1:1" x14ac:dyDescent="0.25">
      <c r="A19" s="60" t="s">
        <v>37</v>
      </c>
    </row>
    <row r="20" spans="1:1" x14ac:dyDescent="0.25">
      <c r="A20" s="60" t="s">
        <v>32</v>
      </c>
    </row>
    <row r="21" spans="1:1" x14ac:dyDescent="0.25">
      <c r="A21" s="60" t="s">
        <v>24</v>
      </c>
    </row>
    <row r="22" spans="1:1" x14ac:dyDescent="0.25">
      <c r="A22" s="60" t="s">
        <v>33</v>
      </c>
    </row>
    <row r="23" spans="1:1" x14ac:dyDescent="0.25">
      <c r="A23" s="60" t="s">
        <v>25</v>
      </c>
    </row>
    <row r="24" spans="1:1" x14ac:dyDescent="0.25">
      <c r="A24" s="60" t="s">
        <v>34</v>
      </c>
    </row>
    <row r="25" spans="1:1" x14ac:dyDescent="0.25">
      <c r="A25" s="60" t="s">
        <v>39</v>
      </c>
    </row>
    <row r="26" spans="1:1" x14ac:dyDescent="0.25">
      <c r="A26" s="60" t="s">
        <v>35</v>
      </c>
    </row>
    <row r="27" spans="1:1" x14ac:dyDescent="0.25">
      <c r="A27" s="60" t="s">
        <v>31</v>
      </c>
    </row>
    <row r="28" spans="1:1" x14ac:dyDescent="0.25">
      <c r="A28" s="60" t="s">
        <v>40</v>
      </c>
    </row>
    <row r="29" spans="1:1" x14ac:dyDescent="0.25">
      <c r="A29" s="60" t="s">
        <v>36</v>
      </c>
    </row>
    <row r="30" spans="1:1" x14ac:dyDescent="0.25">
      <c r="A30" s="60" t="s">
        <v>38</v>
      </c>
    </row>
    <row r="31" spans="1:1" x14ac:dyDescent="0.25">
      <c r="A31" s="60" t="s">
        <v>28</v>
      </c>
    </row>
    <row r="32" spans="1:1" x14ac:dyDescent="0.25">
      <c r="A32" s="60" t="s">
        <v>26</v>
      </c>
    </row>
    <row r="33" spans="1:1" x14ac:dyDescent="0.25">
      <c r="A33" s="60" t="s">
        <v>23</v>
      </c>
    </row>
    <row r="34" spans="1:1" x14ac:dyDescent="0.25">
      <c r="A34" s="60" t="s">
        <v>53</v>
      </c>
    </row>
    <row r="35" spans="1:1" x14ac:dyDescent="0.25">
      <c r="A35" s="60" t="s">
        <v>110</v>
      </c>
    </row>
    <row r="36" spans="1:1" x14ac:dyDescent="0.25">
      <c r="A36" s="60" t="s">
        <v>48</v>
      </c>
    </row>
    <row r="37" spans="1:1" x14ac:dyDescent="0.25">
      <c r="A37" s="60" t="s">
        <v>42</v>
      </c>
    </row>
    <row r="38" spans="1:1" x14ac:dyDescent="0.25">
      <c r="A38" s="60" t="s">
        <v>57</v>
      </c>
    </row>
    <row r="39" spans="1:1" x14ac:dyDescent="0.25">
      <c r="A39" s="60" t="s">
        <v>41</v>
      </c>
    </row>
    <row r="40" spans="1:1" x14ac:dyDescent="0.25">
      <c r="A40" s="60" t="s">
        <v>194</v>
      </c>
    </row>
    <row r="41" spans="1:1" x14ac:dyDescent="0.25">
      <c r="A41" s="60" t="s">
        <v>44</v>
      </c>
    </row>
    <row r="42" spans="1:1" x14ac:dyDescent="0.25">
      <c r="A42" s="60" t="s">
        <v>45</v>
      </c>
    </row>
    <row r="43" spans="1:1" x14ac:dyDescent="0.25">
      <c r="A43" s="60" t="s">
        <v>46</v>
      </c>
    </row>
    <row r="44" spans="1:1" x14ac:dyDescent="0.25">
      <c r="A44" s="60" t="s">
        <v>417</v>
      </c>
    </row>
    <row r="45" spans="1:1" x14ac:dyDescent="0.25">
      <c r="A45" s="60" t="s">
        <v>51</v>
      </c>
    </row>
    <row r="46" spans="1:1" x14ac:dyDescent="0.25">
      <c r="A46" s="60" t="s">
        <v>52</v>
      </c>
    </row>
    <row r="47" spans="1:1" x14ac:dyDescent="0.25">
      <c r="A47" s="60" t="s">
        <v>49</v>
      </c>
    </row>
    <row r="48" spans="1:1" x14ac:dyDescent="0.25">
      <c r="A48" s="60" t="s">
        <v>418</v>
      </c>
    </row>
    <row r="49" spans="1:1" x14ac:dyDescent="0.25">
      <c r="A49" s="60" t="s">
        <v>50</v>
      </c>
    </row>
    <row r="50" spans="1:1" x14ac:dyDescent="0.25">
      <c r="A50" s="60" t="s">
        <v>419</v>
      </c>
    </row>
    <row r="51" spans="1:1" x14ac:dyDescent="0.25">
      <c r="A51" s="60" t="s">
        <v>54</v>
      </c>
    </row>
    <row r="52" spans="1:1" x14ac:dyDescent="0.25">
      <c r="A52" s="60" t="s">
        <v>47</v>
      </c>
    </row>
    <row r="53" spans="1:1" x14ac:dyDescent="0.25">
      <c r="A53" s="60" t="s">
        <v>421</v>
      </c>
    </row>
    <row r="54" spans="1:1" x14ac:dyDescent="0.25">
      <c r="A54" s="60" t="s">
        <v>92</v>
      </c>
    </row>
    <row r="55" spans="1:1" x14ac:dyDescent="0.25">
      <c r="A55" s="60" t="s">
        <v>55</v>
      </c>
    </row>
    <row r="56" spans="1:1" x14ac:dyDescent="0.25">
      <c r="A56" s="60" t="s">
        <v>56</v>
      </c>
    </row>
    <row r="57" spans="1:1" x14ac:dyDescent="0.25">
      <c r="A57" s="60" t="s">
        <v>58</v>
      </c>
    </row>
    <row r="58" spans="1:1" x14ac:dyDescent="0.25">
      <c r="A58" s="60" t="s">
        <v>420</v>
      </c>
    </row>
    <row r="59" spans="1:1" x14ac:dyDescent="0.25">
      <c r="A59" s="60" t="s">
        <v>59</v>
      </c>
    </row>
    <row r="60" spans="1:1" x14ac:dyDescent="0.25">
      <c r="A60" s="60" t="s">
        <v>63</v>
      </c>
    </row>
    <row r="61" spans="1:1" x14ac:dyDescent="0.25">
      <c r="A61" s="60" t="s">
        <v>61</v>
      </c>
    </row>
    <row r="62" spans="1:1" x14ac:dyDescent="0.25">
      <c r="A62" s="60" t="s">
        <v>62</v>
      </c>
    </row>
    <row r="63" spans="1:1" x14ac:dyDescent="0.25">
      <c r="A63" s="60" t="s">
        <v>64</v>
      </c>
    </row>
    <row r="64" spans="1:1" x14ac:dyDescent="0.25">
      <c r="A64" s="60" t="s">
        <v>66</v>
      </c>
    </row>
    <row r="65" spans="1:1" x14ac:dyDescent="0.25">
      <c r="A65" s="60" t="s">
        <v>422</v>
      </c>
    </row>
    <row r="66" spans="1:1" x14ac:dyDescent="0.25">
      <c r="A66" s="60" t="s">
        <v>67</v>
      </c>
    </row>
    <row r="67" spans="1:1" x14ac:dyDescent="0.25">
      <c r="A67" s="60" t="s">
        <v>179</v>
      </c>
    </row>
    <row r="68" spans="1:1" x14ac:dyDescent="0.25">
      <c r="A68" s="60" t="s">
        <v>83</v>
      </c>
    </row>
    <row r="69" spans="1:1" x14ac:dyDescent="0.25">
      <c r="A69" s="60" t="s">
        <v>224</v>
      </c>
    </row>
    <row r="70" spans="1:1" x14ac:dyDescent="0.25">
      <c r="A70" s="60" t="s">
        <v>69</v>
      </c>
    </row>
    <row r="71" spans="1:1" x14ac:dyDescent="0.25">
      <c r="A71" s="60" t="s">
        <v>189</v>
      </c>
    </row>
    <row r="72" spans="1:1" x14ac:dyDescent="0.25">
      <c r="A72" s="60" t="s">
        <v>70</v>
      </c>
    </row>
    <row r="73" spans="1:1" x14ac:dyDescent="0.25">
      <c r="A73" s="60" t="s">
        <v>74</v>
      </c>
    </row>
    <row r="74" spans="1:1" x14ac:dyDescent="0.25">
      <c r="A74" s="60" t="s">
        <v>72</v>
      </c>
    </row>
    <row r="75" spans="1:1" x14ac:dyDescent="0.25">
      <c r="A75" s="60" t="s">
        <v>71</v>
      </c>
    </row>
    <row r="76" spans="1:1" x14ac:dyDescent="0.25">
      <c r="A76" s="60" t="s">
        <v>73</v>
      </c>
    </row>
    <row r="77" spans="1:1" x14ac:dyDescent="0.25">
      <c r="A77" s="60" t="s">
        <v>168</v>
      </c>
    </row>
    <row r="78" spans="1:1" x14ac:dyDescent="0.25">
      <c r="A78" s="60" t="s">
        <v>76</v>
      </c>
    </row>
    <row r="79" spans="1:1" x14ac:dyDescent="0.25">
      <c r="A79" s="60" t="s">
        <v>81</v>
      </c>
    </row>
    <row r="80" spans="1:1" x14ac:dyDescent="0.25">
      <c r="A80" s="60" t="s">
        <v>78</v>
      </c>
    </row>
    <row r="81" spans="1:1" x14ac:dyDescent="0.25">
      <c r="A81" s="60" t="s">
        <v>60</v>
      </c>
    </row>
    <row r="82" spans="1:1" x14ac:dyDescent="0.25">
      <c r="A82" s="60" t="s">
        <v>79</v>
      </c>
    </row>
    <row r="83" spans="1:1" x14ac:dyDescent="0.25">
      <c r="A83" s="60" t="s">
        <v>84</v>
      </c>
    </row>
    <row r="84" spans="1:1" x14ac:dyDescent="0.25">
      <c r="A84" s="60" t="s">
        <v>86</v>
      </c>
    </row>
    <row r="85" spans="1:1" x14ac:dyDescent="0.25">
      <c r="A85" s="60" t="s">
        <v>85</v>
      </c>
    </row>
    <row r="86" spans="1:1" x14ac:dyDescent="0.25">
      <c r="A86" s="60" t="s">
        <v>88</v>
      </c>
    </row>
    <row r="87" spans="1:1" x14ac:dyDescent="0.25">
      <c r="A87" s="60" t="s">
        <v>87</v>
      </c>
    </row>
    <row r="88" spans="1:1" x14ac:dyDescent="0.25">
      <c r="A88" s="60" t="s">
        <v>80</v>
      </c>
    </row>
    <row r="89" spans="1:1" x14ac:dyDescent="0.25">
      <c r="A89" s="60" t="s">
        <v>82</v>
      </c>
    </row>
    <row r="90" spans="1:1" x14ac:dyDescent="0.25">
      <c r="A90" s="60" t="s">
        <v>89</v>
      </c>
    </row>
    <row r="91" spans="1:1" x14ac:dyDescent="0.25">
      <c r="A91" s="60" t="s">
        <v>93</v>
      </c>
    </row>
    <row r="92" spans="1:1" x14ac:dyDescent="0.25">
      <c r="A92" s="60" t="s">
        <v>91</v>
      </c>
    </row>
    <row r="93" spans="1:1" x14ac:dyDescent="0.25">
      <c r="A93" s="60" t="s">
        <v>423</v>
      </c>
    </row>
    <row r="94" spans="1:1" x14ac:dyDescent="0.25">
      <c r="A94" s="60" t="s">
        <v>90</v>
      </c>
    </row>
    <row r="95" spans="1:1" x14ac:dyDescent="0.25">
      <c r="A95" s="60" t="s">
        <v>94</v>
      </c>
    </row>
    <row r="96" spans="1:1" x14ac:dyDescent="0.25">
      <c r="A96" s="60" t="s">
        <v>101</v>
      </c>
    </row>
    <row r="97" spans="1:1" x14ac:dyDescent="0.25">
      <c r="A97" s="60" t="s">
        <v>97</v>
      </c>
    </row>
    <row r="98" spans="1:1" x14ac:dyDescent="0.25">
      <c r="A98" s="60" t="s">
        <v>95</v>
      </c>
    </row>
    <row r="99" spans="1:1" x14ac:dyDescent="0.25">
      <c r="A99" s="60" t="s">
        <v>424</v>
      </c>
    </row>
    <row r="100" spans="1:1" x14ac:dyDescent="0.25">
      <c r="A100" s="60" t="s">
        <v>99</v>
      </c>
    </row>
    <row r="101" spans="1:1" x14ac:dyDescent="0.25">
      <c r="A101" s="60" t="s">
        <v>100</v>
      </c>
    </row>
    <row r="102" spans="1:1" x14ac:dyDescent="0.25">
      <c r="A102" s="60" t="s">
        <v>98</v>
      </c>
    </row>
    <row r="103" spans="1:1" x14ac:dyDescent="0.25">
      <c r="A103" s="60" t="s">
        <v>96</v>
      </c>
    </row>
    <row r="104" spans="1:1" x14ac:dyDescent="0.25">
      <c r="A104" s="60" t="s">
        <v>102</v>
      </c>
    </row>
    <row r="105" spans="1:1" x14ac:dyDescent="0.25">
      <c r="A105" s="60" t="s">
        <v>103</v>
      </c>
    </row>
    <row r="106" spans="1:1" x14ac:dyDescent="0.25">
      <c r="A106" s="60" t="s">
        <v>104</v>
      </c>
    </row>
    <row r="107" spans="1:1" x14ac:dyDescent="0.25">
      <c r="A107" s="60" t="s">
        <v>106</v>
      </c>
    </row>
    <row r="108" spans="1:1" x14ac:dyDescent="0.25">
      <c r="A108" s="60" t="s">
        <v>105</v>
      </c>
    </row>
    <row r="109" spans="1:1" x14ac:dyDescent="0.25">
      <c r="A109" s="60" t="s">
        <v>107</v>
      </c>
    </row>
    <row r="110" spans="1:1" x14ac:dyDescent="0.25">
      <c r="A110" s="60" t="s">
        <v>108</v>
      </c>
    </row>
    <row r="111" spans="1:1" x14ac:dyDescent="0.25">
      <c r="A111" s="60" t="s">
        <v>111</v>
      </c>
    </row>
    <row r="112" spans="1:1" x14ac:dyDescent="0.25">
      <c r="A112" s="60" t="s">
        <v>385</v>
      </c>
    </row>
    <row r="113" spans="1:1" x14ac:dyDescent="0.25">
      <c r="A113" s="60" t="s">
        <v>113</v>
      </c>
    </row>
    <row r="114" spans="1:1" x14ac:dyDescent="0.25">
      <c r="A114" s="60" t="s">
        <v>425</v>
      </c>
    </row>
    <row r="115" spans="1:1" x14ac:dyDescent="0.25">
      <c r="A115" s="60" t="s">
        <v>216</v>
      </c>
    </row>
    <row r="116" spans="1:1" x14ac:dyDescent="0.25">
      <c r="A116" s="60" t="s">
        <v>114</v>
      </c>
    </row>
    <row r="117" spans="1:1" x14ac:dyDescent="0.25">
      <c r="A117" s="60" t="s">
        <v>109</v>
      </c>
    </row>
    <row r="118" spans="1:1" x14ac:dyDescent="0.25">
      <c r="A118" s="60" t="s">
        <v>426</v>
      </c>
    </row>
    <row r="119" spans="1:1" x14ac:dyDescent="0.25">
      <c r="A119" s="60" t="s">
        <v>115</v>
      </c>
    </row>
    <row r="120" spans="1:1" x14ac:dyDescent="0.25">
      <c r="A120" s="60" t="s">
        <v>125</v>
      </c>
    </row>
    <row r="121" spans="1:1" x14ac:dyDescent="0.25">
      <c r="A121" s="60" t="s">
        <v>116</v>
      </c>
    </row>
    <row r="122" spans="1:1" x14ac:dyDescent="0.25">
      <c r="A122" s="60" t="s">
        <v>122</v>
      </c>
    </row>
    <row r="123" spans="1:1" x14ac:dyDescent="0.25">
      <c r="A123" s="60" t="s">
        <v>117</v>
      </c>
    </row>
    <row r="124" spans="1:1" x14ac:dyDescent="0.25">
      <c r="A124" s="60" t="s">
        <v>118</v>
      </c>
    </row>
    <row r="125" spans="1:1" x14ac:dyDescent="0.25">
      <c r="A125" s="60" t="s">
        <v>120</v>
      </c>
    </row>
    <row r="126" spans="1:1" x14ac:dyDescent="0.25">
      <c r="A126" s="60" t="s">
        <v>123</v>
      </c>
    </row>
    <row r="127" spans="1:1" x14ac:dyDescent="0.25">
      <c r="A127" s="60" t="s">
        <v>124</v>
      </c>
    </row>
    <row r="128" spans="1:1" x14ac:dyDescent="0.25">
      <c r="A128" s="60" t="s">
        <v>126</v>
      </c>
    </row>
    <row r="129" spans="1:1" x14ac:dyDescent="0.25">
      <c r="A129" s="60" t="s">
        <v>130</v>
      </c>
    </row>
    <row r="130" spans="1:1" x14ac:dyDescent="0.25">
      <c r="A130" s="60" t="s">
        <v>144</v>
      </c>
    </row>
    <row r="131" spans="1:1" x14ac:dyDescent="0.25">
      <c r="A131" s="60" t="s">
        <v>145</v>
      </c>
    </row>
    <row r="132" spans="1:1" x14ac:dyDescent="0.25">
      <c r="A132" s="60" t="s">
        <v>131</v>
      </c>
    </row>
    <row r="133" spans="1:1" x14ac:dyDescent="0.25">
      <c r="A133" s="60" t="s">
        <v>135</v>
      </c>
    </row>
    <row r="134" spans="1:1" x14ac:dyDescent="0.25">
      <c r="A134" s="60" t="s">
        <v>136</v>
      </c>
    </row>
    <row r="135" spans="1:1" x14ac:dyDescent="0.25">
      <c r="A135" s="60" t="s">
        <v>133</v>
      </c>
    </row>
    <row r="136" spans="1:1" x14ac:dyDescent="0.25">
      <c r="A136" s="60" t="s">
        <v>142</v>
      </c>
    </row>
    <row r="137" spans="1:1" x14ac:dyDescent="0.25">
      <c r="A137" s="60" t="s">
        <v>143</v>
      </c>
    </row>
    <row r="138" spans="1:1" x14ac:dyDescent="0.25">
      <c r="A138" s="60" t="s">
        <v>132</v>
      </c>
    </row>
    <row r="139" spans="1:1" x14ac:dyDescent="0.25">
      <c r="A139" s="60" t="s">
        <v>427</v>
      </c>
    </row>
    <row r="140" spans="1:1" x14ac:dyDescent="0.25">
      <c r="A140" s="60" t="s">
        <v>75</v>
      </c>
    </row>
    <row r="141" spans="1:1" x14ac:dyDescent="0.25">
      <c r="A141" s="60" t="s">
        <v>129</v>
      </c>
    </row>
    <row r="142" spans="1:1" x14ac:dyDescent="0.25">
      <c r="A142" s="60" t="s">
        <v>128</v>
      </c>
    </row>
    <row r="143" spans="1:1" x14ac:dyDescent="0.25">
      <c r="A143" s="60" t="s">
        <v>139</v>
      </c>
    </row>
    <row r="144" spans="1:1" x14ac:dyDescent="0.25">
      <c r="A144" s="60" t="s">
        <v>138</v>
      </c>
    </row>
    <row r="145" spans="1:1" x14ac:dyDescent="0.25">
      <c r="A145" s="60" t="s">
        <v>127</v>
      </c>
    </row>
    <row r="146" spans="1:1" x14ac:dyDescent="0.25">
      <c r="A146" s="60" t="s">
        <v>141</v>
      </c>
    </row>
    <row r="147" spans="1:1" x14ac:dyDescent="0.25">
      <c r="A147" s="60" t="s">
        <v>137</v>
      </c>
    </row>
    <row r="148" spans="1:1" x14ac:dyDescent="0.25">
      <c r="A148" s="60" t="s">
        <v>146</v>
      </c>
    </row>
    <row r="149" spans="1:1" x14ac:dyDescent="0.25">
      <c r="A149" s="60" t="s">
        <v>154</v>
      </c>
    </row>
    <row r="150" spans="1:1" x14ac:dyDescent="0.25">
      <c r="A150" s="60" t="s">
        <v>153</v>
      </c>
    </row>
    <row r="151" spans="1:1" x14ac:dyDescent="0.25">
      <c r="A151" s="60" t="s">
        <v>151</v>
      </c>
    </row>
    <row r="152" spans="1:1" x14ac:dyDescent="0.25">
      <c r="A152" s="60" t="s">
        <v>147</v>
      </c>
    </row>
    <row r="153" spans="1:1" x14ac:dyDescent="0.25">
      <c r="A153" s="60" t="s">
        <v>155</v>
      </c>
    </row>
    <row r="154" spans="1:1" x14ac:dyDescent="0.25">
      <c r="A154" s="60" t="s">
        <v>150</v>
      </c>
    </row>
    <row r="155" spans="1:1" x14ac:dyDescent="0.25">
      <c r="A155" s="60" t="s">
        <v>148</v>
      </c>
    </row>
    <row r="156" spans="1:1" x14ac:dyDescent="0.25">
      <c r="A156" s="60" t="s">
        <v>149</v>
      </c>
    </row>
    <row r="157" spans="1:1" x14ac:dyDescent="0.25">
      <c r="A157" s="60" t="s">
        <v>134</v>
      </c>
    </row>
    <row r="158" spans="1:1" x14ac:dyDescent="0.25">
      <c r="A158" s="60" t="s">
        <v>428</v>
      </c>
    </row>
    <row r="159" spans="1:1" x14ac:dyDescent="0.25">
      <c r="A159" s="60" t="s">
        <v>140</v>
      </c>
    </row>
    <row r="160" spans="1:1" x14ac:dyDescent="0.25">
      <c r="A160" s="60" t="s">
        <v>152</v>
      </c>
    </row>
    <row r="161" spans="1:1" x14ac:dyDescent="0.25">
      <c r="A161" s="60" t="s">
        <v>156</v>
      </c>
    </row>
    <row r="162" spans="1:1" x14ac:dyDescent="0.25">
      <c r="A162" s="60" t="s">
        <v>157</v>
      </c>
    </row>
    <row r="163" spans="1:1" x14ac:dyDescent="0.25">
      <c r="A163" s="60" t="s">
        <v>161</v>
      </c>
    </row>
    <row r="164" spans="1:1" x14ac:dyDescent="0.25">
      <c r="A164" s="60" t="s">
        <v>158</v>
      </c>
    </row>
    <row r="165" spans="1:1" x14ac:dyDescent="0.25">
      <c r="A165" s="60" t="s">
        <v>162</v>
      </c>
    </row>
    <row r="166" spans="1:1" x14ac:dyDescent="0.25">
      <c r="A166" s="60" t="s">
        <v>166</v>
      </c>
    </row>
    <row r="167" spans="1:1" x14ac:dyDescent="0.25">
      <c r="A167" s="60" t="s">
        <v>159</v>
      </c>
    </row>
    <row r="168" spans="1:1" x14ac:dyDescent="0.25">
      <c r="A168" s="60" t="s">
        <v>160</v>
      </c>
    </row>
    <row r="169" spans="1:1" x14ac:dyDescent="0.25">
      <c r="A169" s="60" t="s">
        <v>163</v>
      </c>
    </row>
    <row r="170" spans="1:1" x14ac:dyDescent="0.25">
      <c r="A170" s="60" t="s">
        <v>165</v>
      </c>
    </row>
    <row r="171" spans="1:1" x14ac:dyDescent="0.25">
      <c r="A171" s="60" t="s">
        <v>429</v>
      </c>
    </row>
    <row r="172" spans="1:1" x14ac:dyDescent="0.25">
      <c r="A172" s="60" t="s">
        <v>164</v>
      </c>
    </row>
    <row r="173" spans="1:1" x14ac:dyDescent="0.25">
      <c r="A173" s="60" t="s">
        <v>169</v>
      </c>
    </row>
    <row r="174" spans="1:1" x14ac:dyDescent="0.25">
      <c r="A174" s="60" t="s">
        <v>170</v>
      </c>
    </row>
    <row r="175" spans="1:1" x14ac:dyDescent="0.25">
      <c r="A175" s="60" t="s">
        <v>171</v>
      </c>
    </row>
    <row r="176" spans="1:1" x14ac:dyDescent="0.25">
      <c r="A176" s="60" t="s">
        <v>172</v>
      </c>
    </row>
    <row r="177" spans="1:1" x14ac:dyDescent="0.25">
      <c r="A177" s="60" t="s">
        <v>430</v>
      </c>
    </row>
    <row r="178" spans="1:1" x14ac:dyDescent="0.25">
      <c r="A178" s="60" t="s">
        <v>431</v>
      </c>
    </row>
    <row r="179" spans="1:1" x14ac:dyDescent="0.25">
      <c r="A179" s="60" t="s">
        <v>432</v>
      </c>
    </row>
    <row r="180" spans="1:1" x14ac:dyDescent="0.25">
      <c r="A180" s="60" t="s">
        <v>215</v>
      </c>
    </row>
    <row r="181" spans="1:1" x14ac:dyDescent="0.25">
      <c r="A181" s="60" t="s">
        <v>180</v>
      </c>
    </row>
    <row r="182" spans="1:1" x14ac:dyDescent="0.25">
      <c r="A182" s="60" t="s">
        <v>184</v>
      </c>
    </row>
    <row r="183" spans="1:1" x14ac:dyDescent="0.25">
      <c r="A183" s="60" t="s">
        <v>434</v>
      </c>
    </row>
    <row r="184" spans="1:1" x14ac:dyDescent="0.25">
      <c r="A184" s="60" t="s">
        <v>173</v>
      </c>
    </row>
    <row r="185" spans="1:1" x14ac:dyDescent="0.25">
      <c r="A185" s="60" t="s">
        <v>175</v>
      </c>
    </row>
    <row r="186" spans="1:1" x14ac:dyDescent="0.25">
      <c r="A186" s="60" t="s">
        <v>182</v>
      </c>
    </row>
    <row r="187" spans="1:1" x14ac:dyDescent="0.25">
      <c r="A187" s="60" t="s">
        <v>191</v>
      </c>
    </row>
    <row r="188" spans="1:1" x14ac:dyDescent="0.25">
      <c r="A188" s="60" t="s">
        <v>178</v>
      </c>
    </row>
    <row r="189" spans="1:1" x14ac:dyDescent="0.25">
      <c r="A189" s="60" t="s">
        <v>176</v>
      </c>
    </row>
    <row r="190" spans="1:1" x14ac:dyDescent="0.25">
      <c r="A190" s="60" t="s">
        <v>190</v>
      </c>
    </row>
    <row r="191" spans="1:1" x14ac:dyDescent="0.25">
      <c r="A191" s="60" t="s">
        <v>186</v>
      </c>
    </row>
    <row r="192" spans="1:1" x14ac:dyDescent="0.25">
      <c r="A192" s="60" t="s">
        <v>187</v>
      </c>
    </row>
    <row r="193" spans="1:1" x14ac:dyDescent="0.25">
      <c r="A193" s="60" t="s">
        <v>177</v>
      </c>
    </row>
    <row r="194" spans="1:1" x14ac:dyDescent="0.25">
      <c r="A194" s="60" t="s">
        <v>181</v>
      </c>
    </row>
    <row r="195" spans="1:1" x14ac:dyDescent="0.25">
      <c r="A195" s="60" t="s">
        <v>222</v>
      </c>
    </row>
    <row r="196" spans="1:1" x14ac:dyDescent="0.25">
      <c r="A196" s="60" t="s">
        <v>218</v>
      </c>
    </row>
    <row r="197" spans="1:1" x14ac:dyDescent="0.25">
      <c r="A197" s="60" t="s">
        <v>183</v>
      </c>
    </row>
    <row r="198" spans="1:1" x14ac:dyDescent="0.25">
      <c r="A198" s="60" t="s">
        <v>433</v>
      </c>
    </row>
    <row r="199" spans="1:1" x14ac:dyDescent="0.25">
      <c r="A199" s="60" t="s">
        <v>68</v>
      </c>
    </row>
    <row r="200" spans="1:1" x14ac:dyDescent="0.25">
      <c r="A200" s="60" t="s">
        <v>121</v>
      </c>
    </row>
    <row r="201" spans="1:1" x14ac:dyDescent="0.25">
      <c r="A201" s="60" t="s">
        <v>112</v>
      </c>
    </row>
    <row r="202" spans="1:1" x14ac:dyDescent="0.25">
      <c r="A202" s="60" t="s">
        <v>119</v>
      </c>
    </row>
    <row r="203" spans="1:1" x14ac:dyDescent="0.25">
      <c r="A203" s="60" t="s">
        <v>221</v>
      </c>
    </row>
    <row r="204" spans="1:1" x14ac:dyDescent="0.25">
      <c r="A204" s="60" t="s">
        <v>211</v>
      </c>
    </row>
    <row r="205" spans="1:1" x14ac:dyDescent="0.25">
      <c r="A205" s="60" t="s">
        <v>174</v>
      </c>
    </row>
    <row r="206" spans="1:1" x14ac:dyDescent="0.25">
      <c r="A206" s="60" t="s">
        <v>185</v>
      </c>
    </row>
    <row r="207" spans="1:1" x14ac:dyDescent="0.25">
      <c r="A207" s="60" t="s">
        <v>188</v>
      </c>
    </row>
    <row r="208" spans="1:1" x14ac:dyDescent="0.25">
      <c r="A208" s="60" t="s">
        <v>43</v>
      </c>
    </row>
    <row r="209" spans="1:1" x14ac:dyDescent="0.25">
      <c r="A209" s="60" t="s">
        <v>192</v>
      </c>
    </row>
    <row r="210" spans="1:1" x14ac:dyDescent="0.25">
      <c r="A210" s="60" t="s">
        <v>435</v>
      </c>
    </row>
    <row r="211" spans="1:1" x14ac:dyDescent="0.25">
      <c r="A211" s="60" t="s">
        <v>197</v>
      </c>
    </row>
    <row r="212" spans="1:1" x14ac:dyDescent="0.25">
      <c r="A212" s="60" t="s">
        <v>205</v>
      </c>
    </row>
    <row r="213" spans="1:1" x14ac:dyDescent="0.25">
      <c r="A213" s="60" t="s">
        <v>196</v>
      </c>
    </row>
    <row r="214" spans="1:1" x14ac:dyDescent="0.25">
      <c r="A214" s="60" t="s">
        <v>199</v>
      </c>
    </row>
    <row r="215" spans="1:1" x14ac:dyDescent="0.25">
      <c r="A215" s="60" t="s">
        <v>195</v>
      </c>
    </row>
    <row r="216" spans="1:1" x14ac:dyDescent="0.25">
      <c r="A216" s="60" t="s">
        <v>200</v>
      </c>
    </row>
    <row r="217" spans="1:1" x14ac:dyDescent="0.25">
      <c r="A217" s="60" t="s">
        <v>201</v>
      </c>
    </row>
    <row r="218" spans="1:1" x14ac:dyDescent="0.25">
      <c r="A218" s="60" t="s">
        <v>202</v>
      </c>
    </row>
    <row r="219" spans="1:1" x14ac:dyDescent="0.25">
      <c r="A219" s="60" t="s">
        <v>203</v>
      </c>
    </row>
    <row r="220" spans="1:1" x14ac:dyDescent="0.25">
      <c r="A220" s="60" t="s">
        <v>436</v>
      </c>
    </row>
    <row r="221" spans="1:1" x14ac:dyDescent="0.25">
      <c r="A221" s="60" t="s">
        <v>198</v>
      </c>
    </row>
    <row r="222" spans="1:1" x14ac:dyDescent="0.25">
      <c r="A222" s="60" t="s">
        <v>193</v>
      </c>
    </row>
    <row r="223" spans="1:1" x14ac:dyDescent="0.25">
      <c r="A223" s="60" t="s">
        <v>204</v>
      </c>
    </row>
    <row r="224" spans="1:1" x14ac:dyDescent="0.25">
      <c r="A224" s="60" t="s">
        <v>206</v>
      </c>
    </row>
    <row r="225" spans="1:1" x14ac:dyDescent="0.25">
      <c r="A225" s="60" t="s">
        <v>207</v>
      </c>
    </row>
    <row r="226" spans="1:1" x14ac:dyDescent="0.25">
      <c r="A226" s="60" t="s">
        <v>15</v>
      </c>
    </row>
    <row r="227" spans="1:1" x14ac:dyDescent="0.25">
      <c r="A227" s="60" t="s">
        <v>77</v>
      </c>
    </row>
    <row r="228" spans="1:1" x14ac:dyDescent="0.25">
      <c r="A228" s="60" t="s">
        <v>209</v>
      </c>
    </row>
    <row r="229" spans="1:1" x14ac:dyDescent="0.25">
      <c r="A229" s="60" t="s">
        <v>208</v>
      </c>
    </row>
    <row r="230" spans="1:1" x14ac:dyDescent="0.25">
      <c r="A230" s="60" t="s">
        <v>210</v>
      </c>
    </row>
    <row r="231" spans="1:1" x14ac:dyDescent="0.25">
      <c r="A231" s="60" t="s">
        <v>214</v>
      </c>
    </row>
    <row r="232" spans="1:1" x14ac:dyDescent="0.25">
      <c r="A232" s="60" t="s">
        <v>437</v>
      </c>
    </row>
    <row r="233" spans="1:1" x14ac:dyDescent="0.25">
      <c r="A233" s="60" t="s">
        <v>223</v>
      </c>
    </row>
    <row r="234" spans="1:1" x14ac:dyDescent="0.25">
      <c r="A234" s="60" t="s">
        <v>213</v>
      </c>
    </row>
    <row r="235" spans="1:1" x14ac:dyDescent="0.25">
      <c r="A235" s="60" t="s">
        <v>438</v>
      </c>
    </row>
    <row r="236" spans="1:1" x14ac:dyDescent="0.25">
      <c r="A236" s="60" t="s">
        <v>212</v>
      </c>
    </row>
    <row r="237" spans="1:1" x14ac:dyDescent="0.25">
      <c r="A237" s="60" t="s">
        <v>167</v>
      </c>
    </row>
    <row r="238" spans="1:1" x14ac:dyDescent="0.25">
      <c r="A238" s="60" t="s">
        <v>439</v>
      </c>
    </row>
    <row r="239" spans="1:1" x14ac:dyDescent="0.25">
      <c r="A239" s="60" t="s">
        <v>217</v>
      </c>
    </row>
    <row r="240" spans="1:1" x14ac:dyDescent="0.25">
      <c r="A240" s="60" t="s">
        <v>219</v>
      </c>
    </row>
    <row r="241" spans="1:1" x14ac:dyDescent="0.25">
      <c r="A241" s="60" t="s">
        <v>220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4BC6F9-AC77-48BF-A51C-702CE3DA985B}">
  <sheetPr>
    <tabColor rgb="FFFFC000"/>
  </sheetPr>
  <dimension ref="A1:A224"/>
  <sheetViews>
    <sheetView topLeftCell="A196" workbookViewId="0">
      <selection activeCell="C224" sqref="C224"/>
    </sheetView>
  </sheetViews>
  <sheetFormatPr defaultRowHeight="15" x14ac:dyDescent="0.25"/>
  <cols>
    <col min="1" max="1" width="28.85546875" bestFit="1" customWidth="1"/>
  </cols>
  <sheetData>
    <row r="1" spans="1:1" x14ac:dyDescent="0.25">
      <c r="A1" s="12" t="s">
        <v>8</v>
      </c>
    </row>
    <row r="2" spans="1:1" x14ac:dyDescent="0.25">
      <c r="A2" t="s">
        <v>11</v>
      </c>
    </row>
    <row r="3" spans="1:1" x14ac:dyDescent="0.25">
      <c r="A3" t="s">
        <v>13</v>
      </c>
    </row>
    <row r="4" spans="1:1" x14ac:dyDescent="0.25">
      <c r="A4" t="s">
        <v>65</v>
      </c>
    </row>
    <row r="5" spans="1:1" x14ac:dyDescent="0.25">
      <c r="A5" t="s">
        <v>18</v>
      </c>
    </row>
    <row r="6" spans="1:1" x14ac:dyDescent="0.25">
      <c r="A6" t="s">
        <v>14</v>
      </c>
    </row>
    <row r="7" spans="1:1" x14ac:dyDescent="0.25">
      <c r="A7" t="s">
        <v>12</v>
      </c>
    </row>
    <row r="8" spans="1:1" x14ac:dyDescent="0.25">
      <c r="A8" t="s">
        <v>19</v>
      </c>
    </row>
    <row r="9" spans="1:1" x14ac:dyDescent="0.25">
      <c r="A9" t="s">
        <v>16</v>
      </c>
    </row>
    <row r="10" spans="1:1" x14ac:dyDescent="0.25">
      <c r="A10" t="s">
        <v>17</v>
      </c>
    </row>
    <row r="11" spans="1:1" x14ac:dyDescent="0.25">
      <c r="A11" t="s">
        <v>10</v>
      </c>
    </row>
    <row r="12" spans="1:1" x14ac:dyDescent="0.25">
      <c r="A12" t="s">
        <v>20</v>
      </c>
    </row>
    <row r="13" spans="1:1" x14ac:dyDescent="0.25">
      <c r="A13" t="s">
        <v>21</v>
      </c>
    </row>
    <row r="14" spans="1:1" x14ac:dyDescent="0.25">
      <c r="A14" t="s">
        <v>22</v>
      </c>
    </row>
    <row r="15" spans="1:1" x14ac:dyDescent="0.25">
      <c r="A15" t="s">
        <v>30</v>
      </c>
    </row>
    <row r="16" spans="1:1" x14ac:dyDescent="0.25">
      <c r="A16" t="s">
        <v>29</v>
      </c>
    </row>
    <row r="17" spans="1:1" x14ac:dyDescent="0.25">
      <c r="A17" t="s">
        <v>27</v>
      </c>
    </row>
    <row r="18" spans="1:1" x14ac:dyDescent="0.25">
      <c r="A18" t="s">
        <v>37</v>
      </c>
    </row>
    <row r="19" spans="1:1" x14ac:dyDescent="0.25">
      <c r="A19" t="s">
        <v>32</v>
      </c>
    </row>
    <row r="20" spans="1:1" x14ac:dyDescent="0.25">
      <c r="A20" t="s">
        <v>24</v>
      </c>
    </row>
    <row r="21" spans="1:1" x14ac:dyDescent="0.25">
      <c r="A21" t="s">
        <v>33</v>
      </c>
    </row>
    <row r="22" spans="1:1" x14ac:dyDescent="0.25">
      <c r="A22" t="s">
        <v>25</v>
      </c>
    </row>
    <row r="23" spans="1:1" x14ac:dyDescent="0.25">
      <c r="A23" t="s">
        <v>34</v>
      </c>
    </row>
    <row r="24" spans="1:1" x14ac:dyDescent="0.25">
      <c r="A24" t="s">
        <v>39</v>
      </c>
    </row>
    <row r="25" spans="1:1" x14ac:dyDescent="0.25">
      <c r="A25" t="s">
        <v>35</v>
      </c>
    </row>
    <row r="26" spans="1:1" x14ac:dyDescent="0.25">
      <c r="A26" t="s">
        <v>31</v>
      </c>
    </row>
    <row r="27" spans="1:1" x14ac:dyDescent="0.25">
      <c r="A27" t="s">
        <v>40</v>
      </c>
    </row>
    <row r="28" spans="1:1" x14ac:dyDescent="0.25">
      <c r="A28" t="s">
        <v>36</v>
      </c>
    </row>
    <row r="29" spans="1:1" x14ac:dyDescent="0.25">
      <c r="A29" t="s">
        <v>38</v>
      </c>
    </row>
    <row r="30" spans="1:1" x14ac:dyDescent="0.25">
      <c r="A30" t="s">
        <v>28</v>
      </c>
    </row>
    <row r="31" spans="1:1" x14ac:dyDescent="0.25">
      <c r="A31" t="s">
        <v>26</v>
      </c>
    </row>
    <row r="32" spans="1:1" x14ac:dyDescent="0.25">
      <c r="A32" t="s">
        <v>23</v>
      </c>
    </row>
    <row r="33" spans="1:1" x14ac:dyDescent="0.25">
      <c r="A33" t="s">
        <v>53</v>
      </c>
    </row>
    <row r="34" spans="1:1" x14ac:dyDescent="0.25">
      <c r="A34" t="s">
        <v>110</v>
      </c>
    </row>
    <row r="35" spans="1:1" x14ac:dyDescent="0.25">
      <c r="A35" t="s">
        <v>48</v>
      </c>
    </row>
    <row r="36" spans="1:1" x14ac:dyDescent="0.25">
      <c r="A36" t="s">
        <v>42</v>
      </c>
    </row>
    <row r="37" spans="1:1" x14ac:dyDescent="0.25">
      <c r="A37" t="s">
        <v>57</v>
      </c>
    </row>
    <row r="38" spans="1:1" x14ac:dyDescent="0.25">
      <c r="A38" t="s">
        <v>41</v>
      </c>
    </row>
    <row r="39" spans="1:1" x14ac:dyDescent="0.25">
      <c r="A39" t="s">
        <v>194</v>
      </c>
    </row>
    <row r="40" spans="1:1" x14ac:dyDescent="0.25">
      <c r="A40" t="s">
        <v>44</v>
      </c>
    </row>
    <row r="41" spans="1:1" x14ac:dyDescent="0.25">
      <c r="A41" t="s">
        <v>45</v>
      </c>
    </row>
    <row r="42" spans="1:1" x14ac:dyDescent="0.25">
      <c r="A42" t="s">
        <v>46</v>
      </c>
    </row>
    <row r="43" spans="1:1" x14ac:dyDescent="0.25">
      <c r="A43" t="s">
        <v>51</v>
      </c>
    </row>
    <row r="44" spans="1:1" x14ac:dyDescent="0.25">
      <c r="A44" t="s">
        <v>52</v>
      </c>
    </row>
    <row r="45" spans="1:1" x14ac:dyDescent="0.25">
      <c r="A45" t="s">
        <v>49</v>
      </c>
    </row>
    <row r="46" spans="1:1" x14ac:dyDescent="0.25">
      <c r="A46" t="s">
        <v>50</v>
      </c>
    </row>
    <row r="47" spans="1:1" x14ac:dyDescent="0.25">
      <c r="A47" t="s">
        <v>54</v>
      </c>
    </row>
    <row r="48" spans="1:1" x14ac:dyDescent="0.25">
      <c r="A48" t="s">
        <v>47</v>
      </c>
    </row>
    <row r="49" spans="1:1" x14ac:dyDescent="0.25">
      <c r="A49" t="s">
        <v>92</v>
      </c>
    </row>
    <row r="50" spans="1:1" x14ac:dyDescent="0.25">
      <c r="A50" t="s">
        <v>55</v>
      </c>
    </row>
    <row r="51" spans="1:1" x14ac:dyDescent="0.25">
      <c r="A51" t="s">
        <v>56</v>
      </c>
    </row>
    <row r="52" spans="1:1" x14ac:dyDescent="0.25">
      <c r="A52" t="s">
        <v>58</v>
      </c>
    </row>
    <row r="53" spans="1:1" x14ac:dyDescent="0.25">
      <c r="A53" t="s">
        <v>59</v>
      </c>
    </row>
    <row r="54" spans="1:1" x14ac:dyDescent="0.25">
      <c r="A54" t="s">
        <v>63</v>
      </c>
    </row>
    <row r="55" spans="1:1" x14ac:dyDescent="0.25">
      <c r="A55" t="s">
        <v>61</v>
      </c>
    </row>
    <row r="56" spans="1:1" x14ac:dyDescent="0.25">
      <c r="A56" t="s">
        <v>62</v>
      </c>
    </row>
    <row r="57" spans="1:1" x14ac:dyDescent="0.25">
      <c r="A57" t="s">
        <v>64</v>
      </c>
    </row>
    <row r="58" spans="1:1" x14ac:dyDescent="0.25">
      <c r="A58" t="s">
        <v>66</v>
      </c>
    </row>
    <row r="59" spans="1:1" x14ac:dyDescent="0.25">
      <c r="A59" t="s">
        <v>67</v>
      </c>
    </row>
    <row r="60" spans="1:1" x14ac:dyDescent="0.25">
      <c r="A60" t="s">
        <v>179</v>
      </c>
    </row>
    <row r="61" spans="1:1" x14ac:dyDescent="0.25">
      <c r="A61" t="s">
        <v>83</v>
      </c>
    </row>
    <row r="62" spans="1:1" x14ac:dyDescent="0.25">
      <c r="A62" t="s">
        <v>224</v>
      </c>
    </row>
    <row r="63" spans="1:1" x14ac:dyDescent="0.25">
      <c r="A63" t="s">
        <v>69</v>
      </c>
    </row>
    <row r="64" spans="1:1" x14ac:dyDescent="0.25">
      <c r="A64" t="s">
        <v>189</v>
      </c>
    </row>
    <row r="65" spans="1:1" x14ac:dyDescent="0.25">
      <c r="A65" t="s">
        <v>70</v>
      </c>
    </row>
    <row r="66" spans="1:1" x14ac:dyDescent="0.25">
      <c r="A66" t="s">
        <v>74</v>
      </c>
    </row>
    <row r="67" spans="1:1" x14ac:dyDescent="0.25">
      <c r="A67" t="s">
        <v>72</v>
      </c>
    </row>
    <row r="68" spans="1:1" x14ac:dyDescent="0.25">
      <c r="A68" t="s">
        <v>71</v>
      </c>
    </row>
    <row r="69" spans="1:1" x14ac:dyDescent="0.25">
      <c r="A69" t="s">
        <v>73</v>
      </c>
    </row>
    <row r="70" spans="1:1" x14ac:dyDescent="0.25">
      <c r="A70" t="s">
        <v>168</v>
      </c>
    </row>
    <row r="71" spans="1:1" x14ac:dyDescent="0.25">
      <c r="A71" t="s">
        <v>76</v>
      </c>
    </row>
    <row r="72" spans="1:1" x14ac:dyDescent="0.25">
      <c r="A72" t="s">
        <v>81</v>
      </c>
    </row>
    <row r="73" spans="1:1" x14ac:dyDescent="0.25">
      <c r="A73" t="s">
        <v>78</v>
      </c>
    </row>
    <row r="74" spans="1:1" x14ac:dyDescent="0.25">
      <c r="A74" t="s">
        <v>60</v>
      </c>
    </row>
    <row r="75" spans="1:1" x14ac:dyDescent="0.25">
      <c r="A75" t="s">
        <v>79</v>
      </c>
    </row>
    <row r="76" spans="1:1" x14ac:dyDescent="0.25">
      <c r="A76" t="s">
        <v>84</v>
      </c>
    </row>
    <row r="77" spans="1:1" x14ac:dyDescent="0.25">
      <c r="A77" t="s">
        <v>86</v>
      </c>
    </row>
    <row r="78" spans="1:1" x14ac:dyDescent="0.25">
      <c r="A78" t="s">
        <v>85</v>
      </c>
    </row>
    <row r="79" spans="1:1" x14ac:dyDescent="0.25">
      <c r="A79" t="s">
        <v>88</v>
      </c>
    </row>
    <row r="80" spans="1:1" x14ac:dyDescent="0.25">
      <c r="A80" t="s">
        <v>87</v>
      </c>
    </row>
    <row r="81" spans="1:1" x14ac:dyDescent="0.25">
      <c r="A81" t="s">
        <v>80</v>
      </c>
    </row>
    <row r="82" spans="1:1" x14ac:dyDescent="0.25">
      <c r="A82" t="s">
        <v>82</v>
      </c>
    </row>
    <row r="83" spans="1:1" x14ac:dyDescent="0.25">
      <c r="A83" t="s">
        <v>89</v>
      </c>
    </row>
    <row r="84" spans="1:1" x14ac:dyDescent="0.25">
      <c r="A84" t="s">
        <v>93</v>
      </c>
    </row>
    <row r="85" spans="1:1" x14ac:dyDescent="0.25">
      <c r="A85" t="s">
        <v>91</v>
      </c>
    </row>
    <row r="86" spans="1:1" x14ac:dyDescent="0.25">
      <c r="A86" t="s">
        <v>90</v>
      </c>
    </row>
    <row r="87" spans="1:1" x14ac:dyDescent="0.25">
      <c r="A87" t="s">
        <v>94</v>
      </c>
    </row>
    <row r="88" spans="1:1" x14ac:dyDescent="0.25">
      <c r="A88" t="s">
        <v>101</v>
      </c>
    </row>
    <row r="89" spans="1:1" x14ac:dyDescent="0.25">
      <c r="A89" t="s">
        <v>97</v>
      </c>
    </row>
    <row r="90" spans="1:1" x14ac:dyDescent="0.25">
      <c r="A90" t="s">
        <v>95</v>
      </c>
    </row>
    <row r="91" spans="1:1" x14ac:dyDescent="0.25">
      <c r="A91" t="s">
        <v>99</v>
      </c>
    </row>
    <row r="92" spans="1:1" x14ac:dyDescent="0.25">
      <c r="A92" t="s">
        <v>100</v>
      </c>
    </row>
    <row r="93" spans="1:1" x14ac:dyDescent="0.25">
      <c r="A93" t="s">
        <v>98</v>
      </c>
    </row>
    <row r="94" spans="1:1" x14ac:dyDescent="0.25">
      <c r="A94" t="s">
        <v>96</v>
      </c>
    </row>
    <row r="95" spans="1:1" x14ac:dyDescent="0.25">
      <c r="A95" t="s">
        <v>102</v>
      </c>
    </row>
    <row r="96" spans="1:1" x14ac:dyDescent="0.25">
      <c r="A96" t="s">
        <v>103</v>
      </c>
    </row>
    <row r="97" spans="1:1" x14ac:dyDescent="0.25">
      <c r="A97" t="s">
        <v>104</v>
      </c>
    </row>
    <row r="98" spans="1:1" x14ac:dyDescent="0.25">
      <c r="A98" t="s">
        <v>106</v>
      </c>
    </row>
    <row r="99" spans="1:1" x14ac:dyDescent="0.25">
      <c r="A99" t="s">
        <v>105</v>
      </c>
    </row>
    <row r="100" spans="1:1" x14ac:dyDescent="0.25">
      <c r="A100" t="s">
        <v>107</v>
      </c>
    </row>
    <row r="101" spans="1:1" x14ac:dyDescent="0.25">
      <c r="A101" t="s">
        <v>108</v>
      </c>
    </row>
    <row r="102" spans="1:1" x14ac:dyDescent="0.25">
      <c r="A102" t="s">
        <v>111</v>
      </c>
    </row>
    <row r="103" spans="1:1" x14ac:dyDescent="0.25">
      <c r="A103" t="s">
        <v>113</v>
      </c>
    </row>
    <row r="104" spans="1:1" x14ac:dyDescent="0.25">
      <c r="A104" t="s">
        <v>216</v>
      </c>
    </row>
    <row r="105" spans="1:1" x14ac:dyDescent="0.25">
      <c r="A105" t="s">
        <v>114</v>
      </c>
    </row>
    <row r="106" spans="1:1" x14ac:dyDescent="0.25">
      <c r="A106" t="s">
        <v>109</v>
      </c>
    </row>
    <row r="107" spans="1:1" x14ac:dyDescent="0.25">
      <c r="A107" t="s">
        <v>115</v>
      </c>
    </row>
    <row r="108" spans="1:1" x14ac:dyDescent="0.25">
      <c r="A108" t="s">
        <v>125</v>
      </c>
    </row>
    <row r="109" spans="1:1" x14ac:dyDescent="0.25">
      <c r="A109" t="s">
        <v>116</v>
      </c>
    </row>
    <row r="110" spans="1:1" x14ac:dyDescent="0.25">
      <c r="A110" t="s">
        <v>122</v>
      </c>
    </row>
    <row r="111" spans="1:1" x14ac:dyDescent="0.25">
      <c r="A111" t="s">
        <v>117</v>
      </c>
    </row>
    <row r="112" spans="1:1" x14ac:dyDescent="0.25">
      <c r="A112" t="s">
        <v>118</v>
      </c>
    </row>
    <row r="113" spans="1:1" x14ac:dyDescent="0.25">
      <c r="A113" t="s">
        <v>120</v>
      </c>
    </row>
    <row r="114" spans="1:1" x14ac:dyDescent="0.25">
      <c r="A114" t="s">
        <v>123</v>
      </c>
    </row>
    <row r="115" spans="1:1" x14ac:dyDescent="0.25">
      <c r="A115" t="s">
        <v>124</v>
      </c>
    </row>
    <row r="116" spans="1:1" x14ac:dyDescent="0.25">
      <c r="A116" t="s">
        <v>126</v>
      </c>
    </row>
    <row r="117" spans="1:1" x14ac:dyDescent="0.25">
      <c r="A117" t="s">
        <v>130</v>
      </c>
    </row>
    <row r="118" spans="1:1" x14ac:dyDescent="0.25">
      <c r="A118" t="s">
        <v>144</v>
      </c>
    </row>
    <row r="119" spans="1:1" x14ac:dyDescent="0.25">
      <c r="A119" t="s">
        <v>145</v>
      </c>
    </row>
    <row r="120" spans="1:1" x14ac:dyDescent="0.25">
      <c r="A120" t="s">
        <v>131</v>
      </c>
    </row>
    <row r="121" spans="1:1" x14ac:dyDescent="0.25">
      <c r="A121" t="s">
        <v>135</v>
      </c>
    </row>
    <row r="122" spans="1:1" x14ac:dyDescent="0.25">
      <c r="A122" t="s">
        <v>136</v>
      </c>
    </row>
    <row r="123" spans="1:1" x14ac:dyDescent="0.25">
      <c r="A123" t="s">
        <v>133</v>
      </c>
    </row>
    <row r="124" spans="1:1" x14ac:dyDescent="0.25">
      <c r="A124" t="s">
        <v>142</v>
      </c>
    </row>
    <row r="125" spans="1:1" x14ac:dyDescent="0.25">
      <c r="A125" t="s">
        <v>143</v>
      </c>
    </row>
    <row r="126" spans="1:1" x14ac:dyDescent="0.25">
      <c r="A126" t="s">
        <v>132</v>
      </c>
    </row>
    <row r="127" spans="1:1" x14ac:dyDescent="0.25">
      <c r="A127" t="s">
        <v>75</v>
      </c>
    </row>
    <row r="128" spans="1:1" x14ac:dyDescent="0.25">
      <c r="A128" t="s">
        <v>129</v>
      </c>
    </row>
    <row r="129" spans="1:1" x14ac:dyDescent="0.25">
      <c r="A129" t="s">
        <v>128</v>
      </c>
    </row>
    <row r="130" spans="1:1" x14ac:dyDescent="0.25">
      <c r="A130" t="s">
        <v>139</v>
      </c>
    </row>
    <row r="131" spans="1:1" x14ac:dyDescent="0.25">
      <c r="A131" t="s">
        <v>138</v>
      </c>
    </row>
    <row r="132" spans="1:1" x14ac:dyDescent="0.25">
      <c r="A132" t="s">
        <v>127</v>
      </c>
    </row>
    <row r="133" spans="1:1" x14ac:dyDescent="0.25">
      <c r="A133" t="s">
        <v>141</v>
      </c>
    </row>
    <row r="134" spans="1:1" x14ac:dyDescent="0.25">
      <c r="A134" t="s">
        <v>137</v>
      </c>
    </row>
    <row r="135" spans="1:1" x14ac:dyDescent="0.25">
      <c r="A135" t="s">
        <v>146</v>
      </c>
    </row>
    <row r="136" spans="1:1" x14ac:dyDescent="0.25">
      <c r="A136" t="s">
        <v>154</v>
      </c>
    </row>
    <row r="137" spans="1:1" x14ac:dyDescent="0.25">
      <c r="A137" t="s">
        <v>153</v>
      </c>
    </row>
    <row r="138" spans="1:1" x14ac:dyDescent="0.25">
      <c r="A138" t="s">
        <v>151</v>
      </c>
    </row>
    <row r="139" spans="1:1" x14ac:dyDescent="0.25">
      <c r="A139" t="s">
        <v>147</v>
      </c>
    </row>
    <row r="140" spans="1:1" x14ac:dyDescent="0.25">
      <c r="A140" t="s">
        <v>155</v>
      </c>
    </row>
    <row r="141" spans="1:1" x14ac:dyDescent="0.25">
      <c r="A141" t="s">
        <v>150</v>
      </c>
    </row>
    <row r="142" spans="1:1" x14ac:dyDescent="0.25">
      <c r="A142" t="s">
        <v>148</v>
      </c>
    </row>
    <row r="143" spans="1:1" x14ac:dyDescent="0.25">
      <c r="A143" t="s">
        <v>149</v>
      </c>
    </row>
    <row r="144" spans="1:1" x14ac:dyDescent="0.25">
      <c r="A144" t="s">
        <v>134</v>
      </c>
    </row>
    <row r="145" spans="1:1" x14ac:dyDescent="0.25">
      <c r="A145" t="s">
        <v>140</v>
      </c>
    </row>
    <row r="146" spans="1:1" x14ac:dyDescent="0.25">
      <c r="A146" t="s">
        <v>152</v>
      </c>
    </row>
    <row r="147" spans="1:1" x14ac:dyDescent="0.25">
      <c r="A147" t="s">
        <v>156</v>
      </c>
    </row>
    <row r="148" spans="1:1" x14ac:dyDescent="0.25">
      <c r="A148" t="s">
        <v>157</v>
      </c>
    </row>
    <row r="149" spans="1:1" x14ac:dyDescent="0.25">
      <c r="A149" t="s">
        <v>161</v>
      </c>
    </row>
    <row r="150" spans="1:1" x14ac:dyDescent="0.25">
      <c r="A150" t="s">
        <v>158</v>
      </c>
    </row>
    <row r="151" spans="1:1" x14ac:dyDescent="0.25">
      <c r="A151" t="s">
        <v>162</v>
      </c>
    </row>
    <row r="152" spans="1:1" x14ac:dyDescent="0.25">
      <c r="A152" t="s">
        <v>166</v>
      </c>
    </row>
    <row r="153" spans="1:1" x14ac:dyDescent="0.25">
      <c r="A153" t="s">
        <v>159</v>
      </c>
    </row>
    <row r="154" spans="1:1" x14ac:dyDescent="0.25">
      <c r="A154" t="s">
        <v>160</v>
      </c>
    </row>
    <row r="155" spans="1:1" x14ac:dyDescent="0.25">
      <c r="A155" t="s">
        <v>163</v>
      </c>
    </row>
    <row r="156" spans="1:1" x14ac:dyDescent="0.25">
      <c r="A156" t="s">
        <v>165</v>
      </c>
    </row>
    <row r="157" spans="1:1" x14ac:dyDescent="0.25">
      <c r="A157" t="s">
        <v>164</v>
      </c>
    </row>
    <row r="158" spans="1:1" x14ac:dyDescent="0.25">
      <c r="A158" t="s">
        <v>169</v>
      </c>
    </row>
    <row r="159" spans="1:1" x14ac:dyDescent="0.25">
      <c r="A159" t="s">
        <v>170</v>
      </c>
    </row>
    <row r="160" spans="1:1" x14ac:dyDescent="0.25">
      <c r="A160" t="s">
        <v>171</v>
      </c>
    </row>
    <row r="161" spans="1:1" x14ac:dyDescent="0.25">
      <c r="A161" t="s">
        <v>172</v>
      </c>
    </row>
    <row r="162" spans="1:1" x14ac:dyDescent="0.25">
      <c r="A162" t="s">
        <v>215</v>
      </c>
    </row>
    <row r="163" spans="1:1" x14ac:dyDescent="0.25">
      <c r="A163" t="s">
        <v>180</v>
      </c>
    </row>
    <row r="164" spans="1:1" x14ac:dyDescent="0.25">
      <c r="A164" t="s">
        <v>184</v>
      </c>
    </row>
    <row r="165" spans="1:1" x14ac:dyDescent="0.25">
      <c r="A165" t="s">
        <v>173</v>
      </c>
    </row>
    <row r="166" spans="1:1" x14ac:dyDescent="0.25">
      <c r="A166" t="s">
        <v>175</v>
      </c>
    </row>
    <row r="167" spans="1:1" x14ac:dyDescent="0.25">
      <c r="A167" t="s">
        <v>182</v>
      </c>
    </row>
    <row r="168" spans="1:1" x14ac:dyDescent="0.25">
      <c r="A168" t="s">
        <v>191</v>
      </c>
    </row>
    <row r="169" spans="1:1" x14ac:dyDescent="0.25">
      <c r="A169" t="s">
        <v>178</v>
      </c>
    </row>
    <row r="170" spans="1:1" x14ac:dyDescent="0.25">
      <c r="A170" t="s">
        <v>176</v>
      </c>
    </row>
    <row r="171" spans="1:1" x14ac:dyDescent="0.25">
      <c r="A171" t="s">
        <v>190</v>
      </c>
    </row>
    <row r="172" spans="1:1" x14ac:dyDescent="0.25">
      <c r="A172" t="s">
        <v>186</v>
      </c>
    </row>
    <row r="173" spans="1:1" x14ac:dyDescent="0.25">
      <c r="A173" t="s">
        <v>187</v>
      </c>
    </row>
    <row r="174" spans="1:1" x14ac:dyDescent="0.25">
      <c r="A174" t="s">
        <v>177</v>
      </c>
    </row>
    <row r="175" spans="1:1" x14ac:dyDescent="0.25">
      <c r="A175" t="s">
        <v>181</v>
      </c>
    </row>
    <row r="176" spans="1:1" x14ac:dyDescent="0.25">
      <c r="A176" t="s">
        <v>222</v>
      </c>
    </row>
    <row r="177" spans="1:1" x14ac:dyDescent="0.25">
      <c r="A177" t="s">
        <v>218</v>
      </c>
    </row>
    <row r="178" spans="1:1" x14ac:dyDescent="0.25">
      <c r="A178" t="s">
        <v>183</v>
      </c>
    </row>
    <row r="179" spans="1:1" x14ac:dyDescent="0.25">
      <c r="A179" t="s">
        <v>68</v>
      </c>
    </row>
    <row r="180" spans="1:1" x14ac:dyDescent="0.25">
      <c r="A180" t="s">
        <v>121</v>
      </c>
    </row>
    <row r="181" spans="1:1" x14ac:dyDescent="0.25">
      <c r="A181" t="s">
        <v>112</v>
      </c>
    </row>
    <row r="182" spans="1:1" x14ac:dyDescent="0.25">
      <c r="A182" t="s">
        <v>119</v>
      </c>
    </row>
    <row r="183" spans="1:1" x14ac:dyDescent="0.25">
      <c r="A183" t="s">
        <v>221</v>
      </c>
    </row>
    <row r="184" spans="1:1" x14ac:dyDescent="0.25">
      <c r="A184" t="s">
        <v>211</v>
      </c>
    </row>
    <row r="185" spans="1:1" x14ac:dyDescent="0.25">
      <c r="A185" t="s">
        <v>174</v>
      </c>
    </row>
    <row r="186" spans="1:1" x14ac:dyDescent="0.25">
      <c r="A186" t="s">
        <v>185</v>
      </c>
    </row>
    <row r="187" spans="1:1" x14ac:dyDescent="0.25">
      <c r="A187" t="s">
        <v>188</v>
      </c>
    </row>
    <row r="188" spans="1:1" x14ac:dyDescent="0.25">
      <c r="A188" t="s">
        <v>43</v>
      </c>
    </row>
    <row r="189" spans="1:1" x14ac:dyDescent="0.25">
      <c r="A189" t="s">
        <v>192</v>
      </c>
    </row>
    <row r="190" spans="1:1" x14ac:dyDescent="0.25">
      <c r="A190" t="s">
        <v>197</v>
      </c>
    </row>
    <row r="191" spans="1:1" x14ac:dyDescent="0.25">
      <c r="A191" t="s">
        <v>205</v>
      </c>
    </row>
    <row r="192" spans="1:1" x14ac:dyDescent="0.25">
      <c r="A192" t="s">
        <v>196</v>
      </c>
    </row>
    <row r="193" spans="1:1" x14ac:dyDescent="0.25">
      <c r="A193" t="s">
        <v>199</v>
      </c>
    </row>
    <row r="194" spans="1:1" x14ac:dyDescent="0.25">
      <c r="A194" t="s">
        <v>195</v>
      </c>
    </row>
    <row r="195" spans="1:1" x14ac:dyDescent="0.25">
      <c r="A195" t="s">
        <v>200</v>
      </c>
    </row>
    <row r="196" spans="1:1" x14ac:dyDescent="0.25">
      <c r="A196" t="s">
        <v>201</v>
      </c>
    </row>
    <row r="197" spans="1:1" x14ac:dyDescent="0.25">
      <c r="A197" t="s">
        <v>202</v>
      </c>
    </row>
    <row r="198" spans="1:1" x14ac:dyDescent="0.25">
      <c r="A198" t="s">
        <v>203</v>
      </c>
    </row>
    <row r="199" spans="1:1" x14ac:dyDescent="0.25">
      <c r="A199" t="s">
        <v>198</v>
      </c>
    </row>
    <row r="200" spans="1:1" x14ac:dyDescent="0.25">
      <c r="A200" t="s">
        <v>193</v>
      </c>
    </row>
    <row r="201" spans="1:1" x14ac:dyDescent="0.25">
      <c r="A201" t="s">
        <v>204</v>
      </c>
    </row>
    <row r="202" spans="1:1" x14ac:dyDescent="0.25">
      <c r="A202" t="s">
        <v>206</v>
      </c>
    </row>
    <row r="203" spans="1:1" x14ac:dyDescent="0.25">
      <c r="A203" t="s">
        <v>207</v>
      </c>
    </row>
    <row r="204" spans="1:1" x14ac:dyDescent="0.25">
      <c r="A204" t="s">
        <v>15</v>
      </c>
    </row>
    <row r="205" spans="1:1" x14ac:dyDescent="0.25">
      <c r="A205" t="s">
        <v>77</v>
      </c>
    </row>
    <row r="206" spans="1:1" x14ac:dyDescent="0.25">
      <c r="A206" t="s">
        <v>209</v>
      </c>
    </row>
    <row r="207" spans="1:1" x14ac:dyDescent="0.25">
      <c r="A207" t="s">
        <v>208</v>
      </c>
    </row>
    <row r="208" spans="1:1" x14ac:dyDescent="0.25">
      <c r="A208" t="s">
        <v>210</v>
      </c>
    </row>
    <row r="209" spans="1:1" x14ac:dyDescent="0.25">
      <c r="A209" t="s">
        <v>214</v>
      </c>
    </row>
    <row r="210" spans="1:1" x14ac:dyDescent="0.25">
      <c r="A210" t="s">
        <v>223</v>
      </c>
    </row>
    <row r="211" spans="1:1" x14ac:dyDescent="0.25">
      <c r="A211" t="s">
        <v>213</v>
      </c>
    </row>
    <row r="212" spans="1:1" x14ac:dyDescent="0.25">
      <c r="A212" t="s">
        <v>212</v>
      </c>
    </row>
    <row r="213" spans="1:1" x14ac:dyDescent="0.25">
      <c r="A213" t="s">
        <v>167</v>
      </c>
    </row>
    <row r="214" spans="1:1" x14ac:dyDescent="0.25">
      <c r="A214" t="s">
        <v>217</v>
      </c>
    </row>
    <row r="215" spans="1:1" x14ac:dyDescent="0.25">
      <c r="A215" t="s">
        <v>219</v>
      </c>
    </row>
    <row r="216" spans="1:1" x14ac:dyDescent="0.25">
      <c r="A216" t="s">
        <v>220</v>
      </c>
    </row>
    <row r="217" spans="1:1" x14ac:dyDescent="0.25">
      <c r="A217" s="54" t="s">
        <v>86</v>
      </c>
    </row>
    <row r="218" spans="1:1" x14ac:dyDescent="0.25">
      <c r="A218" s="55" t="s">
        <v>90</v>
      </c>
    </row>
    <row r="219" spans="1:1" x14ac:dyDescent="0.25">
      <c r="A219" s="54" t="s">
        <v>385</v>
      </c>
    </row>
    <row r="220" spans="1:1" x14ac:dyDescent="0.25">
      <c r="A220" s="54" t="s">
        <v>216</v>
      </c>
    </row>
    <row r="221" spans="1:1" x14ac:dyDescent="0.25">
      <c r="A221" s="54" t="s">
        <v>126</v>
      </c>
    </row>
    <row r="222" spans="1:1" x14ac:dyDescent="0.25">
      <c r="A222" s="54" t="s">
        <v>128</v>
      </c>
    </row>
    <row r="223" spans="1:1" x14ac:dyDescent="0.25">
      <c r="A223" s="54" t="s">
        <v>154</v>
      </c>
    </row>
    <row r="224" spans="1:1" x14ac:dyDescent="0.25">
      <c r="A224" s="54" t="s">
        <v>204</v>
      </c>
    </row>
  </sheetData>
  <autoFilter ref="A1:A216" xr:uid="{4A4BC6F9-AC77-48BF-A51C-702CE3DA985B}"/>
  <conditionalFormatting sqref="A1:A1048576">
    <cfRule type="duplicateValues" dxfId="0" priority="1"/>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4B8B57-6C3D-4E4C-B146-C66CD35DF711}">
  <sheetPr>
    <tabColor theme="0" tint="-0.499984740745262"/>
  </sheetPr>
  <dimension ref="A1:D215"/>
  <sheetViews>
    <sheetView workbookViewId="0">
      <pane ySplit="1" topLeftCell="A2" activePane="bottomLeft" state="frozen"/>
      <selection activeCell="D11" sqref="D11"/>
      <selection pane="bottomLeft" activeCell="C1" sqref="B1:C1048576"/>
    </sheetView>
  </sheetViews>
  <sheetFormatPr defaultRowHeight="15" x14ac:dyDescent="0.25"/>
  <cols>
    <col min="1" max="1" width="28.85546875" style="1" bestFit="1" customWidth="1"/>
    <col min="2" max="2" width="24.7109375" style="1" bestFit="1" customWidth="1"/>
    <col min="3" max="3" width="20.42578125" style="1" bestFit="1" customWidth="1"/>
    <col min="4" max="4" width="84.42578125" style="5" customWidth="1"/>
    <col min="5" max="249" width="9.140625" style="1"/>
    <col min="250" max="254" width="17.5703125" style="1" customWidth="1"/>
    <col min="255" max="505" width="9.140625" style="1"/>
    <col min="506" max="510" width="17.5703125" style="1" customWidth="1"/>
    <col min="511" max="761" width="9.140625" style="1"/>
    <col min="762" max="766" width="17.5703125" style="1" customWidth="1"/>
    <col min="767" max="1017" width="9.140625" style="1"/>
    <col min="1018" max="1022" width="17.5703125" style="1" customWidth="1"/>
    <col min="1023" max="1273" width="9.140625" style="1"/>
    <col min="1274" max="1278" width="17.5703125" style="1" customWidth="1"/>
    <col min="1279" max="1529" width="9.140625" style="1"/>
    <col min="1530" max="1534" width="17.5703125" style="1" customWidth="1"/>
    <col min="1535" max="1785" width="9.140625" style="1"/>
    <col min="1786" max="1790" width="17.5703125" style="1" customWidth="1"/>
    <col min="1791" max="2041" width="9.140625" style="1"/>
    <col min="2042" max="2046" width="17.5703125" style="1" customWidth="1"/>
    <col min="2047" max="2297" width="9.140625" style="1"/>
    <col min="2298" max="2302" width="17.5703125" style="1" customWidth="1"/>
    <col min="2303" max="2553" width="9.140625" style="1"/>
    <col min="2554" max="2558" width="17.5703125" style="1" customWidth="1"/>
    <col min="2559" max="2809" width="9.140625" style="1"/>
    <col min="2810" max="2814" width="17.5703125" style="1" customWidth="1"/>
    <col min="2815" max="3065" width="9.140625" style="1"/>
    <col min="3066" max="3070" width="17.5703125" style="1" customWidth="1"/>
    <col min="3071" max="3321" width="9.140625" style="1"/>
    <col min="3322" max="3326" width="17.5703125" style="1" customWidth="1"/>
    <col min="3327" max="3577" width="9.140625" style="1"/>
    <col min="3578" max="3582" width="17.5703125" style="1" customWidth="1"/>
    <col min="3583" max="3833" width="9.140625" style="1"/>
    <col min="3834" max="3838" width="17.5703125" style="1" customWidth="1"/>
    <col min="3839" max="4089" width="9.140625" style="1"/>
    <col min="4090" max="4094" width="17.5703125" style="1" customWidth="1"/>
    <col min="4095" max="4345" width="9.140625" style="1"/>
    <col min="4346" max="4350" width="17.5703125" style="1" customWidth="1"/>
    <col min="4351" max="4601" width="9.140625" style="1"/>
    <col min="4602" max="4606" width="17.5703125" style="1" customWidth="1"/>
    <col min="4607" max="4857" width="9.140625" style="1"/>
    <col min="4858" max="4862" width="17.5703125" style="1" customWidth="1"/>
    <col min="4863" max="5113" width="9.140625" style="1"/>
    <col min="5114" max="5118" width="17.5703125" style="1" customWidth="1"/>
    <col min="5119" max="5369" width="9.140625" style="1"/>
    <col min="5370" max="5374" width="17.5703125" style="1" customWidth="1"/>
    <col min="5375" max="5625" width="9.140625" style="1"/>
    <col min="5626" max="5630" width="17.5703125" style="1" customWidth="1"/>
    <col min="5631" max="5881" width="9.140625" style="1"/>
    <col min="5882" max="5886" width="17.5703125" style="1" customWidth="1"/>
    <col min="5887" max="6137" width="9.140625" style="1"/>
    <col min="6138" max="6142" width="17.5703125" style="1" customWidth="1"/>
    <col min="6143" max="6393" width="9.140625" style="1"/>
    <col min="6394" max="6398" width="17.5703125" style="1" customWidth="1"/>
    <col min="6399" max="6649" width="9.140625" style="1"/>
    <col min="6650" max="6654" width="17.5703125" style="1" customWidth="1"/>
    <col min="6655" max="6905" width="9.140625" style="1"/>
    <col min="6906" max="6910" width="17.5703125" style="1" customWidth="1"/>
    <col min="6911" max="7161" width="9.140625" style="1"/>
    <col min="7162" max="7166" width="17.5703125" style="1" customWidth="1"/>
    <col min="7167" max="7417" width="9.140625" style="1"/>
    <col min="7418" max="7422" width="17.5703125" style="1" customWidth="1"/>
    <col min="7423" max="7673" width="9.140625" style="1"/>
    <col min="7674" max="7678" width="17.5703125" style="1" customWidth="1"/>
    <col min="7679" max="7929" width="9.140625" style="1"/>
    <col min="7930" max="7934" width="17.5703125" style="1" customWidth="1"/>
    <col min="7935" max="8185" width="9.140625" style="1"/>
    <col min="8186" max="8190" width="17.5703125" style="1" customWidth="1"/>
    <col min="8191" max="8441" width="9.140625" style="1"/>
    <col min="8442" max="8446" width="17.5703125" style="1" customWidth="1"/>
    <col min="8447" max="8697" width="9.140625" style="1"/>
    <col min="8698" max="8702" width="17.5703125" style="1" customWidth="1"/>
    <col min="8703" max="8953" width="9.140625" style="1"/>
    <col min="8954" max="8958" width="17.5703125" style="1" customWidth="1"/>
    <col min="8959" max="9209" width="9.140625" style="1"/>
    <col min="9210" max="9214" width="17.5703125" style="1" customWidth="1"/>
    <col min="9215" max="9465" width="9.140625" style="1"/>
    <col min="9466" max="9470" width="17.5703125" style="1" customWidth="1"/>
    <col min="9471" max="9721" width="9.140625" style="1"/>
    <col min="9722" max="9726" width="17.5703125" style="1" customWidth="1"/>
    <col min="9727" max="9977" width="9.140625" style="1"/>
    <col min="9978" max="9982" width="17.5703125" style="1" customWidth="1"/>
    <col min="9983" max="10233" width="9.140625" style="1"/>
    <col min="10234" max="10238" width="17.5703125" style="1" customWidth="1"/>
    <col min="10239" max="10489" width="9.140625" style="1"/>
    <col min="10490" max="10494" width="17.5703125" style="1" customWidth="1"/>
    <col min="10495" max="10745" width="9.140625" style="1"/>
    <col min="10746" max="10750" width="17.5703125" style="1" customWidth="1"/>
    <col min="10751" max="11001" width="9.140625" style="1"/>
    <col min="11002" max="11006" width="17.5703125" style="1" customWidth="1"/>
    <col min="11007" max="11257" width="9.140625" style="1"/>
    <col min="11258" max="11262" width="17.5703125" style="1" customWidth="1"/>
    <col min="11263" max="11513" width="9.140625" style="1"/>
    <col min="11514" max="11518" width="17.5703125" style="1" customWidth="1"/>
    <col min="11519" max="11769" width="9.140625" style="1"/>
    <col min="11770" max="11774" width="17.5703125" style="1" customWidth="1"/>
    <col min="11775" max="12025" width="9.140625" style="1"/>
    <col min="12026" max="12030" width="17.5703125" style="1" customWidth="1"/>
    <col min="12031" max="12281" width="9.140625" style="1"/>
    <col min="12282" max="12286" width="17.5703125" style="1" customWidth="1"/>
    <col min="12287" max="12537" width="9.140625" style="1"/>
    <col min="12538" max="12542" width="17.5703125" style="1" customWidth="1"/>
    <col min="12543" max="12793" width="9.140625" style="1"/>
    <col min="12794" max="12798" width="17.5703125" style="1" customWidth="1"/>
    <col min="12799" max="13049" width="9.140625" style="1"/>
    <col min="13050" max="13054" width="17.5703125" style="1" customWidth="1"/>
    <col min="13055" max="13305" width="9.140625" style="1"/>
    <col min="13306" max="13310" width="17.5703125" style="1" customWidth="1"/>
    <col min="13311" max="13561" width="9.140625" style="1"/>
    <col min="13562" max="13566" width="17.5703125" style="1" customWidth="1"/>
    <col min="13567" max="13817" width="9.140625" style="1"/>
    <col min="13818" max="13822" width="17.5703125" style="1" customWidth="1"/>
    <col min="13823" max="14073" width="9.140625" style="1"/>
    <col min="14074" max="14078" width="17.5703125" style="1" customWidth="1"/>
    <col min="14079" max="14329" width="9.140625" style="1"/>
    <col min="14330" max="14334" width="17.5703125" style="1" customWidth="1"/>
    <col min="14335" max="14585" width="9.140625" style="1"/>
    <col min="14586" max="14590" width="17.5703125" style="1" customWidth="1"/>
    <col min="14591" max="14841" width="9.140625" style="1"/>
    <col min="14842" max="14846" width="17.5703125" style="1" customWidth="1"/>
    <col min="14847" max="15097" width="9.140625" style="1"/>
    <col min="15098" max="15102" width="17.5703125" style="1" customWidth="1"/>
    <col min="15103" max="15353" width="9.140625" style="1"/>
    <col min="15354" max="15358" width="17.5703125" style="1" customWidth="1"/>
    <col min="15359" max="15609" width="9.140625" style="1"/>
    <col min="15610" max="15614" width="17.5703125" style="1" customWidth="1"/>
    <col min="15615" max="15865" width="9.140625" style="1"/>
    <col min="15866" max="15870" width="17.5703125" style="1" customWidth="1"/>
    <col min="15871" max="16121" width="9.140625" style="1"/>
    <col min="16122" max="16126" width="17.5703125" style="1" customWidth="1"/>
    <col min="16127" max="16384" width="9.140625" style="1"/>
  </cols>
  <sheetData>
    <row r="1" spans="1:4" s="3" customFormat="1" x14ac:dyDescent="0.25">
      <c r="A1" s="3" t="s">
        <v>8</v>
      </c>
      <c r="B1" s="3" t="s">
        <v>229</v>
      </c>
      <c r="C1" s="3" t="s">
        <v>315</v>
      </c>
      <c r="D1" s="4" t="s">
        <v>316</v>
      </c>
    </row>
    <row r="2" spans="1:4" x14ac:dyDescent="0.25">
      <c r="A2" s="1" t="s">
        <v>11</v>
      </c>
      <c r="B2" s="1" t="s">
        <v>232</v>
      </c>
      <c r="C2" s="1" t="s">
        <v>233</v>
      </c>
      <c r="D2" s="5" t="s">
        <v>234</v>
      </c>
    </row>
    <row r="3" spans="1:4" x14ac:dyDescent="0.25">
      <c r="A3" s="1" t="s">
        <v>13</v>
      </c>
      <c r="B3" s="1" t="s">
        <v>238</v>
      </c>
      <c r="C3" s="1" t="s">
        <v>239</v>
      </c>
    </row>
    <row r="4" spans="1:4" x14ac:dyDescent="0.25">
      <c r="A4" s="1" t="s">
        <v>65</v>
      </c>
      <c r="B4" s="1" t="s">
        <v>232</v>
      </c>
      <c r="C4" s="1" t="s">
        <v>239</v>
      </c>
    </row>
    <row r="5" spans="1:4" x14ac:dyDescent="0.25">
      <c r="A5" s="1" t="s">
        <v>18</v>
      </c>
      <c r="B5" s="1" t="s">
        <v>241</v>
      </c>
      <c r="C5" s="1" t="s">
        <v>231</v>
      </c>
    </row>
    <row r="6" spans="1:4" x14ac:dyDescent="0.25">
      <c r="A6" s="1" t="s">
        <v>14</v>
      </c>
      <c r="B6" s="1" t="s">
        <v>238</v>
      </c>
      <c r="C6" s="1" t="s">
        <v>231</v>
      </c>
    </row>
    <row r="7" spans="1:4" x14ac:dyDescent="0.25">
      <c r="A7" s="1" t="s">
        <v>12</v>
      </c>
      <c r="B7" s="1" t="s">
        <v>235</v>
      </c>
      <c r="C7" s="1" t="s">
        <v>236</v>
      </c>
      <c r="D7" s="5" t="s">
        <v>237</v>
      </c>
    </row>
    <row r="8" spans="1:4" x14ac:dyDescent="0.25">
      <c r="A8" s="1" t="s">
        <v>19</v>
      </c>
      <c r="B8" s="1" t="s">
        <v>230</v>
      </c>
      <c r="C8" s="1" t="s">
        <v>231</v>
      </c>
    </row>
    <row r="9" spans="1:4" x14ac:dyDescent="0.25">
      <c r="A9" s="1" t="s">
        <v>16</v>
      </c>
      <c r="B9" s="1" t="s">
        <v>230</v>
      </c>
      <c r="C9" s="1" t="s">
        <v>239</v>
      </c>
      <c r="D9" s="5" t="s">
        <v>240</v>
      </c>
    </row>
    <row r="10" spans="1:4" x14ac:dyDescent="0.25">
      <c r="A10" s="1" t="s">
        <v>17</v>
      </c>
      <c r="B10" s="1" t="s">
        <v>238</v>
      </c>
      <c r="C10" s="1" t="s">
        <v>239</v>
      </c>
    </row>
    <row r="11" spans="1:4" x14ac:dyDescent="0.25">
      <c r="A11" s="1" t="s">
        <v>10</v>
      </c>
      <c r="B11" s="1" t="s">
        <v>230</v>
      </c>
      <c r="C11" s="1" t="s">
        <v>231</v>
      </c>
    </row>
    <row r="12" spans="1:4" x14ac:dyDescent="0.25">
      <c r="A12" s="1" t="s">
        <v>20</v>
      </c>
      <c r="B12" s="1" t="s">
        <v>241</v>
      </c>
      <c r="C12" s="1" t="s">
        <v>231</v>
      </c>
      <c r="D12" s="5" t="s">
        <v>242</v>
      </c>
    </row>
    <row r="13" spans="1:4" x14ac:dyDescent="0.25">
      <c r="A13" s="1" t="s">
        <v>21</v>
      </c>
      <c r="B13" s="1" t="s">
        <v>238</v>
      </c>
      <c r="C13" s="1" t="s">
        <v>231</v>
      </c>
      <c r="D13" s="5" t="s">
        <v>243</v>
      </c>
    </row>
    <row r="14" spans="1:4" x14ac:dyDescent="0.25">
      <c r="A14" s="1" t="s">
        <v>22</v>
      </c>
      <c r="B14" s="1" t="s">
        <v>238</v>
      </c>
      <c r="C14" s="1" t="s">
        <v>239</v>
      </c>
    </row>
    <row r="15" spans="1:4" x14ac:dyDescent="0.25">
      <c r="A15" s="1" t="s">
        <v>30</v>
      </c>
      <c r="B15" s="1" t="s">
        <v>230</v>
      </c>
      <c r="C15" s="1" t="s">
        <v>231</v>
      </c>
    </row>
    <row r="16" spans="1:4" x14ac:dyDescent="0.25">
      <c r="A16" s="1" t="s">
        <v>29</v>
      </c>
      <c r="B16" s="1" t="s">
        <v>232</v>
      </c>
      <c r="C16" s="1" t="s">
        <v>231</v>
      </c>
    </row>
    <row r="17" spans="1:4" x14ac:dyDescent="0.25">
      <c r="A17" s="1" t="s">
        <v>27</v>
      </c>
      <c r="B17" s="1" t="s">
        <v>246</v>
      </c>
      <c r="C17" s="1" t="s">
        <v>236</v>
      </c>
      <c r="D17" s="5" t="s">
        <v>242</v>
      </c>
    </row>
    <row r="18" spans="1:4" x14ac:dyDescent="0.25">
      <c r="A18" s="1" t="s">
        <v>37</v>
      </c>
      <c r="B18" s="1" t="s">
        <v>230</v>
      </c>
      <c r="C18" s="1" t="s">
        <v>231</v>
      </c>
    </row>
    <row r="19" spans="1:4" x14ac:dyDescent="0.25">
      <c r="A19" s="1" t="s">
        <v>32</v>
      </c>
      <c r="B19" s="1" t="s">
        <v>238</v>
      </c>
      <c r="C19" s="1" t="s">
        <v>239</v>
      </c>
      <c r="D19" s="5" t="s">
        <v>247</v>
      </c>
    </row>
    <row r="20" spans="1:4" x14ac:dyDescent="0.25">
      <c r="A20" s="1" t="s">
        <v>24</v>
      </c>
      <c r="B20" s="1" t="s">
        <v>238</v>
      </c>
      <c r="C20" s="1" t="s">
        <v>231</v>
      </c>
      <c r="D20" s="5" t="s">
        <v>245</v>
      </c>
    </row>
    <row r="21" spans="1:4" x14ac:dyDescent="0.25">
      <c r="A21" s="1" t="s">
        <v>33</v>
      </c>
      <c r="B21" s="1" t="s">
        <v>230</v>
      </c>
      <c r="C21" s="1" t="s">
        <v>239</v>
      </c>
    </row>
    <row r="22" spans="1:4" x14ac:dyDescent="0.25">
      <c r="A22" s="1" t="s">
        <v>25</v>
      </c>
      <c r="B22" s="1" t="s">
        <v>235</v>
      </c>
      <c r="C22" s="1" t="s">
        <v>236</v>
      </c>
    </row>
    <row r="23" spans="1:4" x14ac:dyDescent="0.25">
      <c r="A23" s="1" t="s">
        <v>34</v>
      </c>
      <c r="B23" s="1" t="s">
        <v>248</v>
      </c>
      <c r="C23" s="1" t="s">
        <v>231</v>
      </c>
    </row>
    <row r="24" spans="1:4" x14ac:dyDescent="0.25">
      <c r="A24" s="1" t="s">
        <v>39</v>
      </c>
      <c r="B24" s="1" t="s">
        <v>246</v>
      </c>
      <c r="C24" s="1" t="s">
        <v>236</v>
      </c>
    </row>
    <row r="25" spans="1:4" x14ac:dyDescent="0.25">
      <c r="A25" s="1" t="s">
        <v>35</v>
      </c>
      <c r="B25" s="1" t="s">
        <v>230</v>
      </c>
      <c r="C25" s="1" t="s">
        <v>236</v>
      </c>
    </row>
    <row r="26" spans="1:4" x14ac:dyDescent="0.25">
      <c r="A26" s="1" t="s">
        <v>31</v>
      </c>
      <c r="B26" s="1" t="s">
        <v>238</v>
      </c>
      <c r="C26" s="1" t="s">
        <v>239</v>
      </c>
    </row>
    <row r="27" spans="1:4" x14ac:dyDescent="0.25">
      <c r="A27" s="1" t="s">
        <v>40</v>
      </c>
      <c r="B27" s="1" t="s">
        <v>235</v>
      </c>
      <c r="C27" s="1" t="s">
        <v>239</v>
      </c>
    </row>
    <row r="28" spans="1:4" x14ac:dyDescent="0.25">
      <c r="A28" s="1" t="s">
        <v>36</v>
      </c>
      <c r="B28" s="1" t="s">
        <v>230</v>
      </c>
      <c r="C28" s="1" t="s">
        <v>239</v>
      </c>
    </row>
    <row r="29" spans="1:4" x14ac:dyDescent="0.25">
      <c r="A29" s="1" t="s">
        <v>38</v>
      </c>
      <c r="B29" s="1" t="s">
        <v>241</v>
      </c>
      <c r="C29" s="1" t="s">
        <v>231</v>
      </c>
    </row>
    <row r="30" spans="1:4" x14ac:dyDescent="0.25">
      <c r="A30" s="1" t="s">
        <v>28</v>
      </c>
      <c r="B30" s="1" t="s">
        <v>238</v>
      </c>
      <c r="C30" s="1" t="s">
        <v>231</v>
      </c>
    </row>
    <row r="31" spans="1:4" x14ac:dyDescent="0.25">
      <c r="A31" s="1" t="s">
        <v>26</v>
      </c>
      <c r="B31" s="1" t="s">
        <v>235</v>
      </c>
      <c r="C31" s="1" t="s">
        <v>233</v>
      </c>
    </row>
    <row r="32" spans="1:4" x14ac:dyDescent="0.25">
      <c r="A32" s="1" t="s">
        <v>23</v>
      </c>
      <c r="B32" s="1" t="s">
        <v>235</v>
      </c>
      <c r="C32" s="1" t="s">
        <v>233</v>
      </c>
      <c r="D32" s="5" t="s">
        <v>244</v>
      </c>
    </row>
    <row r="33" spans="1:4" x14ac:dyDescent="0.25">
      <c r="A33" s="1" t="s">
        <v>53</v>
      </c>
      <c r="B33" s="1" t="s">
        <v>235</v>
      </c>
      <c r="C33" s="1" t="s">
        <v>239</v>
      </c>
    </row>
    <row r="34" spans="1:4" x14ac:dyDescent="0.25">
      <c r="A34" s="1" t="s">
        <v>110</v>
      </c>
      <c r="B34" s="1" t="s">
        <v>241</v>
      </c>
      <c r="C34" s="1" t="s">
        <v>236</v>
      </c>
      <c r="D34" s="5" t="s">
        <v>277</v>
      </c>
    </row>
    <row r="35" spans="1:4" x14ac:dyDescent="0.25">
      <c r="A35" s="1" t="s">
        <v>48</v>
      </c>
      <c r="B35" s="1" t="s">
        <v>235</v>
      </c>
      <c r="C35" s="1" t="s">
        <v>236</v>
      </c>
    </row>
    <row r="36" spans="1:4" x14ac:dyDescent="0.25">
      <c r="A36" s="1" t="s">
        <v>42</v>
      </c>
      <c r="B36" s="1" t="s">
        <v>248</v>
      </c>
      <c r="C36" s="1" t="s">
        <v>231</v>
      </c>
      <c r="D36" s="5" t="s">
        <v>249</v>
      </c>
    </row>
    <row r="37" spans="1:4" x14ac:dyDescent="0.25">
      <c r="A37" s="1" t="s">
        <v>57</v>
      </c>
      <c r="B37" s="1" t="s">
        <v>230</v>
      </c>
      <c r="C37" s="1" t="s">
        <v>231</v>
      </c>
    </row>
    <row r="38" spans="1:4" x14ac:dyDescent="0.25">
      <c r="A38" s="1" t="s">
        <v>41</v>
      </c>
      <c r="B38" s="1" t="s">
        <v>235</v>
      </c>
      <c r="C38" s="1" t="s">
        <v>233</v>
      </c>
    </row>
    <row r="39" spans="1:4" x14ac:dyDescent="0.25">
      <c r="A39" s="1" t="s">
        <v>194</v>
      </c>
      <c r="B39" s="1" t="s">
        <v>235</v>
      </c>
      <c r="C39" s="1" t="s">
        <v>233</v>
      </c>
    </row>
    <row r="40" spans="1:4" x14ac:dyDescent="0.25">
      <c r="A40" s="1" t="s">
        <v>44</v>
      </c>
      <c r="B40" s="1" t="s">
        <v>238</v>
      </c>
      <c r="C40" s="1" t="s">
        <v>231</v>
      </c>
    </row>
    <row r="41" spans="1:4" x14ac:dyDescent="0.25">
      <c r="A41" s="1" t="s">
        <v>45</v>
      </c>
      <c r="B41" s="1" t="s">
        <v>230</v>
      </c>
      <c r="C41" s="1" t="s">
        <v>231</v>
      </c>
    </row>
    <row r="42" spans="1:4" x14ac:dyDescent="0.25">
      <c r="A42" s="1" t="s">
        <v>46</v>
      </c>
      <c r="B42" s="1" t="s">
        <v>241</v>
      </c>
      <c r="C42" s="1" t="s">
        <v>239</v>
      </c>
      <c r="D42" s="5" t="s">
        <v>250</v>
      </c>
    </row>
    <row r="43" spans="1:4" x14ac:dyDescent="0.25">
      <c r="A43" s="1" t="s">
        <v>51</v>
      </c>
      <c r="B43" s="1" t="s">
        <v>230</v>
      </c>
      <c r="C43" s="1" t="s">
        <v>239</v>
      </c>
    </row>
    <row r="44" spans="1:4" x14ac:dyDescent="0.25">
      <c r="A44" s="1" t="s">
        <v>52</v>
      </c>
      <c r="B44" s="1" t="s">
        <v>235</v>
      </c>
      <c r="C44" s="1" t="s">
        <v>236</v>
      </c>
    </row>
    <row r="45" spans="1:4" x14ac:dyDescent="0.25">
      <c r="A45" s="1" t="s">
        <v>49</v>
      </c>
      <c r="B45" s="1" t="s">
        <v>235</v>
      </c>
      <c r="C45" s="1" t="s">
        <v>233</v>
      </c>
      <c r="D45" s="5" t="s">
        <v>251</v>
      </c>
    </row>
    <row r="46" spans="1:4" x14ac:dyDescent="0.25">
      <c r="A46" s="1" t="s">
        <v>50</v>
      </c>
      <c r="B46" s="1" t="s">
        <v>235</v>
      </c>
      <c r="C46" s="1" t="s">
        <v>236</v>
      </c>
    </row>
    <row r="47" spans="1:4" x14ac:dyDescent="0.25">
      <c r="A47" s="1" t="s">
        <v>54</v>
      </c>
      <c r="B47" s="1" t="s">
        <v>230</v>
      </c>
      <c r="C47" s="1" t="s">
        <v>231</v>
      </c>
    </row>
    <row r="48" spans="1:4" x14ac:dyDescent="0.25">
      <c r="A48" s="2" t="s">
        <v>47</v>
      </c>
      <c r="B48" s="1" t="s">
        <v>235</v>
      </c>
      <c r="C48" s="1" t="s">
        <v>236</v>
      </c>
    </row>
    <row r="49" spans="1:4" x14ac:dyDescent="0.25">
      <c r="A49" s="1" t="s">
        <v>92</v>
      </c>
      <c r="B49" s="1" t="s">
        <v>238</v>
      </c>
      <c r="C49" s="1" t="s">
        <v>231</v>
      </c>
      <c r="D49" s="5" t="s">
        <v>268</v>
      </c>
    </row>
    <row r="50" spans="1:4" x14ac:dyDescent="0.25">
      <c r="A50" s="1" t="s">
        <v>55</v>
      </c>
      <c r="B50" s="1" t="s">
        <v>230</v>
      </c>
      <c r="C50" s="1" t="s">
        <v>239</v>
      </c>
    </row>
    <row r="51" spans="1:4" x14ac:dyDescent="0.25">
      <c r="A51" s="2" t="s">
        <v>56</v>
      </c>
      <c r="B51" s="1" t="s">
        <v>230</v>
      </c>
      <c r="C51" s="1" t="s">
        <v>231</v>
      </c>
    </row>
    <row r="52" spans="1:4" x14ac:dyDescent="0.25">
      <c r="A52" s="1" t="s">
        <v>58</v>
      </c>
      <c r="B52" s="1" t="s">
        <v>238</v>
      </c>
      <c r="C52" s="1" t="s">
        <v>231</v>
      </c>
      <c r="D52" s="5" t="s">
        <v>252</v>
      </c>
    </row>
    <row r="53" spans="1:4" x14ac:dyDescent="0.25">
      <c r="A53" s="1" t="s">
        <v>59</v>
      </c>
      <c r="B53" s="1" t="s">
        <v>238</v>
      </c>
      <c r="C53" s="1" t="s">
        <v>231</v>
      </c>
    </row>
    <row r="54" spans="1:4" x14ac:dyDescent="0.25">
      <c r="A54" s="1" t="s">
        <v>63</v>
      </c>
      <c r="B54" s="1" t="s">
        <v>238</v>
      </c>
      <c r="C54" s="1" t="s">
        <v>231</v>
      </c>
    </row>
    <row r="55" spans="1:4" x14ac:dyDescent="0.25">
      <c r="A55" s="1" t="s">
        <v>61</v>
      </c>
      <c r="B55" s="1" t="s">
        <v>232</v>
      </c>
      <c r="C55" s="1" t="s">
        <v>236</v>
      </c>
    </row>
    <row r="56" spans="1:4" x14ac:dyDescent="0.25">
      <c r="A56" s="1" t="s">
        <v>62</v>
      </c>
      <c r="B56" s="1" t="s">
        <v>230</v>
      </c>
      <c r="C56" s="1" t="s">
        <v>239</v>
      </c>
    </row>
    <row r="57" spans="1:4" x14ac:dyDescent="0.25">
      <c r="A57" s="1" t="s">
        <v>64</v>
      </c>
      <c r="B57" s="1" t="s">
        <v>230</v>
      </c>
      <c r="C57" s="1" t="s">
        <v>239</v>
      </c>
    </row>
    <row r="58" spans="1:4" x14ac:dyDescent="0.25">
      <c r="A58" s="1" t="s">
        <v>66</v>
      </c>
      <c r="B58" s="1" t="s">
        <v>230</v>
      </c>
      <c r="C58" s="1" t="s">
        <v>239</v>
      </c>
    </row>
    <row r="59" spans="1:4" x14ac:dyDescent="0.25">
      <c r="A59" s="1" t="s">
        <v>67</v>
      </c>
      <c r="B59" s="1" t="s">
        <v>232</v>
      </c>
      <c r="C59" s="1" t="s">
        <v>236</v>
      </c>
      <c r="D59" s="5" t="s">
        <v>254</v>
      </c>
    </row>
    <row r="60" spans="1:4" x14ac:dyDescent="0.25">
      <c r="A60" s="1" t="s">
        <v>179</v>
      </c>
      <c r="B60" s="1" t="s">
        <v>230</v>
      </c>
      <c r="C60" s="1" t="s">
        <v>239</v>
      </c>
    </row>
    <row r="61" spans="1:4" x14ac:dyDescent="0.25">
      <c r="A61" s="1" t="s">
        <v>83</v>
      </c>
      <c r="B61" s="1" t="s">
        <v>235</v>
      </c>
      <c r="C61" s="1" t="s">
        <v>239</v>
      </c>
    </row>
    <row r="62" spans="1:4" x14ac:dyDescent="0.25">
      <c r="A62" s="1" t="s">
        <v>224</v>
      </c>
      <c r="B62" s="1" t="s">
        <v>235</v>
      </c>
      <c r="C62" s="1" t="s">
        <v>233</v>
      </c>
      <c r="D62" s="5" t="s">
        <v>255</v>
      </c>
    </row>
    <row r="63" spans="1:4" x14ac:dyDescent="0.25">
      <c r="A63" s="1" t="s">
        <v>69</v>
      </c>
      <c r="B63" s="1" t="s">
        <v>238</v>
      </c>
      <c r="C63" s="1" t="s">
        <v>231</v>
      </c>
      <c r="D63" s="5" t="s">
        <v>257</v>
      </c>
    </row>
    <row r="64" spans="1:4" x14ac:dyDescent="0.25">
      <c r="A64" s="1" t="s">
        <v>189</v>
      </c>
      <c r="B64" s="1" t="s">
        <v>235</v>
      </c>
      <c r="C64" s="1" t="s">
        <v>236</v>
      </c>
      <c r="D64" s="5" t="s">
        <v>308</v>
      </c>
    </row>
    <row r="65" spans="1:4" x14ac:dyDescent="0.25">
      <c r="A65" s="1" t="s">
        <v>70</v>
      </c>
      <c r="B65" s="1" t="s">
        <v>235</v>
      </c>
      <c r="D65" s="5" t="s">
        <v>258</v>
      </c>
    </row>
    <row r="66" spans="1:4" x14ac:dyDescent="0.25">
      <c r="A66" s="1" t="s">
        <v>74</v>
      </c>
      <c r="B66" s="1" t="s">
        <v>238</v>
      </c>
      <c r="C66" s="1" t="s">
        <v>231</v>
      </c>
    </row>
    <row r="67" spans="1:4" x14ac:dyDescent="0.25">
      <c r="A67" s="1" t="s">
        <v>72</v>
      </c>
      <c r="B67" s="1" t="s">
        <v>241</v>
      </c>
      <c r="C67" s="1" t="s">
        <v>239</v>
      </c>
    </row>
    <row r="68" spans="1:4" x14ac:dyDescent="0.25">
      <c r="A68" s="1" t="s">
        <v>71</v>
      </c>
      <c r="B68" s="1" t="s">
        <v>238</v>
      </c>
      <c r="C68" s="1" t="s">
        <v>231</v>
      </c>
      <c r="D68" s="5" t="s">
        <v>259</v>
      </c>
    </row>
    <row r="69" spans="1:4" x14ac:dyDescent="0.25">
      <c r="A69" s="1" t="s">
        <v>73</v>
      </c>
      <c r="B69" s="1" t="s">
        <v>238</v>
      </c>
      <c r="C69" s="1" t="s">
        <v>231</v>
      </c>
      <c r="D69" s="5" t="s">
        <v>260</v>
      </c>
    </row>
    <row r="70" spans="1:4" x14ac:dyDescent="0.25">
      <c r="A70" s="1" t="s">
        <v>168</v>
      </c>
      <c r="B70" s="1" t="s">
        <v>241</v>
      </c>
      <c r="C70" s="1" t="s">
        <v>231</v>
      </c>
    </row>
    <row r="71" spans="1:4" x14ac:dyDescent="0.25">
      <c r="A71" s="1" t="s">
        <v>76</v>
      </c>
      <c r="B71" s="1" t="s">
        <v>235</v>
      </c>
      <c r="C71" s="1" t="s">
        <v>239</v>
      </c>
    </row>
    <row r="72" spans="1:4" x14ac:dyDescent="0.25">
      <c r="A72" s="1" t="s">
        <v>81</v>
      </c>
      <c r="B72" s="1" t="s">
        <v>235</v>
      </c>
      <c r="C72" s="1" t="s">
        <v>233</v>
      </c>
    </row>
    <row r="73" spans="1:4" x14ac:dyDescent="0.25">
      <c r="A73" s="1" t="s">
        <v>78</v>
      </c>
      <c r="B73" s="1" t="s">
        <v>238</v>
      </c>
      <c r="C73" s="1" t="s">
        <v>239</v>
      </c>
      <c r="D73" s="5" t="s">
        <v>262</v>
      </c>
    </row>
    <row r="74" spans="1:4" x14ac:dyDescent="0.25">
      <c r="A74" s="1" t="s">
        <v>60</v>
      </c>
      <c r="B74" s="1" t="s">
        <v>238</v>
      </c>
      <c r="C74" s="1" t="s">
        <v>231</v>
      </c>
      <c r="D74" s="5" t="s">
        <v>253</v>
      </c>
    </row>
    <row r="75" spans="1:4" x14ac:dyDescent="0.25">
      <c r="A75" s="1" t="s">
        <v>79</v>
      </c>
      <c r="B75" s="1" t="s">
        <v>235</v>
      </c>
      <c r="C75" s="1" t="s">
        <v>236</v>
      </c>
      <c r="D75" s="5" t="s">
        <v>263</v>
      </c>
    </row>
    <row r="76" spans="1:4" x14ac:dyDescent="0.25">
      <c r="A76" s="1" t="s">
        <v>84</v>
      </c>
      <c r="B76" s="1" t="s">
        <v>238</v>
      </c>
      <c r="C76" s="1" t="s">
        <v>231</v>
      </c>
      <c r="D76" s="5" t="s">
        <v>264</v>
      </c>
    </row>
    <row r="77" spans="1:4" x14ac:dyDescent="0.25">
      <c r="A77" s="1" t="s">
        <v>86</v>
      </c>
      <c r="B77" s="1" t="s">
        <v>238</v>
      </c>
      <c r="C77" s="1" t="s">
        <v>231</v>
      </c>
    </row>
    <row r="78" spans="1:4" x14ac:dyDescent="0.25">
      <c r="A78" s="1" t="s">
        <v>85</v>
      </c>
      <c r="B78" s="1" t="s">
        <v>230</v>
      </c>
      <c r="C78" s="1" t="s">
        <v>239</v>
      </c>
    </row>
    <row r="79" spans="1:4" x14ac:dyDescent="0.25">
      <c r="A79" s="1" t="s">
        <v>88</v>
      </c>
      <c r="B79" s="1" t="s">
        <v>241</v>
      </c>
      <c r="C79" s="1" t="s">
        <v>231</v>
      </c>
    </row>
    <row r="80" spans="1:4" x14ac:dyDescent="0.25">
      <c r="A80" s="1" t="s">
        <v>87</v>
      </c>
      <c r="B80" s="1" t="s">
        <v>230</v>
      </c>
      <c r="C80" s="1" t="s">
        <v>239</v>
      </c>
      <c r="D80" s="5" t="s">
        <v>265</v>
      </c>
    </row>
    <row r="81" spans="1:4" x14ac:dyDescent="0.25">
      <c r="A81" s="1" t="s">
        <v>80</v>
      </c>
      <c r="B81" s="1" t="s">
        <v>235</v>
      </c>
      <c r="C81" s="1" t="s">
        <v>236</v>
      </c>
    </row>
    <row r="82" spans="1:4" x14ac:dyDescent="0.25">
      <c r="A82" s="1" t="s">
        <v>82</v>
      </c>
      <c r="B82" s="1" t="s">
        <v>235</v>
      </c>
      <c r="C82" s="1" t="s">
        <v>233</v>
      </c>
    </row>
    <row r="83" spans="1:4" x14ac:dyDescent="0.25">
      <c r="A83" s="1" t="s">
        <v>89</v>
      </c>
      <c r="B83" s="1" t="s">
        <v>230</v>
      </c>
      <c r="C83" s="1" t="s">
        <v>231</v>
      </c>
    </row>
    <row r="84" spans="1:4" x14ac:dyDescent="0.25">
      <c r="A84" s="1" t="s">
        <v>93</v>
      </c>
      <c r="B84" s="1" t="s">
        <v>230</v>
      </c>
      <c r="C84" s="1" t="s">
        <v>236</v>
      </c>
      <c r="D84" s="5" t="s">
        <v>269</v>
      </c>
    </row>
    <row r="85" spans="1:4" x14ac:dyDescent="0.25">
      <c r="A85" s="1" t="s">
        <v>91</v>
      </c>
      <c r="B85" s="1" t="s">
        <v>230</v>
      </c>
      <c r="C85" s="1" t="s">
        <v>236</v>
      </c>
      <c r="D85" s="5" t="s">
        <v>267</v>
      </c>
    </row>
    <row r="86" spans="1:4" x14ac:dyDescent="0.25">
      <c r="A86" s="1" t="s">
        <v>90</v>
      </c>
      <c r="B86" s="1" t="s">
        <v>241</v>
      </c>
      <c r="C86" s="1" t="s">
        <v>231</v>
      </c>
      <c r="D86" s="5" t="s">
        <v>266</v>
      </c>
    </row>
    <row r="87" spans="1:4" x14ac:dyDescent="0.25">
      <c r="A87" s="1" t="s">
        <v>94</v>
      </c>
      <c r="B87" s="1" t="s">
        <v>238</v>
      </c>
      <c r="C87" s="1" t="s">
        <v>231</v>
      </c>
    </row>
    <row r="88" spans="1:4" x14ac:dyDescent="0.25">
      <c r="A88" s="1" t="s">
        <v>101</v>
      </c>
      <c r="B88" s="1" t="s">
        <v>238</v>
      </c>
      <c r="C88" s="1" t="s">
        <v>231</v>
      </c>
    </row>
    <row r="89" spans="1:4" x14ac:dyDescent="0.25">
      <c r="A89" s="1" t="s">
        <v>97</v>
      </c>
      <c r="B89" s="1" t="s">
        <v>246</v>
      </c>
      <c r="C89" s="1" t="s">
        <v>236</v>
      </c>
      <c r="D89" s="5" t="s">
        <v>272</v>
      </c>
    </row>
    <row r="90" spans="1:4" x14ac:dyDescent="0.25">
      <c r="A90" s="1" t="s">
        <v>95</v>
      </c>
      <c r="B90" s="1" t="s">
        <v>241</v>
      </c>
      <c r="C90" s="1" t="s">
        <v>239</v>
      </c>
      <c r="D90" s="5" t="s">
        <v>270</v>
      </c>
    </row>
    <row r="91" spans="1:4" x14ac:dyDescent="0.25">
      <c r="A91" s="1" t="s">
        <v>99</v>
      </c>
      <c r="B91" s="1" t="s">
        <v>232</v>
      </c>
      <c r="C91" s="1" t="s">
        <v>239</v>
      </c>
      <c r="D91" s="5" t="s">
        <v>274</v>
      </c>
    </row>
    <row r="92" spans="1:4" x14ac:dyDescent="0.25">
      <c r="A92" s="1" t="s">
        <v>100</v>
      </c>
      <c r="B92" s="1" t="s">
        <v>232</v>
      </c>
      <c r="C92" s="1" t="s">
        <v>239</v>
      </c>
    </row>
    <row r="93" spans="1:4" x14ac:dyDescent="0.25">
      <c r="A93" s="1" t="s">
        <v>98</v>
      </c>
      <c r="B93" s="1" t="s">
        <v>238</v>
      </c>
      <c r="C93" s="1" t="s">
        <v>231</v>
      </c>
      <c r="D93" s="5" t="s">
        <v>273</v>
      </c>
    </row>
    <row r="94" spans="1:4" x14ac:dyDescent="0.25">
      <c r="A94" s="1" t="s">
        <v>96</v>
      </c>
      <c r="B94" s="1" t="s">
        <v>238</v>
      </c>
      <c r="C94" s="1" t="s">
        <v>231</v>
      </c>
      <c r="D94" s="5" t="s">
        <v>271</v>
      </c>
    </row>
    <row r="95" spans="1:4" x14ac:dyDescent="0.25">
      <c r="A95" s="1" t="s">
        <v>102</v>
      </c>
      <c r="B95" s="1" t="s">
        <v>232</v>
      </c>
      <c r="C95" s="1" t="s">
        <v>231</v>
      </c>
    </row>
    <row r="96" spans="1:4" x14ac:dyDescent="0.25">
      <c r="A96" s="1" t="s">
        <v>103</v>
      </c>
      <c r="B96" s="1" t="s">
        <v>238</v>
      </c>
      <c r="C96" s="1" t="s">
        <v>231</v>
      </c>
      <c r="D96" s="5" t="s">
        <v>275</v>
      </c>
    </row>
    <row r="97" spans="1:4" x14ac:dyDescent="0.25">
      <c r="A97" s="1" t="s">
        <v>104</v>
      </c>
      <c r="B97" s="1" t="s">
        <v>230</v>
      </c>
      <c r="C97" s="1" t="s">
        <v>239</v>
      </c>
    </row>
    <row r="98" spans="1:4" x14ac:dyDescent="0.25">
      <c r="A98" s="1" t="s">
        <v>106</v>
      </c>
      <c r="B98" s="1" t="s">
        <v>241</v>
      </c>
      <c r="C98" s="1" t="s">
        <v>231</v>
      </c>
      <c r="D98" s="5" t="s">
        <v>249</v>
      </c>
    </row>
    <row r="99" spans="1:4" x14ac:dyDescent="0.25">
      <c r="A99" s="1" t="s">
        <v>105</v>
      </c>
      <c r="B99" s="1" t="s">
        <v>232</v>
      </c>
      <c r="C99" s="1" t="s">
        <v>236</v>
      </c>
    </row>
    <row r="100" spans="1:4" x14ac:dyDescent="0.25">
      <c r="A100" s="1" t="s">
        <v>107</v>
      </c>
      <c r="B100" s="1" t="s">
        <v>238</v>
      </c>
      <c r="C100" s="1" t="s">
        <v>239</v>
      </c>
    </row>
    <row r="101" spans="1:4" x14ac:dyDescent="0.25">
      <c r="A101" s="1" t="s">
        <v>108</v>
      </c>
      <c r="B101" s="1" t="s">
        <v>235</v>
      </c>
      <c r="C101" s="1" t="s">
        <v>236</v>
      </c>
      <c r="D101" s="5" t="s">
        <v>276</v>
      </c>
    </row>
    <row r="102" spans="1:4" x14ac:dyDescent="0.25">
      <c r="A102" s="1" t="s">
        <v>111</v>
      </c>
      <c r="B102" s="1" t="s">
        <v>241</v>
      </c>
      <c r="C102" s="1" t="s">
        <v>236</v>
      </c>
    </row>
    <row r="103" spans="1:4" x14ac:dyDescent="0.25">
      <c r="A103" s="1" t="s">
        <v>113</v>
      </c>
      <c r="B103" s="1" t="s">
        <v>241</v>
      </c>
      <c r="C103" s="1" t="s">
        <v>231</v>
      </c>
    </row>
    <row r="104" spans="1:4" x14ac:dyDescent="0.25">
      <c r="A104" s="1" t="s">
        <v>216</v>
      </c>
      <c r="B104" s="1" t="s">
        <v>238</v>
      </c>
      <c r="C104" s="1" t="s">
        <v>239</v>
      </c>
    </row>
    <row r="105" spans="1:4" x14ac:dyDescent="0.25">
      <c r="A105" s="1" t="s">
        <v>114</v>
      </c>
      <c r="B105" s="1" t="s">
        <v>232</v>
      </c>
      <c r="C105" s="1" t="s">
        <v>231</v>
      </c>
    </row>
    <row r="106" spans="1:4" x14ac:dyDescent="0.25">
      <c r="A106" s="1" t="s">
        <v>109</v>
      </c>
      <c r="B106" s="1" t="s">
        <v>238</v>
      </c>
      <c r="C106" s="1" t="s">
        <v>236</v>
      </c>
    </row>
    <row r="107" spans="1:4" x14ac:dyDescent="0.25">
      <c r="A107" s="1" t="s">
        <v>115</v>
      </c>
      <c r="B107" s="1" t="s">
        <v>241</v>
      </c>
      <c r="C107" s="1" t="s">
        <v>236</v>
      </c>
      <c r="D107" s="5" t="s">
        <v>278</v>
      </c>
    </row>
    <row r="108" spans="1:4" x14ac:dyDescent="0.25">
      <c r="A108" s="1" t="s">
        <v>125</v>
      </c>
      <c r="B108" s="1" t="s">
        <v>238</v>
      </c>
      <c r="C108" s="1" t="s">
        <v>231</v>
      </c>
      <c r="D108" s="5" t="s">
        <v>283</v>
      </c>
    </row>
    <row r="109" spans="1:4" x14ac:dyDescent="0.25">
      <c r="A109" s="1" t="s">
        <v>116</v>
      </c>
      <c r="B109" s="1" t="s">
        <v>232</v>
      </c>
      <c r="C109" s="1" t="s">
        <v>236</v>
      </c>
      <c r="D109" s="5" t="s">
        <v>279</v>
      </c>
    </row>
    <row r="110" spans="1:4" x14ac:dyDescent="0.25">
      <c r="A110" s="1" t="s">
        <v>122</v>
      </c>
      <c r="B110" s="1" t="s">
        <v>235</v>
      </c>
      <c r="C110" s="1" t="s">
        <v>236</v>
      </c>
      <c r="D110" s="5" t="s">
        <v>249</v>
      </c>
    </row>
    <row r="111" spans="1:4" x14ac:dyDescent="0.25">
      <c r="A111" s="1" t="s">
        <v>117</v>
      </c>
      <c r="B111" s="1" t="s">
        <v>235</v>
      </c>
      <c r="C111" s="1" t="s">
        <v>233</v>
      </c>
      <c r="D111" s="5" t="s">
        <v>280</v>
      </c>
    </row>
    <row r="112" spans="1:4" x14ac:dyDescent="0.25">
      <c r="A112" s="1" t="s">
        <v>118</v>
      </c>
      <c r="B112" s="1" t="s">
        <v>232</v>
      </c>
      <c r="C112" s="1" t="s">
        <v>239</v>
      </c>
    </row>
    <row r="113" spans="1:4" x14ac:dyDescent="0.25">
      <c r="A113" s="1" t="s">
        <v>120</v>
      </c>
      <c r="B113" s="1" t="s">
        <v>238</v>
      </c>
      <c r="C113" s="1" t="s">
        <v>231</v>
      </c>
    </row>
    <row r="114" spans="1:4" x14ac:dyDescent="0.25">
      <c r="A114" s="1" t="s">
        <v>123</v>
      </c>
      <c r="B114" s="1" t="s">
        <v>238</v>
      </c>
      <c r="C114" s="1" t="s">
        <v>231</v>
      </c>
      <c r="D114" s="5" t="s">
        <v>281</v>
      </c>
    </row>
    <row r="115" spans="1:4" x14ac:dyDescent="0.25">
      <c r="A115" s="1" t="s">
        <v>124</v>
      </c>
      <c r="B115" s="1" t="s">
        <v>238</v>
      </c>
      <c r="C115" s="1" t="s">
        <v>231</v>
      </c>
      <c r="D115" s="5" t="s">
        <v>282</v>
      </c>
    </row>
    <row r="116" spans="1:4" x14ac:dyDescent="0.25">
      <c r="A116" s="1" t="s">
        <v>126</v>
      </c>
      <c r="B116" s="1" t="s">
        <v>241</v>
      </c>
      <c r="C116" s="1" t="s">
        <v>231</v>
      </c>
      <c r="D116" s="5" t="s">
        <v>284</v>
      </c>
    </row>
    <row r="117" spans="1:4" x14ac:dyDescent="0.25">
      <c r="A117" s="1" t="s">
        <v>130</v>
      </c>
      <c r="B117" s="1" t="s">
        <v>235</v>
      </c>
      <c r="C117" s="1" t="s">
        <v>233</v>
      </c>
    </row>
    <row r="118" spans="1:4" x14ac:dyDescent="0.25">
      <c r="A118" s="1" t="s">
        <v>144</v>
      </c>
      <c r="B118" s="1" t="s">
        <v>235</v>
      </c>
      <c r="C118" s="1" t="s">
        <v>233</v>
      </c>
    </row>
    <row r="119" spans="1:4" x14ac:dyDescent="0.25">
      <c r="A119" s="1" t="s">
        <v>145</v>
      </c>
      <c r="B119" s="1" t="s">
        <v>241</v>
      </c>
      <c r="C119" s="1" t="s">
        <v>239</v>
      </c>
    </row>
    <row r="120" spans="1:4" x14ac:dyDescent="0.25">
      <c r="A120" s="1" t="s">
        <v>131</v>
      </c>
      <c r="B120" s="1" t="s">
        <v>246</v>
      </c>
      <c r="C120" s="1" t="s">
        <v>239</v>
      </c>
    </row>
    <row r="121" spans="1:4" x14ac:dyDescent="0.25">
      <c r="A121" s="1" t="s">
        <v>135</v>
      </c>
      <c r="B121" s="1" t="s">
        <v>235</v>
      </c>
      <c r="C121" s="1" t="s">
        <v>233</v>
      </c>
    </row>
    <row r="122" spans="1:4" x14ac:dyDescent="0.25">
      <c r="A122" s="1" t="s">
        <v>136</v>
      </c>
      <c r="B122" s="1" t="s">
        <v>232</v>
      </c>
      <c r="C122" s="1" t="s">
        <v>231</v>
      </c>
      <c r="D122" s="5" t="s">
        <v>287</v>
      </c>
    </row>
    <row r="123" spans="1:4" x14ac:dyDescent="0.25">
      <c r="A123" s="1" t="s">
        <v>133</v>
      </c>
      <c r="B123" s="1" t="s">
        <v>241</v>
      </c>
      <c r="C123" s="1" t="s">
        <v>239</v>
      </c>
      <c r="D123" s="5" t="s">
        <v>286</v>
      </c>
    </row>
    <row r="124" spans="1:4" x14ac:dyDescent="0.25">
      <c r="A124" s="1" t="s">
        <v>142</v>
      </c>
      <c r="B124" s="1" t="s">
        <v>235</v>
      </c>
      <c r="C124" s="1" t="s">
        <v>236</v>
      </c>
      <c r="D124" s="5" t="s">
        <v>291</v>
      </c>
    </row>
    <row r="125" spans="1:4" x14ac:dyDescent="0.25">
      <c r="A125" s="1" t="s">
        <v>143</v>
      </c>
      <c r="B125" s="1" t="s">
        <v>235</v>
      </c>
      <c r="C125" s="1" t="s">
        <v>239</v>
      </c>
    </row>
    <row r="126" spans="1:4" x14ac:dyDescent="0.25">
      <c r="A126" s="1" t="s">
        <v>132</v>
      </c>
      <c r="B126" s="1" t="s">
        <v>230</v>
      </c>
      <c r="C126" s="1" t="s">
        <v>239</v>
      </c>
    </row>
    <row r="127" spans="1:4" x14ac:dyDescent="0.25">
      <c r="A127" s="1" t="s">
        <v>75</v>
      </c>
      <c r="B127" s="1" t="s">
        <v>241</v>
      </c>
      <c r="C127" s="1" t="s">
        <v>236</v>
      </c>
      <c r="D127" s="5" t="s">
        <v>261</v>
      </c>
    </row>
    <row r="128" spans="1:4" x14ac:dyDescent="0.25">
      <c r="A128" s="1" t="s">
        <v>129</v>
      </c>
      <c r="B128" s="1" t="s">
        <v>238</v>
      </c>
      <c r="C128" s="1" t="s">
        <v>239</v>
      </c>
      <c r="D128" s="5" t="s">
        <v>285</v>
      </c>
    </row>
    <row r="129" spans="1:4" x14ac:dyDescent="0.25">
      <c r="A129" s="1" t="s">
        <v>128</v>
      </c>
      <c r="B129" s="1" t="s">
        <v>238</v>
      </c>
      <c r="C129" s="1" t="s">
        <v>231</v>
      </c>
    </row>
    <row r="130" spans="1:4" x14ac:dyDescent="0.25">
      <c r="A130" s="1" t="s">
        <v>139</v>
      </c>
      <c r="B130" s="1" t="s">
        <v>241</v>
      </c>
      <c r="C130" s="1" t="s">
        <v>239</v>
      </c>
      <c r="D130" s="5" t="s">
        <v>290</v>
      </c>
    </row>
    <row r="131" spans="1:4" x14ac:dyDescent="0.25">
      <c r="A131" s="1" t="s">
        <v>138</v>
      </c>
      <c r="B131" s="1" t="s">
        <v>238</v>
      </c>
      <c r="C131" s="1" t="s">
        <v>239</v>
      </c>
      <c r="D131" s="5" t="s">
        <v>289</v>
      </c>
    </row>
    <row r="132" spans="1:4" x14ac:dyDescent="0.25">
      <c r="A132" s="1" t="s">
        <v>127</v>
      </c>
      <c r="B132" s="1" t="s">
        <v>232</v>
      </c>
      <c r="C132" s="1" t="s">
        <v>236</v>
      </c>
    </row>
    <row r="133" spans="1:4" x14ac:dyDescent="0.25">
      <c r="A133" s="1" t="s">
        <v>141</v>
      </c>
      <c r="B133" s="1" t="s">
        <v>235</v>
      </c>
      <c r="C133" s="1" t="s">
        <v>233</v>
      </c>
    </row>
    <row r="134" spans="1:4" x14ac:dyDescent="0.25">
      <c r="A134" s="1" t="s">
        <v>137</v>
      </c>
      <c r="B134" s="1" t="s">
        <v>241</v>
      </c>
      <c r="C134" s="1" t="s">
        <v>236</v>
      </c>
      <c r="D134" s="5" t="s">
        <v>288</v>
      </c>
    </row>
    <row r="135" spans="1:4" x14ac:dyDescent="0.25">
      <c r="A135" s="1" t="s">
        <v>146</v>
      </c>
      <c r="B135" s="1" t="s">
        <v>235</v>
      </c>
      <c r="C135" s="1" t="s">
        <v>236</v>
      </c>
      <c r="D135" s="5" t="s">
        <v>249</v>
      </c>
    </row>
    <row r="136" spans="1:4" x14ac:dyDescent="0.25">
      <c r="A136" s="1" t="s">
        <v>154</v>
      </c>
      <c r="B136" s="1" t="s">
        <v>241</v>
      </c>
      <c r="C136" s="1" t="s">
        <v>231</v>
      </c>
      <c r="D136" s="5" t="s">
        <v>242</v>
      </c>
    </row>
    <row r="137" spans="1:4" x14ac:dyDescent="0.25">
      <c r="A137" s="1" t="s">
        <v>153</v>
      </c>
      <c r="B137" s="1" t="s">
        <v>246</v>
      </c>
      <c r="C137" s="1" t="s">
        <v>236</v>
      </c>
      <c r="D137" s="5" t="s">
        <v>295</v>
      </c>
    </row>
    <row r="138" spans="1:4" x14ac:dyDescent="0.25">
      <c r="A138" s="1" t="s">
        <v>151</v>
      </c>
      <c r="B138" s="1" t="s">
        <v>238</v>
      </c>
      <c r="C138" s="1" t="s">
        <v>231</v>
      </c>
      <c r="D138" s="5" t="s">
        <v>294</v>
      </c>
    </row>
    <row r="139" spans="1:4" x14ac:dyDescent="0.25">
      <c r="A139" s="1" t="s">
        <v>147</v>
      </c>
      <c r="B139" s="1" t="s">
        <v>241</v>
      </c>
      <c r="C139" s="1" t="s">
        <v>231</v>
      </c>
    </row>
    <row r="140" spans="1:4" x14ac:dyDescent="0.25">
      <c r="A140" s="1" t="s">
        <v>155</v>
      </c>
      <c r="B140" s="1" t="s">
        <v>241</v>
      </c>
      <c r="C140" s="1" t="s">
        <v>231</v>
      </c>
      <c r="D140" s="5" t="s">
        <v>249</v>
      </c>
    </row>
    <row r="141" spans="1:4" x14ac:dyDescent="0.25">
      <c r="A141" s="1" t="s">
        <v>150</v>
      </c>
      <c r="B141" s="1" t="s">
        <v>230</v>
      </c>
      <c r="C141" s="1" t="s">
        <v>236</v>
      </c>
      <c r="D141" s="5" t="s">
        <v>293</v>
      </c>
    </row>
    <row r="142" spans="1:4" x14ac:dyDescent="0.25">
      <c r="A142" s="1" t="s">
        <v>148</v>
      </c>
      <c r="B142" s="1" t="s">
        <v>235</v>
      </c>
      <c r="C142" s="1" t="s">
        <v>233</v>
      </c>
    </row>
    <row r="143" spans="1:4" x14ac:dyDescent="0.25">
      <c r="A143" s="1" t="s">
        <v>149</v>
      </c>
      <c r="B143" s="1" t="s">
        <v>235</v>
      </c>
      <c r="C143" s="1" t="s">
        <v>236</v>
      </c>
      <c r="D143" s="5" t="s">
        <v>292</v>
      </c>
    </row>
    <row r="144" spans="1:4" x14ac:dyDescent="0.25">
      <c r="A144" s="1" t="s">
        <v>134</v>
      </c>
      <c r="B144" s="1" t="s">
        <v>238</v>
      </c>
      <c r="C144" s="1" t="s">
        <v>239</v>
      </c>
    </row>
    <row r="145" spans="1:4" x14ac:dyDescent="0.25">
      <c r="A145" s="1" t="s">
        <v>140</v>
      </c>
      <c r="B145" s="1" t="s">
        <v>241</v>
      </c>
      <c r="C145" s="1" t="s">
        <v>231</v>
      </c>
    </row>
    <row r="146" spans="1:4" x14ac:dyDescent="0.25">
      <c r="A146" s="1" t="s">
        <v>152</v>
      </c>
      <c r="B146" s="1" t="s">
        <v>238</v>
      </c>
      <c r="C146" s="1" t="s">
        <v>231</v>
      </c>
    </row>
    <row r="147" spans="1:4" x14ac:dyDescent="0.25">
      <c r="A147" s="1" t="s">
        <v>156</v>
      </c>
      <c r="B147" s="1" t="s">
        <v>232</v>
      </c>
      <c r="C147" s="1" t="s">
        <v>231</v>
      </c>
    </row>
    <row r="148" spans="1:4" x14ac:dyDescent="0.25">
      <c r="A148" s="1" t="s">
        <v>157</v>
      </c>
      <c r="B148" s="1" t="s">
        <v>232</v>
      </c>
      <c r="C148" s="1" t="s">
        <v>236</v>
      </c>
      <c r="D148" s="5" t="s">
        <v>242</v>
      </c>
    </row>
    <row r="149" spans="1:4" x14ac:dyDescent="0.25">
      <c r="A149" s="1" t="s">
        <v>161</v>
      </c>
      <c r="B149" s="1" t="s">
        <v>241</v>
      </c>
      <c r="C149" s="1" t="s">
        <v>231</v>
      </c>
      <c r="D149" s="5" t="s">
        <v>286</v>
      </c>
    </row>
    <row r="150" spans="1:4" x14ac:dyDescent="0.25">
      <c r="A150" s="1" t="s">
        <v>158</v>
      </c>
      <c r="B150" s="1" t="s">
        <v>230</v>
      </c>
      <c r="C150" s="1" t="s">
        <v>231</v>
      </c>
    </row>
    <row r="151" spans="1:4" x14ac:dyDescent="0.25">
      <c r="A151" s="1" t="s">
        <v>162</v>
      </c>
      <c r="B151" s="1" t="s">
        <v>241</v>
      </c>
      <c r="C151" s="1" t="s">
        <v>236</v>
      </c>
    </row>
    <row r="152" spans="1:4" x14ac:dyDescent="0.25">
      <c r="A152" s="1" t="s">
        <v>166</v>
      </c>
      <c r="B152" s="1" t="s">
        <v>230</v>
      </c>
      <c r="C152" s="1" t="s">
        <v>239</v>
      </c>
      <c r="D152" s="5" t="s">
        <v>299</v>
      </c>
    </row>
    <row r="153" spans="1:4" x14ac:dyDescent="0.25">
      <c r="A153" s="1" t="s">
        <v>159</v>
      </c>
      <c r="B153" s="1" t="s">
        <v>230</v>
      </c>
      <c r="C153" s="1" t="s">
        <v>239</v>
      </c>
      <c r="D153" s="5" t="s">
        <v>296</v>
      </c>
    </row>
    <row r="154" spans="1:4" x14ac:dyDescent="0.25">
      <c r="A154" s="1" t="s">
        <v>160</v>
      </c>
      <c r="B154" s="1" t="s">
        <v>241</v>
      </c>
      <c r="C154" s="1" t="s">
        <v>236</v>
      </c>
    </row>
    <row r="155" spans="1:4" x14ac:dyDescent="0.25">
      <c r="A155" s="1" t="s">
        <v>163</v>
      </c>
      <c r="B155" s="1" t="s">
        <v>238</v>
      </c>
      <c r="C155" s="1" t="s">
        <v>231</v>
      </c>
    </row>
    <row r="156" spans="1:4" x14ac:dyDescent="0.25">
      <c r="A156" s="1" t="s">
        <v>165</v>
      </c>
      <c r="B156" s="1" t="s">
        <v>238</v>
      </c>
      <c r="C156" s="1" t="s">
        <v>231</v>
      </c>
      <c r="D156" s="5" t="s">
        <v>298</v>
      </c>
    </row>
    <row r="157" spans="1:4" x14ac:dyDescent="0.25">
      <c r="A157" s="1" t="s">
        <v>164</v>
      </c>
      <c r="B157" s="1" t="s">
        <v>230</v>
      </c>
      <c r="C157" s="1" t="s">
        <v>231</v>
      </c>
      <c r="D157" s="5" t="s">
        <v>297</v>
      </c>
    </row>
    <row r="158" spans="1:4" x14ac:dyDescent="0.25">
      <c r="A158" s="1" t="s">
        <v>169</v>
      </c>
      <c r="B158" s="1" t="s">
        <v>232</v>
      </c>
      <c r="C158" s="1" t="s">
        <v>231</v>
      </c>
    </row>
    <row r="159" spans="1:4" x14ac:dyDescent="0.25">
      <c r="A159" s="1" t="s">
        <v>170</v>
      </c>
      <c r="B159" s="1" t="s">
        <v>238</v>
      </c>
      <c r="C159" s="1" t="s">
        <v>231</v>
      </c>
      <c r="D159" s="5" t="s">
        <v>300</v>
      </c>
    </row>
    <row r="160" spans="1:4" x14ac:dyDescent="0.25">
      <c r="A160" s="1" t="s">
        <v>171</v>
      </c>
      <c r="B160" s="1" t="s">
        <v>238</v>
      </c>
      <c r="C160" s="1" t="s">
        <v>231</v>
      </c>
    </row>
    <row r="161" spans="1:4" x14ac:dyDescent="0.25">
      <c r="A161" s="1" t="s">
        <v>172</v>
      </c>
      <c r="B161" s="1" t="s">
        <v>235</v>
      </c>
      <c r="C161" s="1" t="s">
        <v>233</v>
      </c>
    </row>
    <row r="162" spans="1:4" x14ac:dyDescent="0.25">
      <c r="A162" s="1" t="s">
        <v>215</v>
      </c>
      <c r="B162" s="1" t="s">
        <v>241</v>
      </c>
      <c r="C162" s="1" t="s">
        <v>239</v>
      </c>
      <c r="D162" s="5" t="s">
        <v>242</v>
      </c>
    </row>
    <row r="163" spans="1:4" x14ac:dyDescent="0.25">
      <c r="A163" s="1" t="s">
        <v>180</v>
      </c>
      <c r="B163" s="1" t="s">
        <v>238</v>
      </c>
      <c r="C163" s="1" t="s">
        <v>231</v>
      </c>
    </row>
    <row r="164" spans="1:4" x14ac:dyDescent="0.25">
      <c r="A164" s="2" t="s">
        <v>184</v>
      </c>
      <c r="B164" s="1" t="s">
        <v>235</v>
      </c>
      <c r="C164" s="1" t="s">
        <v>236</v>
      </c>
      <c r="D164" s="5" t="s">
        <v>304</v>
      </c>
    </row>
    <row r="165" spans="1:4" x14ac:dyDescent="0.25">
      <c r="A165" s="1" t="s">
        <v>173</v>
      </c>
      <c r="B165" s="1" t="s">
        <v>232</v>
      </c>
      <c r="C165" s="1" t="s">
        <v>231</v>
      </c>
    </row>
    <row r="166" spans="1:4" x14ac:dyDescent="0.25">
      <c r="A166" s="1" t="s">
        <v>175</v>
      </c>
      <c r="B166" s="1" t="s">
        <v>235</v>
      </c>
      <c r="C166" s="1" t="s">
        <v>236</v>
      </c>
    </row>
    <row r="167" spans="1:4" x14ac:dyDescent="0.25">
      <c r="A167" s="1" t="s">
        <v>182</v>
      </c>
      <c r="B167" s="1" t="s">
        <v>238</v>
      </c>
      <c r="C167" s="1" t="s">
        <v>239</v>
      </c>
      <c r="D167" s="5" t="s">
        <v>303</v>
      </c>
    </row>
    <row r="168" spans="1:4" x14ac:dyDescent="0.25">
      <c r="A168" s="1" t="s">
        <v>191</v>
      </c>
      <c r="B168" s="1" t="s">
        <v>235</v>
      </c>
      <c r="C168" s="1" t="s">
        <v>231</v>
      </c>
    </row>
    <row r="169" spans="1:4" x14ac:dyDescent="0.25">
      <c r="A169" s="1" t="s">
        <v>178</v>
      </c>
      <c r="B169" s="1" t="s">
        <v>235</v>
      </c>
      <c r="C169" s="1" t="s">
        <v>233</v>
      </c>
    </row>
    <row r="170" spans="1:4" x14ac:dyDescent="0.25">
      <c r="A170" s="1" t="s">
        <v>176</v>
      </c>
      <c r="B170" s="1" t="s">
        <v>241</v>
      </c>
      <c r="C170" s="1" t="s">
        <v>231</v>
      </c>
      <c r="D170" s="5" t="s">
        <v>249</v>
      </c>
    </row>
    <row r="171" spans="1:4" x14ac:dyDescent="0.25">
      <c r="A171" s="1" t="s">
        <v>190</v>
      </c>
      <c r="B171" s="1" t="s">
        <v>230</v>
      </c>
      <c r="C171" s="1" t="s">
        <v>231</v>
      </c>
    </row>
    <row r="172" spans="1:4" x14ac:dyDescent="0.25">
      <c r="A172" s="1" t="s">
        <v>186</v>
      </c>
      <c r="B172" s="1" t="s">
        <v>238</v>
      </c>
      <c r="C172" s="1" t="s">
        <v>231</v>
      </c>
      <c r="D172" s="5" t="s">
        <v>306</v>
      </c>
    </row>
    <row r="173" spans="1:4" x14ac:dyDescent="0.25">
      <c r="A173" s="1" t="s">
        <v>187</v>
      </c>
      <c r="B173" s="1" t="s">
        <v>238</v>
      </c>
      <c r="C173" s="1" t="s">
        <v>231</v>
      </c>
      <c r="D173" s="5" t="s">
        <v>307</v>
      </c>
    </row>
    <row r="174" spans="1:4" x14ac:dyDescent="0.25">
      <c r="A174" s="1" t="s">
        <v>177</v>
      </c>
      <c r="B174" s="1" t="s">
        <v>241</v>
      </c>
      <c r="C174" s="1" t="s">
        <v>236</v>
      </c>
    </row>
    <row r="175" spans="1:4" x14ac:dyDescent="0.25">
      <c r="A175" s="1" t="s">
        <v>222</v>
      </c>
      <c r="B175" s="1" t="s">
        <v>235</v>
      </c>
      <c r="C175" s="1" t="s">
        <v>233</v>
      </c>
      <c r="D175" s="5" t="s">
        <v>302</v>
      </c>
    </row>
    <row r="176" spans="1:4" x14ac:dyDescent="0.25">
      <c r="A176" s="1" t="s">
        <v>218</v>
      </c>
      <c r="B176" s="1" t="s">
        <v>235</v>
      </c>
      <c r="C176" s="1" t="s">
        <v>239</v>
      </c>
      <c r="D176" s="5" t="s">
        <v>249</v>
      </c>
    </row>
    <row r="177" spans="1:4" x14ac:dyDescent="0.25">
      <c r="A177" s="1" t="s">
        <v>183</v>
      </c>
      <c r="B177" s="1" t="s">
        <v>235</v>
      </c>
      <c r="C177" s="1" t="s">
        <v>233</v>
      </c>
      <c r="D177" s="5" t="s">
        <v>242</v>
      </c>
    </row>
    <row r="178" spans="1:4" x14ac:dyDescent="0.25">
      <c r="A178" s="1" t="s">
        <v>68</v>
      </c>
      <c r="B178" s="1" t="s">
        <v>238</v>
      </c>
      <c r="C178" s="1" t="s">
        <v>231</v>
      </c>
      <c r="D178" s="5" t="s">
        <v>256</v>
      </c>
    </row>
    <row r="179" spans="1:4" x14ac:dyDescent="0.25">
      <c r="A179" s="1" t="s">
        <v>121</v>
      </c>
      <c r="B179" s="1" t="s">
        <v>246</v>
      </c>
      <c r="C179" s="1" t="s">
        <v>236</v>
      </c>
    </row>
    <row r="180" spans="1:4" x14ac:dyDescent="0.25">
      <c r="A180" s="1" t="s">
        <v>112</v>
      </c>
      <c r="B180" s="1" t="s">
        <v>230</v>
      </c>
      <c r="C180" s="1" t="s">
        <v>231</v>
      </c>
    </row>
    <row r="181" spans="1:4" x14ac:dyDescent="0.25">
      <c r="A181" s="1" t="s">
        <v>119</v>
      </c>
      <c r="B181" s="1" t="s">
        <v>230</v>
      </c>
      <c r="C181" s="1" t="s">
        <v>239</v>
      </c>
    </row>
    <row r="182" spans="1:4" x14ac:dyDescent="0.25">
      <c r="A182" s="1" t="s">
        <v>221</v>
      </c>
      <c r="B182" s="1" t="s">
        <v>230</v>
      </c>
      <c r="C182" s="1" t="s">
        <v>231</v>
      </c>
    </row>
    <row r="183" spans="1:4" x14ac:dyDescent="0.25">
      <c r="A183" s="1" t="s">
        <v>211</v>
      </c>
      <c r="B183" s="1" t="s">
        <v>230</v>
      </c>
      <c r="C183" s="1" t="s">
        <v>239</v>
      </c>
    </row>
    <row r="184" spans="1:4" x14ac:dyDescent="0.25">
      <c r="A184" s="1" t="s">
        <v>174</v>
      </c>
      <c r="B184" s="1" t="s">
        <v>235</v>
      </c>
      <c r="C184" s="1" t="s">
        <v>233</v>
      </c>
      <c r="D184" s="5" t="s">
        <v>301</v>
      </c>
    </row>
    <row r="185" spans="1:4" x14ac:dyDescent="0.25">
      <c r="A185" s="1" t="s">
        <v>185</v>
      </c>
      <c r="B185" s="1" t="s">
        <v>230</v>
      </c>
      <c r="C185" s="1" t="s">
        <v>239</v>
      </c>
      <c r="D185" s="5" t="s">
        <v>305</v>
      </c>
    </row>
    <row r="186" spans="1:4" x14ac:dyDescent="0.25">
      <c r="A186" s="1" t="s">
        <v>188</v>
      </c>
      <c r="B186" s="1" t="s">
        <v>238</v>
      </c>
      <c r="C186" s="1" t="s">
        <v>231</v>
      </c>
      <c r="D186" s="5" t="s">
        <v>276</v>
      </c>
    </row>
    <row r="187" spans="1:4" x14ac:dyDescent="0.25">
      <c r="A187" s="1" t="s">
        <v>43</v>
      </c>
      <c r="B187" s="1" t="s">
        <v>238</v>
      </c>
      <c r="C187" s="1" t="s">
        <v>231</v>
      </c>
    </row>
    <row r="188" spans="1:4" x14ac:dyDescent="0.25">
      <c r="A188" s="1" t="s">
        <v>192</v>
      </c>
      <c r="B188" s="1" t="s">
        <v>232</v>
      </c>
      <c r="C188" s="1" t="s">
        <v>233</v>
      </c>
      <c r="D188" s="5" t="s">
        <v>309</v>
      </c>
    </row>
    <row r="189" spans="1:4" x14ac:dyDescent="0.25">
      <c r="A189" s="1" t="s">
        <v>197</v>
      </c>
      <c r="B189" s="1" t="s">
        <v>238</v>
      </c>
      <c r="C189" s="1" t="s">
        <v>236</v>
      </c>
    </row>
    <row r="190" spans="1:4" x14ac:dyDescent="0.25">
      <c r="A190" s="1" t="s">
        <v>205</v>
      </c>
      <c r="B190" s="1" t="s">
        <v>235</v>
      </c>
      <c r="C190" s="1" t="s">
        <v>236</v>
      </c>
    </row>
    <row r="191" spans="1:4" x14ac:dyDescent="0.25">
      <c r="A191" s="1" t="s">
        <v>196</v>
      </c>
      <c r="B191" s="1" t="s">
        <v>241</v>
      </c>
      <c r="C191" s="1" t="s">
        <v>239</v>
      </c>
      <c r="D191" s="5" t="s">
        <v>310</v>
      </c>
    </row>
    <row r="192" spans="1:4" x14ac:dyDescent="0.25">
      <c r="A192" s="1" t="s">
        <v>199</v>
      </c>
      <c r="B192" s="1" t="s">
        <v>241</v>
      </c>
      <c r="C192" s="1" t="s">
        <v>236</v>
      </c>
    </row>
    <row r="193" spans="1:4" x14ac:dyDescent="0.25">
      <c r="A193" s="1" t="s">
        <v>195</v>
      </c>
      <c r="B193" s="1" t="s">
        <v>235</v>
      </c>
      <c r="C193" s="1" t="s">
        <v>233</v>
      </c>
    </row>
    <row r="194" spans="1:4" x14ac:dyDescent="0.25">
      <c r="A194" s="1" t="s">
        <v>200</v>
      </c>
      <c r="B194" s="1" t="s">
        <v>241</v>
      </c>
      <c r="C194" s="1" t="s">
        <v>239</v>
      </c>
      <c r="D194" s="5" t="s">
        <v>242</v>
      </c>
    </row>
    <row r="195" spans="1:4" x14ac:dyDescent="0.25">
      <c r="A195" s="1" t="s">
        <v>201</v>
      </c>
      <c r="B195" s="1" t="s">
        <v>230</v>
      </c>
      <c r="C195" s="1" t="s">
        <v>231</v>
      </c>
    </row>
    <row r="196" spans="1:4" x14ac:dyDescent="0.25">
      <c r="A196" s="1" t="s">
        <v>202</v>
      </c>
      <c r="B196" s="1" t="s">
        <v>232</v>
      </c>
      <c r="C196" s="1" t="s">
        <v>236</v>
      </c>
    </row>
    <row r="197" spans="1:4" x14ac:dyDescent="0.25">
      <c r="A197" s="2" t="s">
        <v>203</v>
      </c>
      <c r="B197" s="1" t="s">
        <v>238</v>
      </c>
      <c r="C197" s="1" t="s">
        <v>239</v>
      </c>
    </row>
    <row r="198" spans="1:4" x14ac:dyDescent="0.25">
      <c r="A198" s="1" t="s">
        <v>198</v>
      </c>
      <c r="B198" s="1" t="s">
        <v>238</v>
      </c>
      <c r="C198" s="1" t="s">
        <v>239</v>
      </c>
    </row>
    <row r="199" spans="1:4" x14ac:dyDescent="0.25">
      <c r="A199" s="1" t="s">
        <v>193</v>
      </c>
      <c r="B199" s="1" t="s">
        <v>230</v>
      </c>
      <c r="C199" s="1" t="s">
        <v>231</v>
      </c>
    </row>
    <row r="200" spans="1:4" x14ac:dyDescent="0.25">
      <c r="A200" s="1" t="s">
        <v>204</v>
      </c>
      <c r="B200" s="1" t="s">
        <v>241</v>
      </c>
      <c r="C200" s="1" t="s">
        <v>239</v>
      </c>
    </row>
    <row r="201" spans="1:4" x14ac:dyDescent="0.25">
      <c r="A201" s="1" t="s">
        <v>206</v>
      </c>
      <c r="B201" s="1" t="s">
        <v>235</v>
      </c>
      <c r="C201" s="1" t="s">
        <v>233</v>
      </c>
      <c r="D201" s="5" t="s">
        <v>311</v>
      </c>
    </row>
    <row r="202" spans="1:4" x14ac:dyDescent="0.25">
      <c r="A202" s="1" t="s">
        <v>207</v>
      </c>
      <c r="B202" s="1" t="s">
        <v>238</v>
      </c>
      <c r="C202" s="1" t="s">
        <v>239</v>
      </c>
    </row>
    <row r="203" spans="1:4" x14ac:dyDescent="0.25">
      <c r="A203" s="1" t="s">
        <v>15</v>
      </c>
      <c r="B203" s="1" t="s">
        <v>232</v>
      </c>
      <c r="C203" s="1" t="s">
        <v>231</v>
      </c>
    </row>
    <row r="204" spans="1:4" x14ac:dyDescent="0.25">
      <c r="A204" s="1" t="s">
        <v>77</v>
      </c>
      <c r="B204" s="1" t="s">
        <v>238</v>
      </c>
      <c r="C204" s="1" t="s">
        <v>231</v>
      </c>
    </row>
    <row r="205" spans="1:4" x14ac:dyDescent="0.25">
      <c r="A205" s="1" t="s">
        <v>209</v>
      </c>
      <c r="B205" s="1" t="s">
        <v>248</v>
      </c>
      <c r="C205" s="1" t="s">
        <v>231</v>
      </c>
    </row>
    <row r="206" spans="1:4" x14ac:dyDescent="0.25">
      <c r="A206" s="1" t="s">
        <v>208</v>
      </c>
      <c r="B206" s="1" t="s">
        <v>230</v>
      </c>
      <c r="C206" s="1" t="s">
        <v>231</v>
      </c>
    </row>
    <row r="207" spans="1:4" x14ac:dyDescent="0.25">
      <c r="A207" s="1" t="s">
        <v>210</v>
      </c>
      <c r="B207" s="1" t="s">
        <v>238</v>
      </c>
      <c r="C207" s="1" t="s">
        <v>236</v>
      </c>
    </row>
    <row r="208" spans="1:4" x14ac:dyDescent="0.25">
      <c r="A208" s="1" t="s">
        <v>214</v>
      </c>
      <c r="B208" s="1" t="s">
        <v>241</v>
      </c>
      <c r="C208" s="1" t="s">
        <v>236</v>
      </c>
    </row>
    <row r="209" spans="1:4" x14ac:dyDescent="0.25">
      <c r="A209" s="1" t="s">
        <v>223</v>
      </c>
      <c r="B209" s="1" t="s">
        <v>230</v>
      </c>
    </row>
    <row r="210" spans="1:4" x14ac:dyDescent="0.25">
      <c r="A210" s="1" t="s">
        <v>213</v>
      </c>
      <c r="B210" s="1" t="s">
        <v>241</v>
      </c>
      <c r="C210" s="1" t="s">
        <v>236</v>
      </c>
    </row>
    <row r="211" spans="1:4" x14ac:dyDescent="0.25">
      <c r="A211" s="2" t="s">
        <v>212</v>
      </c>
      <c r="B211" s="1" t="s">
        <v>230</v>
      </c>
      <c r="C211" s="1" t="s">
        <v>231</v>
      </c>
    </row>
    <row r="212" spans="1:4" x14ac:dyDescent="0.25">
      <c r="A212" s="1" t="s">
        <v>167</v>
      </c>
      <c r="B212" s="1" t="s">
        <v>232</v>
      </c>
      <c r="C212" s="1" t="s">
        <v>236</v>
      </c>
      <c r="D212" s="5" t="s">
        <v>280</v>
      </c>
    </row>
    <row r="213" spans="1:4" x14ac:dyDescent="0.25">
      <c r="A213" s="1" t="s">
        <v>217</v>
      </c>
      <c r="B213" s="1" t="s">
        <v>232</v>
      </c>
      <c r="C213" s="1" t="s">
        <v>233</v>
      </c>
      <c r="D213" s="5" t="s">
        <v>312</v>
      </c>
    </row>
    <row r="214" spans="1:4" x14ac:dyDescent="0.25">
      <c r="A214" s="1" t="s">
        <v>219</v>
      </c>
      <c r="B214" s="1" t="s">
        <v>235</v>
      </c>
      <c r="C214" s="1" t="s">
        <v>236</v>
      </c>
      <c r="D214" s="5" t="s">
        <v>313</v>
      </c>
    </row>
    <row r="215" spans="1:4" x14ac:dyDescent="0.25">
      <c r="A215" s="1" t="s">
        <v>220</v>
      </c>
      <c r="B215" s="1" t="s">
        <v>235</v>
      </c>
      <c r="C215" s="1" t="s">
        <v>236</v>
      </c>
      <c r="D215" s="5" t="s">
        <v>314</v>
      </c>
    </row>
  </sheetData>
  <autoFilter ref="A1:D215" xr:uid="{C54B8B57-6C3D-4E4C-B146-C66CD35DF711}"/>
  <pageMargins left="0.7" right="0.7" top="0.75" bottom="0.75" header="0.3" footer="0.3"/>
  <headerFooter alignWithMargins="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data</vt:lpstr>
      <vt:lpstr>metadata</vt:lpstr>
      <vt:lpstr>metadata_old</vt:lpstr>
      <vt:lpstr>countries</vt:lpstr>
      <vt:lpstr>countries_lookup</vt:lpstr>
      <vt:lpstr>countries groups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yes terrday</dc:creator>
  <cp:lastModifiedBy>yes terrday</cp:lastModifiedBy>
  <dcterms:created xsi:type="dcterms:W3CDTF">2025-10-03T06:36:18Z</dcterms:created>
  <dcterms:modified xsi:type="dcterms:W3CDTF">2025-11-30T20:46:14Z</dcterms:modified>
</cp:coreProperties>
</file>